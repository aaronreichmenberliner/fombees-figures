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omments3.xml" ContentType="application/vnd.openxmlformats-officedocument.spreadsheetml.comments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3.xml" ContentType="application/vnd.openxmlformats-officedocument.drawing+xml"/>
  <Override PartName="/xl/comments4.xml" ContentType="application/vnd.openxmlformats-officedocument.spreadsheetml.comments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4.xml" ContentType="application/vnd.openxmlformats-officedocument.drawing+xml"/>
  <Override PartName="/xl/comments5.xml" ContentType="application/vnd.openxmlformats-officedocument.spreadsheetml.comments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drawings/drawing5.xml" ContentType="application/vnd.openxmlformats-officedocument.drawing+xml"/>
  <Override PartName="/xl/comments6.xml" ContentType="application/vnd.openxmlformats-officedocument.spreadsheetml.comments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drawings/drawing6.xml" ContentType="application/vnd.openxmlformats-officedocument.drawing+xml"/>
  <Override PartName="/xl/comments7.xml" ContentType="application/vnd.openxmlformats-officedocument.spreadsheetml.comments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Karen McDonald\Documents\My Work\Papers\ShaniceandKatieFOMBEES\"/>
    </mc:Choice>
  </mc:AlternateContent>
  <xr:revisionPtr revIDLastSave="0" documentId="8_{1EE529D6-4416-42BC-855A-029238AFE4B3}" xr6:coauthVersionLast="47" xr6:coauthVersionMax="47" xr10:uidLastSave="{00000000-0000-0000-0000-000000000000}"/>
  <bookViews>
    <workbookView xWindow="-90" yWindow="-90" windowWidth="17460" windowHeight="10260" xr2:uid="{00000000-000D-0000-FFFF-FFFF00000000}"/>
  </bookViews>
  <sheets>
    <sheet name="Assumptions" sheetId="1" r:id="rId1"/>
    <sheet name="FLOWN" sheetId="2" r:id="rId2"/>
    <sheet name="TRANSGENIC-LETTUCE" sheetId="3" r:id="rId3"/>
    <sheet name="TRANSGENIC-TOBACCO" sheetId="4" r:id="rId4"/>
    <sheet name="GENE GUN" sheetId="5" r:id="rId5"/>
    <sheet name="AGRO" sheetId="6" r:id="rId6"/>
    <sheet name="VIRAL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7" i="7" l="1"/>
  <c r="B275" i="6"/>
  <c r="C45" i="7" l="1"/>
  <c r="B18" i="7"/>
  <c r="C45" i="6"/>
  <c r="B18" i="6"/>
  <c r="C47" i="5"/>
  <c r="B19" i="5"/>
  <c r="C45" i="4"/>
  <c r="B18" i="4"/>
  <c r="C47" i="3"/>
  <c r="B19" i="3"/>
  <c r="B5" i="3"/>
  <c r="B6" i="3"/>
  <c r="C48" i="2"/>
  <c r="B13" i="2"/>
  <c r="B14" i="2" s="1"/>
  <c r="B6" i="7"/>
  <c r="B6" i="6"/>
  <c r="B6" i="5"/>
  <c r="B6" i="4"/>
  <c r="C129" i="7"/>
  <c r="F40" i="4"/>
  <c r="O196" i="7"/>
  <c r="J201" i="7"/>
  <c r="B101" i="7"/>
  <c r="I204" i="7"/>
  <c r="G193" i="7"/>
  <c r="G204" i="7"/>
  <c r="F201" i="7"/>
  <c r="B201" i="7"/>
  <c r="E204" i="7"/>
  <c r="C204" i="7"/>
  <c r="I302" i="6"/>
  <c r="E302" i="6"/>
  <c r="F309" i="6"/>
  <c r="B309" i="6"/>
  <c r="F237" i="5"/>
  <c r="F236" i="5"/>
  <c r="F235" i="5"/>
  <c r="F234" i="5"/>
  <c r="F233" i="5"/>
  <c r="F232" i="5"/>
  <c r="F231" i="5"/>
  <c r="B237" i="5"/>
  <c r="B236" i="5"/>
  <c r="B235" i="5"/>
  <c r="B234" i="5"/>
  <c r="B233" i="5"/>
  <c r="B232" i="5"/>
  <c r="B231" i="5"/>
  <c r="J309" i="6"/>
  <c r="O223" i="5"/>
  <c r="O304" i="6"/>
  <c r="G301" i="6"/>
  <c r="D159" i="5"/>
  <c r="O89" i="4"/>
  <c r="G86" i="4"/>
  <c r="O95" i="3"/>
  <c r="H96" i="3"/>
  <c r="B7" i="5"/>
  <c r="B115" i="6"/>
  <c r="C194" i="6" s="1"/>
  <c r="G142" i="5"/>
  <c r="B101" i="5"/>
  <c r="C142" i="5" s="1"/>
  <c r="O177" i="6"/>
  <c r="N177" i="6"/>
  <c r="F120" i="7"/>
  <c r="C133" i="7" s="1"/>
  <c r="D121" i="7"/>
  <c r="F121" i="7" s="1"/>
  <c r="B100" i="7"/>
  <c r="B98" i="7"/>
  <c r="C131" i="7"/>
  <c r="H69" i="3"/>
  <c r="B16" i="3"/>
  <c r="B52" i="2"/>
  <c r="B6" i="1"/>
  <c r="H159" i="7"/>
  <c r="G159" i="7"/>
  <c r="F159" i="7"/>
  <c r="E159" i="7"/>
  <c r="D159" i="7"/>
  <c r="C159" i="7"/>
  <c r="B159" i="7"/>
  <c r="B169" i="7" s="1"/>
  <c r="B56" i="7"/>
  <c r="B56" i="6"/>
  <c r="H270" i="6"/>
  <c r="G270" i="6"/>
  <c r="F270" i="6"/>
  <c r="E270" i="6"/>
  <c r="D270" i="6"/>
  <c r="C270" i="6"/>
  <c r="B270" i="6"/>
  <c r="H189" i="5"/>
  <c r="G189" i="5"/>
  <c r="F189" i="5"/>
  <c r="E189" i="5"/>
  <c r="D189" i="5"/>
  <c r="C189" i="5"/>
  <c r="B189" i="5"/>
  <c r="B182" i="5"/>
  <c r="B56" i="4"/>
  <c r="B62" i="3" l="1"/>
  <c r="B15" i="4"/>
  <c r="B5" i="7"/>
  <c r="B4" i="7"/>
  <c r="B5" i="6"/>
  <c r="B5" i="5"/>
  <c r="B5" i="4"/>
  <c r="E21" i="1"/>
  <c r="E20" i="1"/>
  <c r="E19" i="1"/>
  <c r="E18" i="1"/>
  <c r="E17" i="1"/>
  <c r="C33" i="2" l="1"/>
  <c r="D33" i="2" s="1"/>
  <c r="E66" i="2" s="1"/>
  <c r="C30" i="2"/>
  <c r="E30" i="2" s="1"/>
  <c r="D30" i="2"/>
  <c r="B22" i="2"/>
  <c r="C26" i="2" s="1"/>
  <c r="C32" i="2"/>
  <c r="B9" i="1"/>
  <c r="B162" i="7"/>
  <c r="E130" i="7"/>
  <c r="F139" i="7" s="1"/>
  <c r="C130" i="7"/>
  <c r="D139" i="7" s="1"/>
  <c r="E129" i="7"/>
  <c r="D129" i="7"/>
  <c r="P125" i="7"/>
  <c r="O125" i="7"/>
  <c r="N125" i="7"/>
  <c r="Q125" i="7" s="1"/>
  <c r="P124" i="7"/>
  <c r="O124" i="7"/>
  <c r="Q124" i="7" s="1"/>
  <c r="M124" i="7"/>
  <c r="F124" i="7"/>
  <c r="P123" i="7"/>
  <c r="O123" i="7"/>
  <c r="Q123" i="7" s="1"/>
  <c r="D132" i="7" s="1"/>
  <c r="M123" i="7"/>
  <c r="F123" i="7"/>
  <c r="C132" i="7" s="1"/>
  <c r="D122" i="7"/>
  <c r="F122" i="7" s="1"/>
  <c r="B95" i="7" s="1"/>
  <c r="P120" i="7"/>
  <c r="O120" i="7"/>
  <c r="Q120" i="7" s="1"/>
  <c r="D133" i="7" s="1"/>
  <c r="M120" i="7"/>
  <c r="B87" i="7"/>
  <c r="B86" i="7"/>
  <c r="B81" i="7"/>
  <c r="B66" i="7"/>
  <c r="G63" i="7"/>
  <c r="F63" i="7"/>
  <c r="E63" i="7"/>
  <c r="D63" i="7"/>
  <c r="C63" i="7"/>
  <c r="B63" i="7"/>
  <c r="D198" i="7"/>
  <c r="F40" i="7"/>
  <c r="D37" i="7"/>
  <c r="B17" i="7"/>
  <c r="B16" i="7"/>
  <c r="C254" i="6"/>
  <c r="F233" i="6"/>
  <c r="E233" i="6"/>
  <c r="D233" i="6"/>
  <c r="D208" i="6"/>
  <c r="E199" i="6"/>
  <c r="F224" i="6" s="1"/>
  <c r="J314" i="6" s="1"/>
  <c r="E198" i="6"/>
  <c r="F223" i="6" s="1"/>
  <c r="J313" i="6" s="1"/>
  <c r="C198" i="6"/>
  <c r="D223" i="6" s="1"/>
  <c r="B313" i="6" s="1"/>
  <c r="C196" i="6"/>
  <c r="D221" i="6" s="1"/>
  <c r="B311" i="6" s="1"/>
  <c r="E195" i="6"/>
  <c r="F220" i="6" s="1"/>
  <c r="J310" i="6" s="1"/>
  <c r="C195" i="6"/>
  <c r="D220" i="6" s="1"/>
  <c r="B310" i="6" s="1"/>
  <c r="E194" i="6"/>
  <c r="D194" i="6"/>
  <c r="P190" i="6"/>
  <c r="O190" i="6"/>
  <c r="N190" i="6"/>
  <c r="Q190" i="6" s="1"/>
  <c r="G190" i="6"/>
  <c r="C199" i="6" s="1"/>
  <c r="D224" i="6" s="1"/>
  <c r="B314" i="6" s="1"/>
  <c r="P189" i="6"/>
  <c r="O189" i="6"/>
  <c r="N189" i="6"/>
  <c r="Q189" i="6" s="1"/>
  <c r="G189" i="6"/>
  <c r="C200" i="6" s="1"/>
  <c r="D225" i="6" s="1"/>
  <c r="B315" i="6" s="1"/>
  <c r="P188" i="6"/>
  <c r="O188" i="6"/>
  <c r="N188" i="6"/>
  <c r="P187" i="6"/>
  <c r="O187" i="6"/>
  <c r="N187" i="6"/>
  <c r="Q187" i="6" s="1"/>
  <c r="G187" i="6"/>
  <c r="C197" i="6" s="1"/>
  <c r="D222" i="6" s="1"/>
  <c r="B312" i="6" s="1"/>
  <c r="P186" i="6"/>
  <c r="O186" i="6"/>
  <c r="N186" i="6"/>
  <c r="Q186" i="6" s="1"/>
  <c r="P185" i="6"/>
  <c r="O185" i="6"/>
  <c r="N185" i="6"/>
  <c r="E184" i="6"/>
  <c r="G184" i="6" s="1"/>
  <c r="E183" i="6"/>
  <c r="G183" i="6" s="1"/>
  <c r="E182" i="6"/>
  <c r="G182" i="6" s="1"/>
  <c r="E181" i="6"/>
  <c r="G181" i="6" s="1"/>
  <c r="E180" i="6"/>
  <c r="G180" i="6" s="1"/>
  <c r="E179" i="6"/>
  <c r="G179" i="6" s="1"/>
  <c r="B178" i="6"/>
  <c r="E178" i="6" s="1"/>
  <c r="G178" i="6" s="1"/>
  <c r="P177" i="6"/>
  <c r="Q177" i="6"/>
  <c r="D215" i="6" s="1"/>
  <c r="E243" i="6" s="1"/>
  <c r="G177" i="6"/>
  <c r="P176" i="6"/>
  <c r="O176" i="6"/>
  <c r="Q176" i="6" s="1"/>
  <c r="D206" i="6" s="1"/>
  <c r="E231" i="6" s="1"/>
  <c r="F321" i="6" s="1"/>
  <c r="N176" i="6"/>
  <c r="E176" i="6"/>
  <c r="G176" i="6" s="1"/>
  <c r="C206" i="6" s="1"/>
  <c r="D231" i="6" s="1"/>
  <c r="B321" i="6" s="1"/>
  <c r="P175" i="6"/>
  <c r="O175" i="6"/>
  <c r="N175" i="6"/>
  <c r="G175" i="6"/>
  <c r="C205" i="6" s="1"/>
  <c r="D230" i="6" s="1"/>
  <c r="B320" i="6" s="1"/>
  <c r="P174" i="6"/>
  <c r="O174" i="6"/>
  <c r="N174" i="6"/>
  <c r="E174" i="6"/>
  <c r="G174" i="6" s="1"/>
  <c r="P173" i="6"/>
  <c r="O173" i="6"/>
  <c r="Q173" i="6" s="1"/>
  <c r="D204" i="6" s="1"/>
  <c r="E229" i="6" s="1"/>
  <c r="F319" i="6" s="1"/>
  <c r="N173" i="6"/>
  <c r="G173" i="6"/>
  <c r="C204" i="6" s="1"/>
  <c r="D229" i="6" s="1"/>
  <c r="B319" i="6" s="1"/>
  <c r="P172" i="6"/>
  <c r="O172" i="6"/>
  <c r="Q172" i="6" s="1"/>
  <c r="D203" i="6" s="1"/>
  <c r="E228" i="6" s="1"/>
  <c r="F318" i="6" s="1"/>
  <c r="N172" i="6"/>
  <c r="G172" i="6"/>
  <c r="C203" i="6" s="1"/>
  <c r="D228" i="6" s="1"/>
  <c r="B318" i="6" s="1"/>
  <c r="P171" i="6"/>
  <c r="O171" i="6"/>
  <c r="N171" i="6"/>
  <c r="G171" i="6"/>
  <c r="C202" i="6" s="1"/>
  <c r="D227" i="6" s="1"/>
  <c r="B317" i="6" s="1"/>
  <c r="P170" i="6"/>
  <c r="O170" i="6"/>
  <c r="N170" i="6"/>
  <c r="G170" i="6"/>
  <c r="C201" i="6" s="1"/>
  <c r="D226" i="6" s="1"/>
  <c r="B316" i="6" s="1"/>
  <c r="P169" i="6"/>
  <c r="O169" i="6"/>
  <c r="Q169" i="6" s="1"/>
  <c r="D210" i="6" s="1"/>
  <c r="N169" i="6"/>
  <c r="G169" i="6"/>
  <c r="C210" i="6" s="1"/>
  <c r="P168" i="6"/>
  <c r="O168" i="6"/>
  <c r="N168" i="6"/>
  <c r="B168" i="6"/>
  <c r="E168" i="6" s="1"/>
  <c r="G168" i="6" s="1"/>
  <c r="P167" i="6"/>
  <c r="O167" i="6"/>
  <c r="N167" i="6"/>
  <c r="B167" i="6"/>
  <c r="E167" i="6" s="1"/>
  <c r="G167" i="6" s="1"/>
  <c r="G166" i="6"/>
  <c r="P165" i="6"/>
  <c r="O165" i="6"/>
  <c r="Q165" i="6" s="1"/>
  <c r="N165" i="6"/>
  <c r="G165" i="6"/>
  <c r="P164" i="6"/>
  <c r="O164" i="6"/>
  <c r="N164" i="6"/>
  <c r="Q164" i="6" s="1"/>
  <c r="G164" i="6"/>
  <c r="P163" i="6"/>
  <c r="O163" i="6"/>
  <c r="Q163" i="6" s="1"/>
  <c r="N163" i="6"/>
  <c r="G163" i="6"/>
  <c r="P162" i="6"/>
  <c r="O162" i="6"/>
  <c r="N162" i="6"/>
  <c r="Q162" i="6" s="1"/>
  <c r="G162" i="6"/>
  <c r="P161" i="6"/>
  <c r="O161" i="6"/>
  <c r="Q161" i="6" s="1"/>
  <c r="D211" i="6" s="1"/>
  <c r="N161" i="6"/>
  <c r="G161" i="6"/>
  <c r="C211" i="6" s="1"/>
  <c r="P160" i="6"/>
  <c r="O160" i="6"/>
  <c r="Q160" i="6" s="1"/>
  <c r="N160" i="6"/>
  <c r="G160" i="6"/>
  <c r="B131" i="6"/>
  <c r="E197" i="6" s="1"/>
  <c r="F222" i="6" s="1"/>
  <c r="J312" i="6" s="1"/>
  <c r="B127" i="6"/>
  <c r="B121" i="6"/>
  <c r="E196" i="6" s="1"/>
  <c r="F221" i="6" s="1"/>
  <c r="J311" i="6" s="1"/>
  <c r="B114" i="6"/>
  <c r="B112" i="6"/>
  <c r="B110" i="6"/>
  <c r="B108" i="6"/>
  <c r="B106" i="6"/>
  <c r="B94" i="6"/>
  <c r="B85" i="6"/>
  <c r="B81" i="6"/>
  <c r="B145" i="6" s="1"/>
  <c r="C235" i="6" s="1"/>
  <c r="B66" i="6"/>
  <c r="G63" i="6"/>
  <c r="F63" i="6"/>
  <c r="E63" i="6"/>
  <c r="D63" i="6"/>
  <c r="C63" i="6"/>
  <c r="B63" i="6"/>
  <c r="D305" i="6"/>
  <c r="F40" i="6"/>
  <c r="D37" i="6"/>
  <c r="B17" i="6"/>
  <c r="B16" i="6"/>
  <c r="B7" i="6"/>
  <c r="C146" i="5"/>
  <c r="C143" i="5"/>
  <c r="D142" i="5"/>
  <c r="K131" i="5"/>
  <c r="J131" i="5"/>
  <c r="L131" i="5" s="1"/>
  <c r="D147" i="5" s="1"/>
  <c r="I131" i="5"/>
  <c r="C131" i="5"/>
  <c r="C147" i="5" s="1"/>
  <c r="K130" i="5"/>
  <c r="J130" i="5"/>
  <c r="K129" i="5"/>
  <c r="J129" i="5"/>
  <c r="I129" i="5"/>
  <c r="C129" i="5"/>
  <c r="C145" i="5" s="1"/>
  <c r="K128" i="5"/>
  <c r="J128" i="5"/>
  <c r="L128" i="5" s="1"/>
  <c r="D144" i="5" s="1"/>
  <c r="I128" i="5"/>
  <c r="C128" i="5"/>
  <c r="C144" i="5" s="1"/>
  <c r="K127" i="5"/>
  <c r="J127" i="5"/>
  <c r="I127" i="5"/>
  <c r="C127" i="5"/>
  <c r="K126" i="5"/>
  <c r="J126" i="5"/>
  <c r="I126" i="5"/>
  <c r="L126" i="5" s="1"/>
  <c r="B126" i="5"/>
  <c r="C126" i="5" s="1"/>
  <c r="K125" i="5"/>
  <c r="L125" i="5" s="1"/>
  <c r="B124" i="5"/>
  <c r="C124" i="5" s="1"/>
  <c r="C152" i="5" s="1"/>
  <c r="B123" i="5"/>
  <c r="C123" i="5" s="1"/>
  <c r="C151" i="5" s="1"/>
  <c r="K122" i="5"/>
  <c r="J122" i="5"/>
  <c r="L122" i="5" s="1"/>
  <c r="D150" i="5" s="1"/>
  <c r="I122" i="5"/>
  <c r="B122" i="5"/>
  <c r="C122" i="5" s="1"/>
  <c r="C150" i="5" s="1"/>
  <c r="K121" i="5"/>
  <c r="J121" i="5"/>
  <c r="I121" i="5"/>
  <c r="L121" i="5" s="1"/>
  <c r="D149" i="5" s="1"/>
  <c r="C121" i="5"/>
  <c r="C149" i="5" s="1"/>
  <c r="B120" i="5"/>
  <c r="C120" i="5" s="1"/>
  <c r="C148" i="5" s="1"/>
  <c r="K119" i="5"/>
  <c r="J119" i="5"/>
  <c r="I119" i="5"/>
  <c r="L119" i="5" s="1"/>
  <c r="D141" i="5" s="1"/>
  <c r="E165" i="5" s="1"/>
  <c r="C119" i="5"/>
  <c r="C141" i="5" s="1"/>
  <c r="D165" i="5" s="1"/>
  <c r="K118" i="5"/>
  <c r="J118" i="5"/>
  <c r="I118" i="5"/>
  <c r="L118" i="5" s="1"/>
  <c r="D140" i="5" s="1"/>
  <c r="E164" i="5" s="1"/>
  <c r="C118" i="5"/>
  <c r="C140" i="5" s="1"/>
  <c r="D164" i="5" s="1"/>
  <c r="K117" i="5"/>
  <c r="J117" i="5"/>
  <c r="L117" i="5" s="1"/>
  <c r="D139" i="5" s="1"/>
  <c r="E163" i="5" s="1"/>
  <c r="I117" i="5"/>
  <c r="C117" i="5"/>
  <c r="C139" i="5" s="1"/>
  <c r="D163" i="5" s="1"/>
  <c r="K116" i="5"/>
  <c r="J116" i="5"/>
  <c r="I116" i="5"/>
  <c r="C116" i="5"/>
  <c r="C138" i="5" s="1"/>
  <c r="D162" i="5" s="1"/>
  <c r="K115" i="5"/>
  <c r="J115" i="5"/>
  <c r="L115" i="5" s="1"/>
  <c r="D137" i="5" s="1"/>
  <c r="E161" i="5" s="1"/>
  <c r="I115" i="5"/>
  <c r="B115" i="5"/>
  <c r="C115" i="5" s="1"/>
  <c r="C137" i="5" s="1"/>
  <c r="D161" i="5" s="1"/>
  <c r="K114" i="5"/>
  <c r="J114" i="5"/>
  <c r="I114" i="5"/>
  <c r="C114" i="5"/>
  <c r="C136" i="5" s="1"/>
  <c r="D160" i="5" s="1"/>
  <c r="K113" i="5"/>
  <c r="J113" i="5"/>
  <c r="I113" i="5"/>
  <c r="L113" i="5" s="1"/>
  <c r="D135" i="5" s="1"/>
  <c r="E159" i="5" s="1"/>
  <c r="C113" i="5"/>
  <c r="C135" i="5" s="1"/>
  <c r="B98" i="5"/>
  <c r="B96" i="5"/>
  <c r="B94" i="5"/>
  <c r="B89" i="5"/>
  <c r="B72" i="5"/>
  <c r="G69" i="5"/>
  <c r="F69" i="5"/>
  <c r="E69" i="5"/>
  <c r="D69" i="5"/>
  <c r="C69" i="5"/>
  <c r="B69" i="5"/>
  <c r="D225" i="5"/>
  <c r="F42" i="5"/>
  <c r="B16" i="5"/>
  <c r="B66" i="4"/>
  <c r="G63" i="4"/>
  <c r="F63" i="4"/>
  <c r="E63" i="4"/>
  <c r="D63" i="4"/>
  <c r="C63" i="4"/>
  <c r="B63" i="4"/>
  <c r="D90" i="4"/>
  <c r="D37" i="4"/>
  <c r="B17" i="4"/>
  <c r="B16" i="4"/>
  <c r="B7" i="4"/>
  <c r="B55" i="2"/>
  <c r="G48" i="2"/>
  <c r="F48" i="2"/>
  <c r="E48" i="2"/>
  <c r="D48" i="2"/>
  <c r="B48" i="2"/>
  <c r="B42" i="2"/>
  <c r="E33" i="2"/>
  <c r="I66" i="2" s="1"/>
  <c r="B72" i="3"/>
  <c r="G69" i="3"/>
  <c r="F69" i="3"/>
  <c r="E69" i="3"/>
  <c r="D69" i="3"/>
  <c r="C69" i="3"/>
  <c r="B69" i="3"/>
  <c r="D96" i="3"/>
  <c r="F42" i="3"/>
  <c r="B15" i="3"/>
  <c r="B7" i="3"/>
  <c r="C37" i="2" l="1"/>
  <c r="C64" i="2"/>
  <c r="C38" i="2"/>
  <c r="G64" i="2"/>
  <c r="E254" i="6"/>
  <c r="I331" i="6" s="1"/>
  <c r="G331" i="6"/>
  <c r="F26" i="2"/>
  <c r="J63" i="2" s="1"/>
  <c r="E26" i="2"/>
  <c r="D26" i="2"/>
  <c r="D32" i="2"/>
  <c r="E32" i="2"/>
  <c r="I65" i="2" s="1"/>
  <c r="Q188" i="6"/>
  <c r="Q170" i="6"/>
  <c r="D201" i="6" s="1"/>
  <c r="E226" i="6" s="1"/>
  <c r="F316" i="6" s="1"/>
  <c r="B138" i="6"/>
  <c r="C208" i="6"/>
  <c r="Q171" i="6"/>
  <c r="D202" i="6" s="1"/>
  <c r="E227" i="6" s="1"/>
  <c r="F317" i="6" s="1"/>
  <c r="Q175" i="6"/>
  <c r="D205" i="6" s="1"/>
  <c r="E230" i="6" s="1"/>
  <c r="F320" i="6" s="1"/>
  <c r="Q185" i="6"/>
  <c r="L114" i="5"/>
  <c r="D136" i="5" s="1"/>
  <c r="E160" i="5" s="1"/>
  <c r="L129" i="5"/>
  <c r="D145" i="5" s="1"/>
  <c r="L127" i="5"/>
  <c r="D143" i="5" s="1"/>
  <c r="L116" i="5"/>
  <c r="D138" i="5" s="1"/>
  <c r="E162" i="5" s="1"/>
  <c r="L130" i="5"/>
  <c r="D146" i="5" s="1"/>
  <c r="B90" i="5"/>
  <c r="B105" i="5" s="1"/>
  <c r="H48" i="2"/>
  <c r="H63" i="7"/>
  <c r="H69" i="5"/>
  <c r="H63" i="4"/>
  <c r="H63" i="6"/>
  <c r="D130" i="7"/>
  <c r="E139" i="7" s="1"/>
  <c r="B107" i="7"/>
  <c r="D131" i="7"/>
  <c r="D134" i="7"/>
  <c r="C134" i="7"/>
  <c r="B89" i="7"/>
  <c r="B88" i="7"/>
  <c r="B91" i="7" s="1"/>
  <c r="C144" i="7"/>
  <c r="C143" i="7"/>
  <c r="C33" i="7"/>
  <c r="E57" i="7"/>
  <c r="B19" i="7"/>
  <c r="G140" i="7" s="1"/>
  <c r="B20" i="7"/>
  <c r="C48" i="7" s="1"/>
  <c r="D199" i="6"/>
  <c r="E224" i="6" s="1"/>
  <c r="F314" i="6" s="1"/>
  <c r="B139" i="6"/>
  <c r="D200" i="6"/>
  <c r="E225" i="6" s="1"/>
  <c r="F315" i="6" s="1"/>
  <c r="B136" i="6"/>
  <c r="D198" i="6"/>
  <c r="E223" i="6" s="1"/>
  <c r="F313" i="6" s="1"/>
  <c r="B133" i="6"/>
  <c r="B128" i="6"/>
  <c r="D197" i="6"/>
  <c r="E222" i="6" s="1"/>
  <c r="F312" i="6" s="1"/>
  <c r="D196" i="6"/>
  <c r="E221" i="6" s="1"/>
  <c r="F311" i="6" s="1"/>
  <c r="B123" i="6"/>
  <c r="B125" i="6"/>
  <c r="D195" i="6"/>
  <c r="E220" i="6" s="1"/>
  <c r="F310" i="6" s="1"/>
  <c r="D213" i="6"/>
  <c r="D212" i="6"/>
  <c r="D207" i="6"/>
  <c r="E232" i="6" s="1"/>
  <c r="C207" i="6"/>
  <c r="D232" i="6" s="1"/>
  <c r="C212" i="6"/>
  <c r="C213" i="6"/>
  <c r="D209" i="6"/>
  <c r="D214" i="6"/>
  <c r="C214" i="6"/>
  <c r="C209" i="6"/>
  <c r="B95" i="6"/>
  <c r="B103" i="6"/>
  <c r="B100" i="6"/>
  <c r="B97" i="6"/>
  <c r="B96" i="6"/>
  <c r="B99" i="6"/>
  <c r="B98" i="6"/>
  <c r="B86" i="6"/>
  <c r="B19" i="6"/>
  <c r="G234" i="6" s="1"/>
  <c r="O322" i="6" s="1"/>
  <c r="B20" i="6"/>
  <c r="C33" i="6"/>
  <c r="E57" i="6"/>
  <c r="C155" i="5"/>
  <c r="D154" i="5"/>
  <c r="C154" i="5"/>
  <c r="D153" i="5"/>
  <c r="C153" i="5"/>
  <c r="B18" i="5"/>
  <c r="B19" i="4"/>
  <c r="B20" i="4"/>
  <c r="E57" i="4"/>
  <c r="C33" i="4"/>
  <c r="B18" i="3"/>
  <c r="C215" i="6"/>
  <c r="D243" i="6" s="1"/>
  <c r="B53" i="2"/>
  <c r="F152" i="7" l="1"/>
  <c r="B166" i="7" s="1"/>
  <c r="O202" i="7"/>
  <c r="B37" i="2"/>
  <c r="B63" i="2"/>
  <c r="D44" i="2"/>
  <c r="B54" i="2" s="1"/>
  <c r="E65" i="2"/>
  <c r="B38" i="2"/>
  <c r="F63" i="2"/>
  <c r="D254" i="6"/>
  <c r="E331" i="6" s="1"/>
  <c r="C331" i="6"/>
  <c r="B39" i="2"/>
  <c r="B40" i="2"/>
  <c r="E143" i="7"/>
  <c r="D143" i="7"/>
  <c r="B101" i="6"/>
  <c r="B102" i="6" s="1"/>
  <c r="B154" i="6" s="1"/>
  <c r="E244" i="6" s="1"/>
  <c r="B106" i="5"/>
  <c r="B108" i="5" s="1"/>
  <c r="B107" i="5"/>
  <c r="C168" i="5" s="1"/>
  <c r="C167" i="5"/>
  <c r="G167" i="5"/>
  <c r="O231" i="5" s="1"/>
  <c r="B90" i="7"/>
  <c r="B115" i="7" s="1"/>
  <c r="B116" i="7" s="1"/>
  <c r="D142" i="7" s="1"/>
  <c r="B108" i="7"/>
  <c r="B109" i="7" s="1"/>
  <c r="B110" i="7" s="1"/>
  <c r="D144" i="7"/>
  <c r="D155" i="7" s="1"/>
  <c r="B168" i="7" s="1"/>
  <c r="E144" i="7"/>
  <c r="C31" i="7"/>
  <c r="D31" i="7" s="1"/>
  <c r="D33" i="7"/>
  <c r="B188" i="7" s="1"/>
  <c r="E33" i="7"/>
  <c r="F188" i="7" s="1"/>
  <c r="C37" i="7"/>
  <c r="C193" i="7" s="1"/>
  <c r="F37" i="7"/>
  <c r="O193" i="7" s="1"/>
  <c r="B112" i="7"/>
  <c r="B113" i="7" s="1"/>
  <c r="B114" i="7" s="1"/>
  <c r="C141" i="7" s="1"/>
  <c r="B23" i="7"/>
  <c r="B24" i="7" s="1"/>
  <c r="B25" i="7" s="1"/>
  <c r="C46" i="7"/>
  <c r="D199" i="7" s="1"/>
  <c r="D38" i="7"/>
  <c r="F39" i="7"/>
  <c r="O195" i="7" s="1"/>
  <c r="C42" i="7"/>
  <c r="D197" i="7" s="1"/>
  <c r="C43" i="7"/>
  <c r="F45" i="7"/>
  <c r="O199" i="7" s="1"/>
  <c r="F38" i="7"/>
  <c r="O194" i="7" s="1"/>
  <c r="C40" i="7"/>
  <c r="C196" i="7" s="1"/>
  <c r="E235" i="6"/>
  <c r="D235" i="6"/>
  <c r="C246" i="6"/>
  <c r="F263" i="6"/>
  <c r="B274" i="6" s="1"/>
  <c r="B23" i="6"/>
  <c r="B24" i="6" s="1"/>
  <c r="B25" i="6" s="1"/>
  <c r="C37" i="6"/>
  <c r="C301" i="6" s="1"/>
  <c r="F37" i="6"/>
  <c r="O301" i="6" s="1"/>
  <c r="B141" i="6"/>
  <c r="C46" i="6"/>
  <c r="D38" i="6"/>
  <c r="G302" i="6" s="1"/>
  <c r="F38" i="6"/>
  <c r="O302" i="6" s="1"/>
  <c r="F39" i="6"/>
  <c r="O303" i="6" s="1"/>
  <c r="C40" i="6"/>
  <c r="C42" i="6"/>
  <c r="D307" i="6" s="1"/>
  <c r="C43" i="6"/>
  <c r="F45" i="6"/>
  <c r="O306" i="6" s="1"/>
  <c r="C48" i="6"/>
  <c r="D33" i="6"/>
  <c r="B296" i="6" s="1"/>
  <c r="E33" i="6"/>
  <c r="F296" i="6" s="1"/>
  <c r="C31" i="6"/>
  <c r="B20" i="5"/>
  <c r="B21" i="5" s="1"/>
  <c r="B23" i="4"/>
  <c r="B24" i="4" s="1"/>
  <c r="B25" i="4" s="1"/>
  <c r="C37" i="4"/>
  <c r="C86" i="4" s="1"/>
  <c r="F37" i="4"/>
  <c r="O86" i="4" s="1"/>
  <c r="D38" i="4"/>
  <c r="G87" i="4" s="1"/>
  <c r="F38" i="4"/>
  <c r="F39" i="4"/>
  <c r="O88" i="4" s="1"/>
  <c r="C40" i="4"/>
  <c r="C89" i="4" s="1"/>
  <c r="C42" i="4"/>
  <c r="D92" i="4" s="1"/>
  <c r="C43" i="4"/>
  <c r="D87" i="4" s="1"/>
  <c r="F45" i="4"/>
  <c r="O91" i="4" s="1"/>
  <c r="C46" i="4"/>
  <c r="C48" i="4"/>
  <c r="E93" i="4" s="1"/>
  <c r="D33" i="4"/>
  <c r="E33" i="4"/>
  <c r="F81" i="4" s="1"/>
  <c r="C31" i="4"/>
  <c r="B20" i="3"/>
  <c r="D40" i="6" l="1"/>
  <c r="C304" i="6"/>
  <c r="D46" i="6"/>
  <c r="H306" i="6" s="1"/>
  <c r="D306" i="6"/>
  <c r="E308" i="6"/>
  <c r="E58" i="6"/>
  <c r="D302" i="6"/>
  <c r="D194" i="7"/>
  <c r="O87" i="4"/>
  <c r="F56" i="4"/>
  <c r="B70" i="4" s="1"/>
  <c r="G194" i="7"/>
  <c r="E200" i="7"/>
  <c r="B51" i="2"/>
  <c r="B56" i="2" s="1"/>
  <c r="D46" i="7"/>
  <c r="H199" i="7" s="1"/>
  <c r="D40" i="7"/>
  <c r="E246" i="6"/>
  <c r="I323" i="6" s="1"/>
  <c r="G323" i="6"/>
  <c r="D246" i="6"/>
  <c r="E323" i="6" s="1"/>
  <c r="C323" i="6"/>
  <c r="F182" i="5"/>
  <c r="B193" i="5" s="1"/>
  <c r="D40" i="4"/>
  <c r="D46" i="4"/>
  <c r="B81" i="4"/>
  <c r="B21" i="3"/>
  <c r="B25" i="3"/>
  <c r="B26" i="3" s="1"/>
  <c r="B27" i="3" s="1"/>
  <c r="F56" i="7"/>
  <c r="B70" i="7" s="1"/>
  <c r="B177" i="7" s="1"/>
  <c r="F56" i="6"/>
  <c r="B70" i="6" s="1"/>
  <c r="B285" i="6" s="1"/>
  <c r="B109" i="5"/>
  <c r="C166" i="5" s="1"/>
  <c r="C169" i="5"/>
  <c r="C170" i="5"/>
  <c r="D167" i="5"/>
  <c r="C171" i="5"/>
  <c r="E167" i="5"/>
  <c r="G238" i="5" s="1"/>
  <c r="D168" i="5"/>
  <c r="C172" i="5"/>
  <c r="E168" i="5"/>
  <c r="G239" i="5" s="1"/>
  <c r="F31" i="7"/>
  <c r="E31" i="7"/>
  <c r="E141" i="7"/>
  <c r="G203" i="7" s="1"/>
  <c r="D141" i="7"/>
  <c r="E142" i="7"/>
  <c r="C154" i="7"/>
  <c r="E29" i="7"/>
  <c r="F192" i="7" s="1"/>
  <c r="C30" i="7"/>
  <c r="D29" i="7"/>
  <c r="B192" i="7" s="1"/>
  <c r="F29" i="7"/>
  <c r="J192" i="7" s="1"/>
  <c r="C38" i="7"/>
  <c r="C194" i="7" s="1"/>
  <c r="C39" i="7"/>
  <c r="C195" i="7" s="1"/>
  <c r="E52" i="7"/>
  <c r="D42" i="7"/>
  <c r="H197" i="7" s="1"/>
  <c r="E58" i="7"/>
  <c r="D43" i="7"/>
  <c r="H194" i="7" s="1"/>
  <c r="C32" i="7"/>
  <c r="D48" i="7"/>
  <c r="D59" i="7"/>
  <c r="B72" i="7" s="1"/>
  <c r="C30" i="6"/>
  <c r="F29" i="6"/>
  <c r="J300" i="6" s="1"/>
  <c r="E29" i="6"/>
  <c r="F300" i="6" s="1"/>
  <c r="D29" i="6"/>
  <c r="B300" i="6" s="1"/>
  <c r="B147" i="6"/>
  <c r="B151" i="6" s="1"/>
  <c r="C240" i="6" s="1"/>
  <c r="B143" i="6"/>
  <c r="B144" i="6" s="1"/>
  <c r="B148" i="6"/>
  <c r="B152" i="6" s="1"/>
  <c r="C241" i="6" s="1"/>
  <c r="B142" i="6"/>
  <c r="B146" i="6"/>
  <c r="B150" i="6" s="1"/>
  <c r="C239" i="6" s="1"/>
  <c r="B149" i="6"/>
  <c r="B153" i="6" s="1"/>
  <c r="C242" i="6" s="1"/>
  <c r="C39" i="6"/>
  <c r="C38" i="6"/>
  <c r="D42" i="6"/>
  <c r="H307" i="6" s="1"/>
  <c r="E52" i="6"/>
  <c r="D43" i="6"/>
  <c r="H302" i="6" s="1"/>
  <c r="C32" i="6"/>
  <c r="D48" i="6"/>
  <c r="I308" i="6" s="1"/>
  <c r="D59" i="6"/>
  <c r="B72" i="6" s="1"/>
  <c r="F31" i="6"/>
  <c r="E31" i="6"/>
  <c r="D31" i="6"/>
  <c r="F39" i="5"/>
  <c r="O220" i="5" s="1"/>
  <c r="D39" i="5"/>
  <c r="G220" i="5" s="1"/>
  <c r="C39" i="5"/>
  <c r="C220" i="5" s="1"/>
  <c r="B25" i="5"/>
  <c r="B26" i="5" s="1"/>
  <c r="B27" i="5" s="1"/>
  <c r="B22" i="5"/>
  <c r="D40" i="5" s="1"/>
  <c r="C35" i="5"/>
  <c r="C49" i="5"/>
  <c r="D49" i="5" s="1"/>
  <c r="E50" i="5"/>
  <c r="C51" i="5"/>
  <c r="D228" i="5" s="1"/>
  <c r="C52" i="5"/>
  <c r="D229" i="5" s="1"/>
  <c r="E63" i="5"/>
  <c r="C30" i="4"/>
  <c r="F29" i="4"/>
  <c r="J85" i="4" s="1"/>
  <c r="E29" i="4"/>
  <c r="F85" i="4" s="1"/>
  <c r="D29" i="4"/>
  <c r="B85" i="4" s="1"/>
  <c r="C39" i="4"/>
  <c r="C88" i="4" s="1"/>
  <c r="C38" i="4"/>
  <c r="C87" i="4" s="1"/>
  <c r="D42" i="4"/>
  <c r="H92" i="4" s="1"/>
  <c r="E52" i="4"/>
  <c r="D43" i="4"/>
  <c r="H87" i="4" s="1"/>
  <c r="E58" i="4"/>
  <c r="C32" i="4"/>
  <c r="D48" i="4"/>
  <c r="I93" i="4" s="1"/>
  <c r="D59" i="4"/>
  <c r="B72" i="4" s="1"/>
  <c r="F31" i="4"/>
  <c r="J83" i="4" s="1"/>
  <c r="E31" i="4"/>
  <c r="F83" i="4" s="1"/>
  <c r="D31" i="4"/>
  <c r="B83" i="4" s="1"/>
  <c r="F39" i="3"/>
  <c r="O92" i="3" s="1"/>
  <c r="D39" i="3"/>
  <c r="G92" i="3" s="1"/>
  <c r="C39" i="3"/>
  <c r="C92" i="3" s="1"/>
  <c r="E255" i="6"/>
  <c r="D244" i="6"/>
  <c r="C140" i="7"/>
  <c r="D140" i="7" s="1"/>
  <c r="C202" i="7" s="1"/>
  <c r="B111" i="7"/>
  <c r="C138" i="7" s="1"/>
  <c r="D138" i="7" s="1"/>
  <c r="B190" i="7" s="1"/>
  <c r="C53" i="4" l="1"/>
  <c r="G89" i="4"/>
  <c r="C52" i="6"/>
  <c r="B71" i="6" s="1"/>
  <c r="C303" i="6"/>
  <c r="C148" i="7"/>
  <c r="C203" i="7"/>
  <c r="I200" i="7"/>
  <c r="C58" i="6"/>
  <c r="B58" i="6" s="1"/>
  <c r="C302" i="6"/>
  <c r="C40" i="5"/>
  <c r="C221" i="5" s="1"/>
  <c r="G221" i="5"/>
  <c r="C53" i="6"/>
  <c r="G304" i="6"/>
  <c r="C53" i="7"/>
  <c r="G196" i="7"/>
  <c r="C58" i="7"/>
  <c r="B58" i="7" s="1"/>
  <c r="C52" i="7"/>
  <c r="D169" i="5"/>
  <c r="C240" i="5" s="1"/>
  <c r="E169" i="5"/>
  <c r="C173" i="5"/>
  <c r="D170" i="5"/>
  <c r="C241" i="5" s="1"/>
  <c r="E170" i="5"/>
  <c r="G241" i="5" s="1"/>
  <c r="C174" i="5"/>
  <c r="E171" i="5"/>
  <c r="I238" i="5" s="1"/>
  <c r="D171" i="5"/>
  <c r="E238" i="5" s="1"/>
  <c r="C183" i="5"/>
  <c r="C238" i="5"/>
  <c r="C178" i="5"/>
  <c r="C239" i="5"/>
  <c r="E60" i="5"/>
  <c r="L227" i="5"/>
  <c r="C52" i="4"/>
  <c r="C58" i="4"/>
  <c r="B58" i="4" s="1"/>
  <c r="F166" i="5"/>
  <c r="B180" i="5" s="1"/>
  <c r="B181" i="5" s="1"/>
  <c r="D166" i="5"/>
  <c r="B178" i="5" s="1"/>
  <c r="E63" i="3"/>
  <c r="C49" i="3"/>
  <c r="D49" i="3" s="1"/>
  <c r="C51" i="3"/>
  <c r="D99" i="3" s="1"/>
  <c r="B22" i="3"/>
  <c r="C52" i="3"/>
  <c r="D100" i="3" s="1"/>
  <c r="E50" i="3"/>
  <c r="L98" i="3" s="1"/>
  <c r="C35" i="3"/>
  <c r="F31" i="3"/>
  <c r="J91" i="3" s="1"/>
  <c r="E31" i="3"/>
  <c r="F91" i="3" s="1"/>
  <c r="C32" i="3"/>
  <c r="D31" i="3"/>
  <c r="B91" i="3" s="1"/>
  <c r="E53" i="6"/>
  <c r="B73" i="6" s="1"/>
  <c r="E166" i="5"/>
  <c r="B179" i="5" s="1"/>
  <c r="E53" i="4"/>
  <c r="B73" i="4" s="1"/>
  <c r="D172" i="5"/>
  <c r="E239" i="5" s="1"/>
  <c r="E172" i="5"/>
  <c r="I239" i="5" s="1"/>
  <c r="D30" i="7"/>
  <c r="B191" i="7" s="1"/>
  <c r="E30" i="7"/>
  <c r="F191" i="7" s="1"/>
  <c r="F30" i="7"/>
  <c r="D32" i="7"/>
  <c r="B189" i="7" s="1"/>
  <c r="E32" i="7"/>
  <c r="F189" i="7" s="1"/>
  <c r="D30" i="6"/>
  <c r="B299" i="6" s="1"/>
  <c r="E30" i="6"/>
  <c r="F299" i="6" s="1"/>
  <c r="F30" i="6"/>
  <c r="J299" i="6" s="1"/>
  <c r="E240" i="6"/>
  <c r="C251" i="6"/>
  <c r="D240" i="6"/>
  <c r="C238" i="6"/>
  <c r="C236" i="6"/>
  <c r="C237" i="6"/>
  <c r="E241" i="6"/>
  <c r="C252" i="6"/>
  <c r="D241" i="6"/>
  <c r="B156" i="6"/>
  <c r="C234" i="6" s="1"/>
  <c r="D234" i="6" s="1"/>
  <c r="C322" i="6" s="1"/>
  <c r="E239" i="6"/>
  <c r="C250" i="6"/>
  <c r="D239" i="6"/>
  <c r="E242" i="6"/>
  <c r="D242" i="6"/>
  <c r="C253" i="6"/>
  <c r="D32" i="6"/>
  <c r="B297" i="6" s="1"/>
  <c r="E32" i="6"/>
  <c r="F297" i="6" s="1"/>
  <c r="C48" i="5"/>
  <c r="D226" i="5" s="1"/>
  <c r="F40" i="5"/>
  <c r="O221" i="5" s="1"/>
  <c r="F41" i="5"/>
  <c r="O222" i="5" s="1"/>
  <c r="C42" i="5"/>
  <c r="C223" i="5" s="1"/>
  <c r="C44" i="5"/>
  <c r="D224" i="5" s="1"/>
  <c r="C45" i="5"/>
  <c r="D221" i="5" s="1"/>
  <c r="F47" i="5"/>
  <c r="O226" i="5" s="1"/>
  <c r="C54" i="5"/>
  <c r="E230" i="5" s="1"/>
  <c r="D35" i="5"/>
  <c r="B215" i="5" s="1"/>
  <c r="E35" i="5"/>
  <c r="F215" i="5" s="1"/>
  <c r="C33" i="5"/>
  <c r="D30" i="4"/>
  <c r="B84" i="4" s="1"/>
  <c r="E30" i="4"/>
  <c r="F84" i="4" s="1"/>
  <c r="F30" i="4"/>
  <c r="B55" i="4"/>
  <c r="D32" i="4"/>
  <c r="B82" i="4" s="1"/>
  <c r="E32" i="4"/>
  <c r="F82" i="4" s="1"/>
  <c r="D255" i="6"/>
  <c r="E265" i="6" s="1"/>
  <c r="B277" i="6" s="1"/>
  <c r="C265" i="6"/>
  <c r="E140" i="7"/>
  <c r="C153" i="7"/>
  <c r="F138" i="7"/>
  <c r="B150" i="7" s="1"/>
  <c r="B151" i="7" s="1"/>
  <c r="B148" i="7"/>
  <c r="E138" i="7"/>
  <c r="B149" i="7" s="1"/>
  <c r="E53" i="7"/>
  <c r="B179" i="7"/>
  <c r="D31" i="5"/>
  <c r="B219" i="5" s="1"/>
  <c r="E31" i="5"/>
  <c r="F219" i="5" s="1"/>
  <c r="F31" i="5"/>
  <c r="J219" i="5" s="1"/>
  <c r="C32" i="5"/>
  <c r="J190" i="7" l="1"/>
  <c r="F190" i="7"/>
  <c r="B71" i="4"/>
  <c r="B54" i="4"/>
  <c r="J84" i="4"/>
  <c r="B55" i="7"/>
  <c r="J191" i="7"/>
  <c r="C149" i="7"/>
  <c r="G202" i="7"/>
  <c r="B71" i="7"/>
  <c r="E251" i="6"/>
  <c r="I328" i="6" s="1"/>
  <c r="G328" i="6"/>
  <c r="D251" i="6"/>
  <c r="E328" i="6" s="1"/>
  <c r="C328" i="6"/>
  <c r="E252" i="6"/>
  <c r="I329" i="6" s="1"/>
  <c r="G329" i="6"/>
  <c r="D252" i="6"/>
  <c r="E329" i="6" s="1"/>
  <c r="C329" i="6"/>
  <c r="E250" i="6"/>
  <c r="I327" i="6" s="1"/>
  <c r="G327" i="6"/>
  <c r="D250" i="6"/>
  <c r="E327" i="6" s="1"/>
  <c r="C327" i="6"/>
  <c r="E253" i="6"/>
  <c r="I330" i="6" s="1"/>
  <c r="G330" i="6"/>
  <c r="D253" i="6"/>
  <c r="E330" i="6" s="1"/>
  <c r="C330" i="6"/>
  <c r="B288" i="6"/>
  <c r="G240" i="5"/>
  <c r="C179" i="5"/>
  <c r="D173" i="5"/>
  <c r="E173" i="5"/>
  <c r="I240" i="5" s="1"/>
  <c r="D174" i="5"/>
  <c r="E241" i="5" s="1"/>
  <c r="E174" i="5"/>
  <c r="I241" i="5" s="1"/>
  <c r="B194" i="5"/>
  <c r="D48" i="5"/>
  <c r="H226" i="5" s="1"/>
  <c r="F62" i="5"/>
  <c r="B76" i="5" s="1"/>
  <c r="B204" i="5" s="1"/>
  <c r="D42" i="5"/>
  <c r="G223" i="5" s="1"/>
  <c r="B192" i="5"/>
  <c r="F41" i="3"/>
  <c r="O94" i="3" s="1"/>
  <c r="C48" i="3"/>
  <c r="D97" i="3" s="1"/>
  <c r="D40" i="3"/>
  <c r="G93" i="3" s="1"/>
  <c r="F40" i="3"/>
  <c r="O93" i="3" s="1"/>
  <c r="C42" i="3"/>
  <c r="C95" i="3" s="1"/>
  <c r="C44" i="3"/>
  <c r="D101" i="3" s="1"/>
  <c r="F47" i="3"/>
  <c r="E60" i="3"/>
  <c r="C45" i="3"/>
  <c r="C54" i="3"/>
  <c r="E102" i="3" s="1"/>
  <c r="C33" i="3"/>
  <c r="E33" i="3" s="1"/>
  <c r="F89" i="3" s="1"/>
  <c r="D35" i="3"/>
  <c r="B87" i="3" s="1"/>
  <c r="E35" i="3"/>
  <c r="F87" i="3" s="1"/>
  <c r="E32" i="3"/>
  <c r="F90" i="3" s="1"/>
  <c r="F32" i="3"/>
  <c r="D32" i="3"/>
  <c r="B90" i="3" s="1"/>
  <c r="B165" i="7"/>
  <c r="B54" i="7"/>
  <c r="B73" i="7"/>
  <c r="B180" i="7" s="1"/>
  <c r="B52" i="6"/>
  <c r="B53" i="6"/>
  <c r="E238" i="6"/>
  <c r="D238" i="6"/>
  <c r="C249" i="6"/>
  <c r="E236" i="6"/>
  <c r="G324" i="6" s="1"/>
  <c r="C247" i="6"/>
  <c r="D236" i="6"/>
  <c r="E237" i="6"/>
  <c r="D237" i="6"/>
  <c r="C248" i="6"/>
  <c r="E234" i="6"/>
  <c r="G322" i="6" s="1"/>
  <c r="C245" i="6"/>
  <c r="C259" i="6"/>
  <c r="D245" i="6"/>
  <c r="E322" i="6" s="1"/>
  <c r="C41" i="5"/>
  <c r="C222" i="5" s="1"/>
  <c r="D44" i="5"/>
  <c r="H224" i="5" s="1"/>
  <c r="E58" i="5"/>
  <c r="D45" i="5"/>
  <c r="H221" i="5" s="1"/>
  <c r="E64" i="5"/>
  <c r="C34" i="5"/>
  <c r="D54" i="5"/>
  <c r="I230" i="5" s="1"/>
  <c r="D65" i="5"/>
  <c r="B78" i="5" s="1"/>
  <c r="F33" i="5"/>
  <c r="J217" i="5" s="1"/>
  <c r="E33" i="5"/>
  <c r="F217" i="5" s="1"/>
  <c r="D33" i="5"/>
  <c r="B217" i="5" s="1"/>
  <c r="F32" i="5"/>
  <c r="J218" i="5" s="1"/>
  <c r="E32" i="5"/>
  <c r="F218" i="5" s="1"/>
  <c r="D32" i="5"/>
  <c r="B218" i="5" s="1"/>
  <c r="B53" i="4"/>
  <c r="B52" i="7"/>
  <c r="B53" i="7"/>
  <c r="B52" i="4"/>
  <c r="B54" i="6"/>
  <c r="B55" i="6"/>
  <c r="B178" i="7" l="1"/>
  <c r="E64" i="3"/>
  <c r="D93" i="3"/>
  <c r="B170" i="7"/>
  <c r="O97" i="3"/>
  <c r="F62" i="3"/>
  <c r="B76" i="3" s="1"/>
  <c r="E249" i="6"/>
  <c r="I326" i="6" s="1"/>
  <c r="G326" i="6"/>
  <c r="D249" i="6"/>
  <c r="E326" i="6" s="1"/>
  <c r="C326" i="6"/>
  <c r="D247" i="6"/>
  <c r="C324" i="6"/>
  <c r="E248" i="6"/>
  <c r="I325" i="6" s="1"/>
  <c r="G325" i="6"/>
  <c r="D248" i="6"/>
  <c r="E325" i="6" s="1"/>
  <c r="C325" i="6"/>
  <c r="E240" i="5"/>
  <c r="D185" i="5"/>
  <c r="B195" i="5" s="1"/>
  <c r="C59" i="5"/>
  <c r="C58" i="5"/>
  <c r="C64" i="5"/>
  <c r="B64" i="5" s="1"/>
  <c r="C34" i="3"/>
  <c r="D44" i="3"/>
  <c r="H101" i="3" s="1"/>
  <c r="E58" i="3"/>
  <c r="D54" i="3"/>
  <c r="I102" i="3" s="1"/>
  <c r="D65" i="3"/>
  <c r="B78" i="3" s="1"/>
  <c r="C41" i="3"/>
  <c r="C94" i="3" s="1"/>
  <c r="C40" i="3"/>
  <c r="C93" i="3" s="1"/>
  <c r="D45" i="3"/>
  <c r="H93" i="3" s="1"/>
  <c r="F33" i="3"/>
  <c r="B61" i="3" s="1"/>
  <c r="D33" i="3"/>
  <c r="D48" i="3"/>
  <c r="H97" i="3" s="1"/>
  <c r="D42" i="3"/>
  <c r="G95" i="3" s="1"/>
  <c r="J90" i="3"/>
  <c r="B69" i="7"/>
  <c r="B69" i="6"/>
  <c r="B74" i="6" s="1"/>
  <c r="B60" i="5"/>
  <c r="B69" i="4"/>
  <c r="B74" i="4" s="1"/>
  <c r="B61" i="5"/>
  <c r="E247" i="6"/>
  <c r="I324" i="6" s="1"/>
  <c r="B155" i="6"/>
  <c r="C219" i="6" s="1"/>
  <c r="D219" i="6" s="1"/>
  <c r="B298" i="6" s="1"/>
  <c r="E245" i="6"/>
  <c r="I322" i="6" s="1"/>
  <c r="C260" i="6"/>
  <c r="D34" i="5"/>
  <c r="E34" i="5"/>
  <c r="D266" i="6"/>
  <c r="B276" i="6" s="1"/>
  <c r="E59" i="5"/>
  <c r="B79" i="5" s="1"/>
  <c r="B207" i="5" s="1"/>
  <c r="B77" i="5" l="1"/>
  <c r="B205" i="5" s="1"/>
  <c r="C264" i="6"/>
  <c r="B286" i="6" s="1"/>
  <c r="E324" i="6"/>
  <c r="B197" i="5"/>
  <c r="B206" i="5"/>
  <c r="B58" i="5"/>
  <c r="B216" i="5"/>
  <c r="B59" i="5"/>
  <c r="F216" i="5"/>
  <c r="C58" i="3"/>
  <c r="D34" i="3"/>
  <c r="E34" i="3"/>
  <c r="B59" i="3" s="1"/>
  <c r="C64" i="3"/>
  <c r="B64" i="3" s="1"/>
  <c r="J89" i="3"/>
  <c r="B60" i="3"/>
  <c r="E59" i="3"/>
  <c r="B79" i="3" s="1"/>
  <c r="B89" i="3"/>
  <c r="C59" i="3"/>
  <c r="B287" i="6"/>
  <c r="B259" i="6"/>
  <c r="E219" i="6"/>
  <c r="F219" i="6"/>
  <c r="B176" i="7"/>
  <c r="B181" i="7" s="1"/>
  <c r="B74" i="7"/>
  <c r="F88" i="3" l="1"/>
  <c r="B77" i="3"/>
  <c r="B260" i="6"/>
  <c r="F298" i="6"/>
  <c r="B261" i="6"/>
  <c r="B262" i="6" s="1"/>
  <c r="J298" i="6"/>
  <c r="B75" i="5"/>
  <c r="B88" i="3"/>
  <c r="B58" i="3"/>
  <c r="B75" i="3" s="1"/>
  <c r="B80" i="3" l="1"/>
  <c r="B273" i="6"/>
  <c r="B278" i="6" s="1"/>
  <c r="B203" i="5"/>
  <c r="B208" i="5" s="1"/>
  <c r="B80" i="5"/>
  <c r="B284" i="6"/>
  <c r="B289" i="6" s="1"/>
  <c r="B7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Shanice Taylor</author>
  </authors>
  <commentList>
    <comment ref="B13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 xml:space="preserve">Author:
[Table 1 in doi.org/10.1038/s41526-023-00324-w] </t>
        </r>
      </text>
    </comment>
    <comment ref="C13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Author:
[Table 1 in doi.org/10.1038/s41526-023-00324-w]</t>
        </r>
      </text>
    </comment>
    <comment ref="D13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Author:
[Table 1 in doi.org/10.1038/s41526-023-00324-w]</t>
        </r>
      </text>
    </comment>
    <comment ref="E13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Author:
[Table 1 in doi.org/10.1038/s41526-023-00324-w]</t>
        </r>
      </text>
    </comment>
    <comment ref="F13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Author:
[Table 1 in doi.org/10.1038/s41526-023-00324-w]</t>
        </r>
      </text>
    </comment>
    <comment ref="G13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Author:
[Table 1 in doi.org/10.1038/s41526-023-00324-w]</t>
        </r>
      </text>
    </comment>
    <comment ref="H13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Author:
= 0.940 kg/CM-h 
[Table 3-30 in 
https://ntrs.nasa.gov/api/citations/20210024855/downloads/BVAD_2.15.22-final.pdf]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Shanice Taylor</author>
  </authors>
  <commentList>
    <comment ref="B22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 xml:space="preserve">Shanice Taylor:
(0.0254^3) m^3 = 1 inch^3
</t>
        </r>
      </text>
    </comment>
    <comment ref="D26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Shanice Taylor:
 (321 kg + 91 kg) * equipment qty 
- (Mass of refrigeration unit (321 kg) + secondary structure mass (91 kg)) * quantity of refrigeration unit
[Table 4-49 in https://ntrs.nasa.gov/api/citations/20210024855/downloads/BVAD_2.15.22-final.pdf]</t>
        </r>
      </text>
    </comment>
    <comment ref="E26" authorId="0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>Shanice Taylor:
= 2 m^3 * [equipment qty]
- Volume of refrigerator including rack * qty of rerfrigerators
[Table 4-49 in https://ntrs.nasa.gov/api/citations/20210024855/downloads/BVAD_2.15.22-final.pdf]</t>
        </r>
      </text>
    </comment>
    <comment ref="F26" authorId="0" shapeId="0" xr:uid="{00000000-0006-0000-0100-000006000000}">
      <text>
        <r>
          <rPr>
            <sz val="11"/>
            <color theme="1"/>
            <rFont val="Calibri"/>
            <family val="2"/>
            <scheme val="minor"/>
          </rPr>
          <t>Shanice Taylor:
= 0.205 kW * [equipment qty]
- Power of refrigerator * qty of rerfrigerators
[Table 4-49 in https://ntrs.nasa.gov/api/citations/20210024855/downloads/BVAD_2.15.22-final.pdf]</t>
        </r>
      </text>
    </comment>
    <comment ref="E30" authorId="0" shapeId="0" xr:uid="{00000000-0006-0000-0100-000007000000}">
      <text>
        <r>
          <rPr>
            <sz val="11"/>
            <color theme="1"/>
            <rFont val="Calibri"/>
            <family val="2"/>
            <scheme val="minor"/>
          </rPr>
          <t>Shanice Taylor:
How was 0.73728 m3 calculated? I'm getting 0.755 m3.  Karen:  Yes, you are correct, I had rounded off the conversion factor for cubic inches to cubic meters</t>
        </r>
      </text>
    </comment>
    <comment ref="C31" authorId="0" shapeId="0" xr:uid="{00000000-0006-0000-0100-000008000000}">
      <text>
        <r>
          <rPr>
            <sz val="11"/>
            <color theme="1"/>
            <rFont val="Calibri"/>
            <family val="2"/>
            <scheme val="minor"/>
          </rPr>
          <t>Shanice Taylor:
FLOWN generates no useful outputs across any metric</t>
        </r>
      </text>
    </comment>
    <comment ref="D32" authorId="0" shapeId="0" xr:uid="{00000000-0006-0000-0100-000009000000}">
      <text>
        <r>
          <rPr>
            <sz val="11"/>
            <color theme="1"/>
            <rFont val="Calibri"/>
            <family val="2"/>
            <scheme val="minor"/>
          </rPr>
          <t>Shanice Taylor:
How was 53.76 kg calculated? I'm getting 50.32 kg (32.76 g empty injection pen * 1536 units / 1000 g)
Karen:  see formula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Shanice Taylor</author>
    <author>Karen McDonald</author>
  </authors>
  <commentList>
    <comment ref="B16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Shanice Taylor:
= 131.35 g FW/m^2-d * 28 d * 1 kg/1000 g
- 131.35 g FW/m^2-d 
[Table 4-90 https://ntrs.nasa.gov/api/citations/20210024855/downloads/BVAD_2.15.22-final.pdf]
- 28-day growth period for lettuce</t>
        </r>
      </text>
    </comment>
    <comment ref="B17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 xml:space="preserve">Shanice Taylor:
[Table 4-111 in https://ntrs.nasa.gov/api/citations/20210024855/downloads/BVAD_2.15.22-final.pdf]
</t>
        </r>
      </text>
    </comment>
    <comment ref="B19" authorId="0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 xml:space="preserve">Shanice Taylor:
= [PTH-Fc mass] mg PTH-Fc monomer/wk-CM * 1 dimer/2 monomers * [PTH-Fc mass] mg dimer/kg FW </t>
        </r>
      </text>
    </comment>
    <comment ref="D31" authorId="0" shapeId="0" xr:uid="{00000000-0006-0000-0200-000004000000}">
      <text>
        <r>
          <rPr>
            <sz val="11"/>
            <color theme="1"/>
            <rFont val="Calibri"/>
            <family val="2"/>
            <scheme val="minor"/>
          </rPr>
          <t>Shanice Taylor:
= (101.5 kg/m^2 - 22.9 kg/m^2 - 8.4 kg/m^2) * [planting area] m^2
- Mass of all components in plant growth chamber (101.5 kg/m^2)    minus HPS lamps (22.9 kg/m^2) and ballasts (8.4 kg/m^2)
[Table 4-88 in https://ntrs.nasa.gov/api/citations/20210024855/downloads/BVAD_2.15.22-final.pdf]</t>
        </r>
      </text>
    </comment>
    <comment ref="E31" authorId="0" shapeId="0" xr:uid="{00000000-0006-0000-0200-000005000000}">
      <text>
        <r>
          <rPr>
            <sz val="11"/>
            <color theme="1"/>
            <rFont val="Calibri"/>
            <family val="2"/>
            <scheme val="minor"/>
          </rPr>
          <t>Shanice Taylor:
= (1.03 m^3/m^2 - 0.25 m^3/m^2) * [planting area] m^2
- Volume of all components (1.03 m^3/m^2) minus HPS lamps (0.25 m^3/m^2)
[Table 4-88 in https://ntrs.nasa.gov/api/citations/20210024855/downloads/BVAD_2.15.22-final.pdf]</t>
        </r>
      </text>
    </comment>
    <comment ref="F31" authorId="0" shapeId="0" xr:uid="{00000000-0006-0000-0200-000006000000}">
      <text>
        <r>
          <rPr>
            <sz val="11"/>
            <color theme="1"/>
            <rFont val="Calibri"/>
            <family val="2"/>
            <scheme val="minor"/>
          </rPr>
          <t>Shanice Taylor:
= (2.6 kW/m^2 - 2.1 kW/m^2 - 0.075 kW/m^2) * [planting area] m^2
Power of all chamber components (2.6 kW/m^2) minus HPS lamps (2.1 kW/m^2) and ballasts (0.075 kW/m^2) 
[Table 4-88 in https://ntrs.nasa.gov/api/citations/20210024855/downloads/BVAD_2.15.22-final.pdf]</t>
        </r>
      </text>
    </comment>
    <comment ref="G31" authorId="0" shapeId="0" xr:uid="{00000000-0006-0000-0200-000007000000}">
      <text>
        <r>
          <rPr>
            <sz val="11"/>
            <color theme="1"/>
            <rFont val="Calibri"/>
            <family val="2"/>
            <scheme val="minor"/>
          </rPr>
          <t xml:space="preserve">Shanice Taylor:
No info available regarding crewtime for maintaining growth chamber
</t>
        </r>
      </text>
    </comment>
    <comment ref="C32" authorId="0" shapeId="0" xr:uid="{00000000-0006-0000-0200-000008000000}">
      <text>
        <r>
          <rPr>
            <sz val="11"/>
            <color theme="1"/>
            <rFont val="Calibri"/>
            <family val="2"/>
            <scheme val="minor"/>
          </rPr>
          <t xml:space="preserve">Shanice Taylor:
= rounded-up value of [planting area] m^2 * 9 panels/m^2
- 9 LED panels per m^2 [personal communication with Paul Kusuma, 2025]
</t>
        </r>
      </text>
    </comment>
    <comment ref="D32" authorId="0" shapeId="0" xr:uid="{00000000-0006-0000-0200-000009000000}">
      <text>
        <r>
          <rPr>
            <sz val="11"/>
            <color theme="1"/>
            <rFont val="Calibri"/>
            <family val="2"/>
            <scheme val="minor"/>
          </rPr>
          <t xml:space="preserve">Shanice Taylor:
= 0.243 kg/LED panel * # of LED panels
- 0.243 kg = mass of an individual LED panel 
[personal communication with Paul Kusuma, 2025]
</t>
        </r>
      </text>
    </comment>
    <comment ref="E32" authorId="0" shapeId="0" xr:uid="{00000000-0006-0000-0200-00000A000000}">
      <text>
        <r>
          <rPr>
            <sz val="11"/>
            <color theme="1"/>
            <rFont val="Calibri"/>
            <family val="2"/>
            <scheme val="minor"/>
          </rPr>
          <t>Shanice Taylor:
= (0.3 m x 0.3 m x 0.001 m)/LED panel * # of LED panels
- 0.3m x 0.3m x 0.001m = dimensions (LxWxH) of one LED panel
[personal communication with Paul Kusuma, 2025]</t>
        </r>
      </text>
    </comment>
    <comment ref="F32" authorId="0" shapeId="0" xr:uid="{00000000-0006-0000-0200-00000B000000}">
      <text>
        <r>
          <rPr>
            <sz val="11"/>
            <color theme="1"/>
            <rFont val="Calibri"/>
            <family val="2"/>
            <scheme val="minor"/>
          </rPr>
          <t>Shanice Taylor:
= 50.7 W/LED panel * # of LED panels * 1 kW/1000W
- 50.7 W = power that 1 LED panel consumes
[personal communication with Paul Kusuma, 2025]</t>
        </r>
      </text>
    </comment>
    <comment ref="C33" authorId="0" shapeId="0" xr:uid="{00000000-0006-0000-0200-00000C000000}">
      <text>
        <r>
          <rPr>
            <sz val="11"/>
            <color theme="1"/>
            <rFont val="Calibri"/>
            <family val="2"/>
            <scheme val="minor"/>
          </rPr>
          <t>Shanice Taylor:
= if 0.003785 m^3 * # of harvest collection containers/week * 2 weeks &lt;=  0.0187 m^3, return the value of 1
= if the ratio of (0.003785 m^3 * # of harvest collection containers/week * 2 weeks) / (0.0187 m^3) is greater than 1, return the value to the next whole number
- 0.003785 m^3 = volume of a 1-gallon ziploc bag used for cold storage
[https://www.uline.com/Product/Detail/S-23779/Food-Bags/Ziploc-Freezer-Bags-1-Gallon]
- 2 weeks = assumed time for cold storage to be kept in freezer
- 0.0187 m^3 = cold capacity volume of one NASA GLACIER freezer [https://ntrs.nasa.gov/api/citations/20060056491/downloads/20060056491.pdf]</t>
        </r>
      </text>
    </comment>
    <comment ref="D33" authorId="0" shapeId="0" xr:uid="{00000000-0006-0000-0200-00000D000000}">
      <text>
        <r>
          <rPr>
            <sz val="11"/>
            <color theme="1"/>
            <rFont val="Calibri"/>
            <family val="2"/>
            <scheme val="minor"/>
          </rPr>
          <t>Shanice Taylor:
= 0.75 kg freezer/kg frozen food mass * [plant mass] kg FW/wk * # of freezers
- 0.75 kg freezer/kg frozen food mass
[Table 4-50 in https://ntrs.nasa.gov/api/citations/20210024855/downloads/BVAD_2.15.22-final.pdf]</t>
        </r>
      </text>
    </comment>
    <comment ref="E33" authorId="0" shapeId="0" xr:uid="{00000000-0006-0000-0200-00000E000000}">
      <text>
        <r>
          <rPr>
            <sz val="11"/>
            <color theme="1"/>
            <rFont val="Calibri"/>
            <family val="2"/>
            <scheme val="minor"/>
          </rPr>
          <t>Shanice Taylor:
= 3.93E-3 m^3 freezer/kg frozen food mass * [plant mass] kg FW/wk * # of freezers
- 3.93E-3 m^3 freezer/kg frozen food mass
[Table 4-50 in https://ntrs.nasa.gov/api/citations/20210024855/downloads/BVAD_2.15.22-final.pdf]</t>
        </r>
      </text>
    </comment>
    <comment ref="F33" authorId="0" shapeId="0" xr:uid="{00000000-0006-0000-0200-00000F000000}">
      <text>
        <r>
          <rPr>
            <sz val="11"/>
            <color theme="1"/>
            <rFont val="Calibri"/>
            <family val="2"/>
            <scheme val="minor"/>
          </rPr>
          <t>Shanice Taylor:
= 0.33 kW freezer/kg frozen food mass * [harvested plant mass] kg/wk * # of freezers
- 0.33 kW freezer/kg frozen food mass
[Table 4-50 in https://ntrs.nasa.gov/api/citations/20210024855/downloads/BVAD_2.15.22-final.pdf]</t>
        </r>
      </text>
    </comment>
    <comment ref="G33" authorId="0" shapeId="0" xr:uid="{00000000-0006-0000-0200-000010000000}">
      <text>
        <r>
          <rPr>
            <sz val="11"/>
            <color theme="1"/>
            <rFont val="Calibri"/>
            <family val="2"/>
            <scheme val="minor"/>
          </rPr>
          <t>Shanice Taylor:
[Table 4-50 in https://ntrs.nasa.gov/api/citations/20210024855/downloads/BVAD_2.15.22-final.pdf]</t>
        </r>
      </text>
    </comment>
    <comment ref="C34" authorId="0" shapeId="0" xr:uid="{00000000-0006-0000-0200-000011000000}">
      <text>
        <r>
          <rPr>
            <sz val="11"/>
            <color theme="1"/>
            <rFont val="Calibri"/>
            <family val="2"/>
            <scheme val="minor"/>
          </rPr>
          <t>Shanice Taylor:
= if leaf harvest crew time is less than 2 hrs, return the value of 1
= if the ratio of leaf harvest crew time to 2 hrs is greater than 1, return the next whole number
- Assumption: 1 harvesting tool per CM
- Assumption: 1 CM will spend maximum 2 hours harvesting per week</t>
        </r>
      </text>
    </comment>
    <comment ref="D34" authorId="0" shapeId="0" xr:uid="{00000000-0006-0000-0200-000012000000}">
      <text>
        <r>
          <rPr>
            <sz val="11"/>
            <color theme="1"/>
            <rFont val="Calibri"/>
            <family val="2"/>
            <scheme val="minor"/>
          </rPr>
          <t>Shanice Taylor:
= 0.20411 kg/scissor * # of scissors
- 0.20411 = mass of one scissor, similar to the one used by https://doi.org/10.2478/gsr-2023-0001 
[https://www.amazon.com/Clauss-Forged-Carbon-Steel-Shears/dp/B000PCVTCQ]</t>
        </r>
      </text>
    </comment>
    <comment ref="E34" authorId="0" shapeId="0" xr:uid="{00000000-0006-0000-0200-000013000000}">
      <text>
        <r>
          <rPr>
            <sz val="11"/>
            <color theme="1"/>
            <rFont val="Calibri"/>
            <family val="2"/>
            <scheme val="minor"/>
          </rPr>
          <t>Shanice Taylor:
= 6.4E-4 m^3/scissor * # of scissors
- 6.4E-4 m^3 = volume of one scissor, similar to the one used by https://doi.org/10.2478/gsr-2023-0001 
[https://www.amazon.com/Clauss-Forged-Carbon-Steel-Shears/dp/B000PCVTCQ]</t>
        </r>
      </text>
    </comment>
    <comment ref="C35" authorId="0" shapeId="0" xr:uid="{00000000-0006-0000-0200-000014000000}">
      <text>
        <r>
          <rPr>
            <sz val="11"/>
            <color theme="1"/>
            <rFont val="Calibri"/>
            <family val="2"/>
            <scheme val="minor"/>
          </rPr>
          <t xml:space="preserve">Shanice Taylor:
= rounded up value of [plant mass] kg FW/wk * (1 m^3 / 85 kg) * 1 bag / 0.003785 m^3
= 85 kg/m^3 = assumed density of moderately-packed lettuce [https://kg-m3.com/material/salad-green-leaves-raw] 
- 0.003785 m^3 = volume of a 1 gal bag [https://www.uline.com/Product/Detail/S-23779/Food-Bags/Ziploc-Freezer-Bags-1-Gallon] </t>
        </r>
      </text>
    </comment>
    <comment ref="D35" authorId="0" shapeId="0" xr:uid="{00000000-0006-0000-0200-000015000000}">
      <text>
        <r>
          <rPr>
            <sz val="11"/>
            <color theme="1"/>
            <rFont val="Calibri"/>
            <family val="2"/>
            <scheme val="minor"/>
          </rPr>
          <t>Shanice Taylor:
= (7.62 lbs / 250 bags) * (0.45359 kg / 1 lb) * # of bags
- 7.62 lbs per 250 bags 
[https://www.uline.com/Product/Detail/S-23779/Food-Bags/Ziploc-Freezer-Bags-1-Gallon]</t>
        </r>
      </text>
    </comment>
    <comment ref="E35" authorId="0" shapeId="0" xr:uid="{00000000-0006-0000-0200-000016000000}">
      <text>
        <r>
          <rPr>
            <sz val="11"/>
            <color theme="1"/>
            <rFont val="Calibri"/>
            <family val="2"/>
            <scheme val="minor"/>
          </rPr>
          <t xml:space="preserve">Shanice Taylor:
= (10.5 x 11 x 0.00394) in^3 * 1.639E-5 m^3/in^3 * # of bags
- 10.5" x 11" x 0.00394" = volume of a ziploc bag
[https://www.uline.com/Product/Detail/S-23779/Food-Bags/Ziploc-Freezer-Bags-1-Gallon]
</t>
        </r>
      </text>
    </comment>
    <comment ref="C39" authorId="0" shapeId="0" xr:uid="{00000000-0006-0000-0200-000017000000}">
      <text>
        <r>
          <rPr>
            <sz val="11"/>
            <color theme="1"/>
            <rFont val="Calibri"/>
            <family val="2"/>
            <scheme val="minor"/>
          </rPr>
          <t>Shanice Taylor:
= [# of plants]/wk * 1.01 mg/seed * 1 kg/1000000 mg
- 1 seed is 1.01 mg
[experimental data]</t>
        </r>
      </text>
    </comment>
    <comment ref="D39" authorId="0" shapeId="0" xr:uid="{00000000-0006-0000-0200-000018000000}">
      <text>
        <r>
          <rPr>
            <sz val="11"/>
            <color theme="1"/>
            <rFont val="Calibri"/>
            <family val="2"/>
            <scheme val="minor"/>
          </rPr>
          <t xml:space="preserve">Shanice Taylor:
= (4.57 mm * 1.524 mm * 0.5 mm)/seed * (1mm^3 / 1E-9 m^3)
- (4.57mm x 1.524 mm x 0.5 mm) = LxWxH
[experimental data]
</t>
        </r>
      </text>
    </comment>
    <comment ref="F39" authorId="0" shapeId="0" xr:uid="{00000000-0006-0000-0200-000019000000}">
      <text>
        <r>
          <rPr>
            <sz val="11"/>
            <color theme="1"/>
            <rFont val="Calibri"/>
            <family val="2"/>
            <scheme val="minor"/>
          </rPr>
          <t>Shanice Taylor:
= [# of plants]/wk * 1 min/10 seeds * 1 h/60 min * 150%
- Sowing seeds: 1 min per 10 seeds
[Table 3 in https://doi.org/10.1016/j.lssr.2021.08.002]
- Crew time in space is estimated at 150% of lab time on Earth [personal commication from Gioia (Feb, 2025)]</t>
        </r>
      </text>
    </comment>
    <comment ref="C40" authorId="0" shapeId="0" xr:uid="{00000000-0006-0000-0200-00001A000000}">
      <text>
        <r>
          <rPr>
            <sz val="11"/>
            <color theme="1"/>
            <rFont val="Calibri"/>
            <family val="2"/>
            <scheme val="minor"/>
          </rPr>
          <t>Shanice Taylor:
= [water volume] m^3 * 1000 kg/m^3
- 1000 kg/m^3 = water density</t>
        </r>
      </text>
    </comment>
    <comment ref="D40" authorId="0" shapeId="0" xr:uid="{00000000-0006-0000-0200-00001B000000}">
      <text>
        <r>
          <rPr>
            <sz val="11"/>
            <color theme="1"/>
            <rFont val="Calibri"/>
            <family val="2"/>
            <scheme val="minor"/>
          </rPr>
          <t>Shanice Taylor:
= 7.3 g DW/m^2-d * [planting area] m^2 * 28 d * 0.34 L water/g DW * 0.001 m^3/L
- 7.3 g DW/m^2-d
- 0.34 L water/g DW
[Tables 4-91 and 4-93 in https://ntrs.nasa.gov/api/citations/20210024855/downloads/BVAD_2.15.22-final.pdf]
- 28 d batch time
- Accounts for water for all 4 batches within a 28-day growth period</t>
        </r>
      </text>
    </comment>
    <comment ref="F40" authorId="0" shapeId="0" xr:uid="{00000000-0006-0000-0200-00001C000000}">
      <text>
        <r>
          <rPr>
            <sz val="11"/>
            <color theme="1"/>
            <rFont val="Calibri"/>
            <family val="2"/>
            <scheme val="minor"/>
          </rPr>
          <t>Shanice Taylor:
- 90 min/event * 4 events/yr * 1 h/60 min * 1/12.5 m^2 * 1 yr/365 d * 28 d * [planting area] m^2 * 150%
- 90 min per water management event
 [Table 3 in https://doi.org/10.1016/j.lssr.2021.08.002]
- 4 water management events a year [10.3389/fpls.2020.00656, Zabel 2020][Zeidler, Conrad, et al. "Resource consumption and waste production of the EDEN ISS space greenhouse analogue during the 2018 experiment phase in Antarctica."]
- 12.5 m^2 growing area for EDEN ISS
 [Table 3 in https://doi.org/10.1016/j.lssr.2021.08.002]
- 28 d batch time
- Crew time in space is estimated at 150% of lab time on Earth [personal commication from Gioia (Feb, 2025)]</t>
        </r>
      </text>
    </comment>
    <comment ref="C41" authorId="0" shapeId="0" xr:uid="{00000000-0006-0000-0200-00001D000000}">
      <text>
        <r>
          <rPr>
            <sz val="11"/>
            <color theme="1"/>
            <rFont val="Calibri"/>
            <family val="2"/>
            <scheme val="minor"/>
          </rPr>
          <t>Shanice Taylor:
- (1.166 g/L + (12.496 g/L-wk * 3 wks)) * (1 kg/1000 g) * [volume of water] m^3 * 1000 L/m^3 
- 1.166 g/L nutrients added first week
- 12.496 g/L nutrients added following three weeks
[Tables 4-94 and 4-95 in https://ntrs.nasa.gov/api/citations/20210024855/downloads/BVAD_2.15.22-final.pdf]</t>
        </r>
      </text>
    </comment>
    <comment ref="F41" authorId="0" shapeId="0" xr:uid="{00000000-0006-0000-0200-00001E000000}">
      <text>
        <r>
          <rPr>
            <sz val="11"/>
            <color theme="1"/>
            <rFont val="Calibri"/>
            <family val="2"/>
            <scheme val="minor"/>
          </rPr>
          <t>Shanice Taylor:
= 20.17 min/10 d-tank * 1 hr/60 min * 1/12.5 m^2 * [planting area] m^2 * 28 d * 150%
- 20.17 min of nutrient solution prep per 10 days/tank (assuming 1 tank is always used and replenished every 10 days)
- 12.5 m^2 growing area aboard EDEN ISS
[Table 3 in https://doi.org/10.1016/j.lssr.2021.08.002]
- 28 d batch time
-  Crew time in space is estimated at 150% of lab time on Earth [personal commication from Gioia Massa (Feb, 2025)]</t>
        </r>
      </text>
    </comment>
    <comment ref="C42" authorId="0" shapeId="0" xr:uid="{00000000-0006-0000-0200-00001F000000}">
      <text>
        <r>
          <rPr>
            <sz val="11"/>
            <color theme="1"/>
            <rFont val="Calibri"/>
            <family val="2"/>
            <scheme val="minor"/>
          </rPr>
          <t>Shanice Taylor:
= 10.7 g CO2/m^2-d * [planting area] m^2 * 28 d * 1 kg/1000 g
- 10.7 g CO2/m^2-d
[Table 4-91 in https://ntrs.nasa.gov/api/citations/20210024855/downloads/BVAD_2.15.22-final.pdf]
- 28 d batch time</t>
        </r>
      </text>
    </comment>
    <comment ref="D42" authorId="0" shapeId="0" xr:uid="{00000000-0006-0000-0200-000020000000}">
      <text>
        <r>
          <rPr>
            <sz val="11"/>
            <color theme="1"/>
            <rFont val="Calibri"/>
            <family val="2"/>
            <scheme val="minor"/>
          </rPr>
          <t>Shanice Taylor:
- [mass CO2] kg * 1 m^3/1.82 kg
- 1.82 kg/m^3 = density of CO2 gas at 23C</t>
        </r>
      </text>
    </comment>
    <comment ref="F42" authorId="0" shapeId="0" xr:uid="{00000000-0006-0000-0200-000021000000}">
      <text>
        <r>
          <rPr>
            <sz val="11"/>
            <color theme="1"/>
            <rFont val="Calibri"/>
            <family val="2"/>
            <scheme val="minor"/>
          </rPr>
          <t>Shanice Taylor:
= 2.13 min/task * 365 tasks/yr * 1 hr/60 min * 1 yr/365 d * 28 d * 1.5
- 2.13 min per CO2 and lighting monitoring task
- 365 monitoring tasks per year (daily operation)
[Table 5 in https://doi.org/10.1016/j.lssr.2021.08.002]
- 28 day batch time
- Crew time in space is estimated at 150% of lab time on Earth [personal commication from Gioia Massa (Feb, 2025)]</t>
        </r>
      </text>
    </comment>
    <comment ref="C44" authorId="0" shapeId="0" xr:uid="{00000000-0006-0000-0200-000022000000}">
      <text>
        <r>
          <rPr>
            <sz val="11"/>
            <color theme="1"/>
            <rFont val="Calibri"/>
            <family val="2"/>
            <scheme val="minor"/>
          </rPr>
          <t>Shanice Taylor:
- 7.78 g O2/m^2-d * [planting area] m^2 * 28 d * 1 kg/1000 g
- 7.78 g O2/m^2-d
[Table 4-91 in https://ntrs.nasa.gov/api/citations/20210024855/downloads/BVAD_2.15.22-final.pdf]
- 28-day batch time</t>
        </r>
      </text>
    </comment>
    <comment ref="D44" authorId="0" shapeId="0" xr:uid="{00000000-0006-0000-0200-000023000000}">
      <text>
        <r>
          <rPr>
            <sz val="11"/>
            <color theme="1"/>
            <rFont val="Calibri"/>
            <family val="2"/>
            <scheme val="minor"/>
          </rPr>
          <t>Shanice Taylor:
= [mass of oxygen] kg * 1 m^3/kg
- 1.3 kg/m^3 = density of O2 gas at 1 atm</t>
        </r>
      </text>
    </comment>
    <comment ref="C45" authorId="0" shapeId="0" xr:uid="{00000000-0006-0000-0200-000024000000}">
      <text>
        <r>
          <rPr>
            <sz val="11"/>
            <color theme="1"/>
            <rFont val="Calibri"/>
            <family val="2"/>
            <scheme val="minor"/>
          </rPr>
          <t>Shanice Taylor:
= 2.1 kg/m^2-d * [planting area] m^2 * 28 d
- 2.1 kg/m^2-d is the average water uptake or average transpiration rate
[Table 4-91 https://ntrs.nasa.gov/api/citations/20210024855/downloads/BVAD_2.15.22-final.pdf]
- 28-day batch time</t>
        </r>
      </text>
    </comment>
    <comment ref="D45" authorId="0" shapeId="0" xr:uid="{00000000-0006-0000-0200-000025000000}">
      <text>
        <r>
          <rPr>
            <sz val="11"/>
            <color theme="1"/>
            <rFont val="Calibri"/>
            <family val="2"/>
            <scheme val="minor"/>
          </rPr>
          <t>Shanice Taylor:
= [water mass] kg * 1 m^3/1000 kg
- 1000 kg/m^3 = water density</t>
        </r>
      </text>
    </comment>
    <comment ref="F47" authorId="0" shapeId="0" xr:uid="{00000000-0006-0000-0200-000026000000}">
      <text>
        <r>
          <rPr>
            <sz val="11"/>
            <color theme="1"/>
            <rFont val="Calibri"/>
            <family val="2"/>
            <scheme val="minor"/>
          </rPr>
          <t>Shanice Taylor:
= 3.97 min harvest time/m^2 * [planting area] m^2 * 1 hr/60 min * 1.5
- 3.97 min/m^2 harvest time for lettuce
[Table 3 in https://doi.org/10.1016/j.lssr.2021.08.002]
- Crew time in space is estimated at 150% of lab time on Earth [personal commication from Gioia Massa (Feb, 2025)]</t>
        </r>
      </text>
    </comment>
    <comment ref="C48" authorId="0" shapeId="0" xr:uid="{00000000-0006-0000-0200-000027000000}">
      <text>
        <r>
          <rPr>
            <sz val="11"/>
            <color theme="1"/>
            <rFont val="Calibri"/>
            <family val="2"/>
            <scheme val="minor"/>
          </rPr>
          <t>Shanice Taylor:
= ([harvested edible biomass] kg FW/m^2 * [planting area] m^2) - [water mass in plant] kg</t>
        </r>
      </text>
    </comment>
    <comment ref="D48" authorId="0" shapeId="0" xr:uid="{00000000-0006-0000-0200-000028000000}">
      <text>
        <r>
          <rPr>
            <sz val="11"/>
            <color theme="1"/>
            <rFont val="Calibri"/>
            <family val="2"/>
            <scheme val="minor"/>
          </rPr>
          <t>Shanice Taylor:
= [plant mass DW] kg * 1 m^3/386 kg
- 368 kg/m^3 = estimated lettuce dry bulk density
[https://www.mpd-inc.com/bulk-density/]</t>
        </r>
      </text>
    </comment>
    <comment ref="C49" authorId="0" shapeId="0" xr:uid="{00000000-0006-0000-0200-000029000000}">
      <text>
        <r>
          <rPr>
            <sz val="11"/>
            <color theme="1"/>
            <rFont val="Calibri"/>
            <family val="2"/>
            <scheme val="minor"/>
          </rPr>
          <t>Shanice Taylor:
= [plant mass] kg FW * 0.90
- 90% water content in lettuce
[Table 4-90 in https://ntrs.nasa.gov/api/citations/20210024855/downloads/BVAD_2.15.22-final.pdf]</t>
        </r>
      </text>
    </comment>
    <comment ref="D49" authorId="0" shapeId="0" xr:uid="{00000000-0006-0000-0200-00002A000000}">
      <text>
        <r>
          <rPr>
            <sz val="11"/>
            <color theme="1"/>
            <rFont val="Calibri"/>
            <family val="2"/>
            <scheme val="minor"/>
          </rPr>
          <t>Shanice Taylor:
= [water mass] kg * 1 m^3/1000 kg
- 1000 kg/m^3 = water density</t>
        </r>
      </text>
    </comment>
    <comment ref="E50" authorId="0" shapeId="0" xr:uid="{00000000-0006-0000-0200-00002B000000}">
      <text>
        <r>
          <rPr>
            <sz val="11"/>
            <color theme="1"/>
            <rFont val="Calibri"/>
            <family val="2"/>
            <scheme val="minor"/>
          </rPr>
          <t>Shanice Taylor:
= [plant mass] kg FW/week * 17 kcal/0.1 kg lettuce * 1000 cal/1 kcal * 4.184 J / 1 cal * 7 d/wk * 24 h/d * 3600s/h
- 17 kcal per 0.1 kg lettuce
[https://fdc.nal.usda.gov/food-details/2346388/nutrients]
- 28-day batch time</t>
        </r>
      </text>
    </comment>
    <comment ref="C51" authorId="0" shapeId="0" xr:uid="{00000000-0006-0000-0200-00002C000000}">
      <text>
        <r>
          <rPr>
            <sz val="11"/>
            <color theme="1"/>
            <rFont val="Calibri"/>
            <family val="2"/>
            <scheme val="minor"/>
          </rPr>
          <t>Shanice Taylor:
= (0.74 g protein + 0.07 g fat + 3.37 g carbs + 0.12 g nitrogen + 0.32 g ash)/ 0.1 kg lettuce * 1 kg macros /1000 g macros * [plant mass] kg
- All above macros are per 0.1 kg lettuce
[https://fdc.nal.usda.gov/food-details/2346388/nutrients]</t>
        </r>
      </text>
    </comment>
    <comment ref="C52" authorId="0" shapeId="0" xr:uid="{00000000-0006-0000-0200-00002D000000}">
      <text>
        <r>
          <rPr>
            <sz val="11"/>
            <color theme="1"/>
            <rFont val="Calibri"/>
            <family val="2"/>
            <scheme val="minor"/>
          </rPr>
          <t>Shanice Taylor:
= (14 mg Ca + 0.03 mg Fe + 6.3 mg Mg + 19 mg P + 139 mg K + 16 mg Na + 0.17 mg Zn + 0.033 mg Cu + 0.082 mg Mn + 0.056 mg Thiamin + 0.218 mg Niacin + 0.04 mg Vitamin B-6 + 0.0205 ug Vitamin K )/ 0.1 kg lettuce * 1 kg micros /1000 g micros * [plant mass] kg
- All above micros are per 0.1 kg lettuce
[https://fdc.nal.usda.gov/food-details/2346388/nutrients]</t>
        </r>
      </text>
    </comment>
    <comment ref="C54" authorId="0" shapeId="0" xr:uid="{00000000-0006-0000-0200-00002E000000}">
      <text>
        <r>
          <rPr>
            <sz val="11"/>
            <color theme="1"/>
            <rFont val="Calibri"/>
            <family val="2"/>
            <scheme val="minor"/>
          </rPr>
          <t>Shanice Taylor:
= 7.3 g inedible FW/m^2-d * 1 kg/1000 g * [planting area] m^2 * 28 d
- 7.3 g inedible FW/m^2-d
[Table 4-90 in https://ntrs.nasa.gov/api/citations/20210024855/downloads/BVAD_2.15.22-final.pdf]
- 28-d batch period</t>
        </r>
      </text>
    </comment>
    <comment ref="D54" authorId="0" shapeId="0" xr:uid="{00000000-0006-0000-0200-00002F000000}">
      <text>
        <r>
          <rPr>
            <sz val="11"/>
            <color theme="1"/>
            <rFont val="Calibri"/>
            <family val="2"/>
            <scheme val="minor"/>
          </rPr>
          <t>Shanice Taylor:
= [biomass waste mass] kg * 1 m^3/60 kg
- 60 kg/m^3 = estimated density of raw lettuce waste
[https://kg-m3.com/material/salad-green-leaves-raw]</t>
        </r>
      </text>
    </comment>
    <comment ref="F54" authorId="0" shapeId="0" xr:uid="{00000000-0006-0000-0200-000030000000}">
      <text>
        <r>
          <rPr>
            <sz val="11"/>
            <color theme="1"/>
            <rFont val="Calibri"/>
            <family val="2"/>
            <scheme val="minor"/>
          </rPr>
          <t>Shanice Taylor:
Neglect. No current info</t>
        </r>
      </text>
    </comment>
    <comment ref="C58" authorId="0" shapeId="0" xr:uid="{00000000-0006-0000-0200-000031000000}">
      <text>
        <r>
          <rPr>
            <sz val="11"/>
            <color theme="1"/>
            <rFont val="Calibri"/>
            <family val="2"/>
            <scheme val="minor"/>
          </rPr>
          <t>Shanice Taylor:
= [seeds mass] kg/wk + ([plant nutrients mass] kg * (1/4 wks) * 4 batches/wk) + ([CO2 mass] kg * (1/4 wks) * 4 batches/wk)
- Divided plant nutrients and CO2 by 4 weeks (28 days batch time) to get a per-week basis for 1 batch. Then multiplied plant nutrients and CO2 by 4 because this is for 4 batches at a given week</t>
        </r>
      </text>
    </comment>
    <comment ref="E58" authorId="0" shapeId="0" xr:uid="{00000000-0006-0000-0200-000032000000}">
      <text>
        <r>
          <rPr>
            <sz val="11"/>
            <color theme="1"/>
            <rFont val="Calibri"/>
            <family val="2"/>
            <scheme val="minor"/>
          </rPr>
          <t>Shanice Taylor:
= ([O2 mass] kg * (1/4 wks) * 4 batches/wk) + [PTH-Fc mass] kg/wk + [plant biomass DW] kg/wk + [water mass from plant] kg/wk + [macros mass] kg/wk + [micros mass] kg/wk]
- Divided O2 by 4 weeks (28 days batch time) to get a per-week basis for 1 batch. Then multiplied by 4 because this is for 4 batches at a given week</t>
        </r>
      </text>
    </comment>
    <comment ref="C59" authorId="0" shapeId="0" xr:uid="{00000000-0006-0000-0200-000033000000}">
      <text>
        <r>
          <rPr>
            <sz val="11"/>
            <color theme="1"/>
            <rFont val="Calibri"/>
            <family val="2"/>
            <scheme val="minor"/>
          </rPr>
          <t>Shanice Taylor:
= [seeds volume] m^3/wk + ([CO2 volume] m^3 * (1/4 wks) * 4 batches/wk)
- Divided CO2 by 4 weeks (28 days batch time) to get a per-week basis for 1 batch. Then multiplied CO2 by 4 because this is for 4 batches at a given week</t>
        </r>
      </text>
    </comment>
    <comment ref="E59" authorId="0" shapeId="0" xr:uid="{00000000-0006-0000-0200-000034000000}">
      <text>
        <r>
          <rPr>
            <sz val="11"/>
            <color theme="1"/>
            <rFont val="Calibri"/>
            <family val="2"/>
            <scheme val="minor"/>
          </rPr>
          <t>Shanice Taylor:
= ([O2 volume] m^3 * (1/4 wks) * 4 batches/wk) + ([water transpiration volume] m^3 * (1/4 wks) * 4 batches/wk) + [plant biomass DW] m^3/wk + [water volume from plant] m^3/wk
- Divided O2 and water transpiration by 4 weeks (28 days batch time) to get a per-week basis for 1 batch. Then multiplied O2 and water transpiration by 4 because this is for 4 batches at a given week</t>
        </r>
      </text>
    </comment>
    <comment ref="B61" authorId="0" shapeId="0" xr:uid="{00000000-0006-0000-0200-000035000000}">
      <text>
        <r>
          <rPr>
            <sz val="11"/>
            <color theme="1"/>
            <rFont val="Calibri"/>
            <family val="2"/>
            <scheme val="minor"/>
          </rPr>
          <t>Shanice Taylor:
Same value as Power. Assumed nearly all electrical power consumed by growth chamber becomes heat to be removed by thermal control systems
[Table 4-88 in https://ntrs.nasa.gov/api/citations/20210024855/downloads/BVAD_2.15.22-final.pdf]</t>
        </r>
      </text>
    </comment>
    <comment ref="F62" authorId="1" shapeId="0" xr:uid="{2976BDB9-3A88-4459-B7ED-D55F565E2D1B}">
      <text>
        <r>
          <rPr>
            <b/>
            <sz val="9"/>
            <color indexed="81"/>
            <rFont val="Tahoma"/>
            <family val="2"/>
          </rPr>
          <t>Karen McDonald:</t>
        </r>
        <r>
          <rPr>
            <sz val="9"/>
            <color indexed="81"/>
            <rFont val="Tahoma"/>
            <family val="2"/>
          </rPr>
          <t xml:space="preserve">
Shanice Taylor:
- [crew time for sowing seeds] CM-h/wk + ([crew time for water management] CM-h/4 wks * 4 batches/wk) + ([crew time for nutrient solution prep] CM-h/4 wks * 4 batches/wk) +([crew time for CO2 monitoring] CM-h/4 wks)
- Divided crew time for water management and nutrient solution prep by 4 weeks to get a per-week basis for 1 batch. Then multiplied by 4 because this is for 4 batches at a given week. 
-  Divided crew time for CO2 monitoring by 4 to get a per-week basis. CO2 monitoring does not depend on number of batches.</t>
        </r>
      </text>
    </comment>
    <comment ref="C63" authorId="1" shapeId="0" xr:uid="{CD55AD87-B55F-4C39-9A8E-AD0A5113B65A}">
      <text>
        <r>
          <rPr>
            <b/>
            <sz val="9"/>
            <color indexed="81"/>
            <rFont val="Tahoma"/>
            <family val="2"/>
          </rPr>
          <t>Karen McDonald:</t>
        </r>
        <r>
          <rPr>
            <sz val="9"/>
            <color indexed="81"/>
            <rFont val="Tahoma"/>
            <family val="2"/>
          </rPr>
          <t xml:space="preserve">
None of the inputs require cold storage</t>
        </r>
      </text>
    </comment>
    <comment ref="A64" authorId="0" shapeId="0" xr:uid="{00000000-0006-0000-0200-000037000000}">
      <text>
        <r>
          <rPr>
            <sz val="11"/>
            <color theme="1"/>
            <rFont val="Calibri"/>
            <family val="2"/>
            <scheme val="minor"/>
          </rPr>
          <t>Shanice Taylor:
For a large-scale biomass production, the capacity of the Water Recovery System of the plant growth chamber would be expanded
[personal communication with Mark Settles, Aug 2025]</t>
        </r>
      </text>
    </comment>
    <comment ref="B64" authorId="0" shapeId="0" xr:uid="{00000000-0006-0000-0200-000038000000}">
      <text>
        <r>
          <rPr>
            <sz val="11"/>
            <color theme="1"/>
            <rFont val="Calibri"/>
            <family val="2"/>
            <scheme val="minor"/>
          </rPr>
          <t>Shanice Taylor:
= [mass of water input] kg - [mass of water transpiration] kg - [mass of water in plant] kg
- Mass of water remaining that is assumed to be recycled in the the Water Recovery System, and is thus part of the system component</t>
        </r>
      </text>
    </comment>
    <comment ref="C64" authorId="0" shapeId="0" xr:uid="{00000000-0006-0000-0200-000039000000}">
      <text>
        <r>
          <rPr>
            <sz val="11"/>
            <color theme="1"/>
            <rFont val="Calibri"/>
            <family val="2"/>
            <scheme val="minor"/>
          </rPr>
          <t>Shanice Taylor:
= ([water mass] kg * (1/4 wks) * 4 batches/wk) 
-Divided water mass by 4 weeks to get a per-week basis for 1 batch. Then multiplied by 4 because this is for 4 batches at a given week. 
- This is the mass of water provided to the plant growth chamber, with the water assumed to be sourced from the Martian surface and from Water Recovery System. 
- If sourced, should we add an ISRU System for water extraction from Mars under cell B25 "Equipment"? BVAD Table 4-85 mentions the ISRU System's mass and power, but not volume and crew time requirements</t>
        </r>
      </text>
    </comment>
    <comment ref="E64" authorId="0" shapeId="0" xr:uid="{00000000-0006-0000-0200-00003A000000}">
      <text>
        <r>
          <rPr>
            <sz val="11"/>
            <color theme="1"/>
            <rFont val="Calibri"/>
            <family val="2"/>
            <scheme val="minor"/>
          </rPr>
          <t>Shanice Taylor:
= [water transpiration mass] kg * (1/4 wks) * 4 batches/wk
Divided water transpiration by 4 weeks (28 days batch time) to get a per-week basis for 1 batch. Then multiplied by 4 because this is for 4 batches at a given week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Shanice Taylor</author>
    <author>Karen McDonald</author>
  </authors>
  <commentList>
    <comment ref="B16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Shanice Taylor:
= (320 plants / 16 ft^2 tray) * (1 ft^2 / 0.0929 m^2) * (9,830,000 g FW / 982,000 plants) * 1 kg/1000 g 
- 320 N. benth plants per 16 ft^2 tray
- 9,830,000 g FW per 982,000 plants
[doi.org/10.1080/19420862.2016.1227901]</t>
        </r>
      </text>
    </comment>
    <comment ref="B17" authorId="0" shapeId="0" xr:uid="{00000000-0006-0000-0300-000002000000}">
      <text>
        <r>
          <rPr>
            <sz val="11"/>
            <color theme="1"/>
            <rFont val="Calibri"/>
            <family val="2"/>
            <scheme val="minor"/>
          </rPr>
          <t>Shanice Taylor:
= (9,830,000 g FW / 982,000 plants) * 1 kg/1000 g 
- 9,830,000 g FW per 982,000 plants
[doi.org/10.1080/19420862.2016.1227901]</t>
        </r>
      </text>
    </comment>
    <comment ref="B18" authorId="0" shapeId="0" xr:uid="{00000000-0006-0000-0300-000003000000}">
      <text>
        <r>
          <rPr>
            <sz val="11"/>
            <color theme="1"/>
            <rFont val="Calibri"/>
            <family val="2"/>
            <scheme val="minor"/>
          </rPr>
          <t xml:space="preserve">Shanice Taylor:
= [PTH-Fc mass] mg PTH-Fc monomer/wk-CM * 1 dimer/2 monomers * [PTH-Fc mass] mg dimer/kg FW </t>
        </r>
      </text>
    </comment>
    <comment ref="D29" authorId="0" shapeId="0" xr:uid="{00000000-0006-0000-0300-000004000000}">
      <text>
        <r>
          <rPr>
            <sz val="11"/>
            <color theme="1"/>
            <rFont val="Calibri"/>
            <family val="2"/>
            <scheme val="minor"/>
          </rPr>
          <t>Shanice Taylor:
= (101.5 kg/m^2 - 22.9 kg/m^2 - 8.4 kg/m^2) * [planting area] m^2
- Mass of all components in plant growth chamber (101.5 kg/m^2)    minus HPS lamps (22.9 kg/m^2) and ballasts (8.4 kg/m^2)
[Table 4-88 in https://ntrs.nasa.gov/api/citations/20210024855/downloads/BVAD_2.15.22-final.pdf]</t>
        </r>
      </text>
    </comment>
    <comment ref="E29" authorId="0" shapeId="0" xr:uid="{00000000-0006-0000-0300-000005000000}">
      <text>
        <r>
          <rPr>
            <sz val="11"/>
            <color theme="1"/>
            <rFont val="Calibri"/>
            <family val="2"/>
            <scheme val="minor"/>
          </rPr>
          <t>Shanice Taylor:
= (1.03 m^3/m^2 - 0.25 m^3/m^2) * [planting area] m^2
- Volume of all components (1.03 m^3/m^2) minus HPS lamps (0.25 m^3/m^2)
[Table 4-88 in https://ntrs.nasa.gov/api/citations/20210024855/downloads/BVAD_2.15.22-final.pdf]</t>
        </r>
      </text>
    </comment>
    <comment ref="F29" authorId="0" shapeId="0" xr:uid="{00000000-0006-0000-0300-000006000000}">
      <text>
        <r>
          <rPr>
            <sz val="11"/>
            <color theme="1"/>
            <rFont val="Calibri"/>
            <family val="2"/>
            <scheme val="minor"/>
          </rPr>
          <t>Shanice Taylor:
= (2.6 kW/m^2 - 2.1 kW/m^2 - 0.075 kW/m^2) * [planting area] m^2
Power of all chamber components (2.6 kW/m^2) minus HPS lamps (2.1 kW/m^2) and ballasts (0.075 kW/m^2) 
[Table 4-88 in https://ntrs.nasa.gov/api/citations/20210024855/downloads/BVAD_2.15.22-final.pdf]</t>
        </r>
      </text>
    </comment>
    <comment ref="G29" authorId="0" shapeId="0" xr:uid="{00000000-0006-0000-0300-000007000000}">
      <text>
        <r>
          <rPr>
            <sz val="11"/>
            <color theme="1"/>
            <rFont val="Calibri"/>
            <family val="2"/>
            <scheme val="minor"/>
          </rPr>
          <t xml:space="preserve">Shanice Taylor:
No info available regarding crewtime for maintaining growth chamber
</t>
        </r>
      </text>
    </comment>
    <comment ref="C30" authorId="0" shapeId="0" xr:uid="{00000000-0006-0000-0300-000008000000}">
      <text>
        <r>
          <rPr>
            <sz val="11"/>
            <color theme="1"/>
            <rFont val="Calibri"/>
            <family val="2"/>
            <scheme val="minor"/>
          </rPr>
          <t xml:space="preserve">Shanice Taylor:
= rounded-up value of [planting area] m^2 * 9 panels/m^2
- 9 LED panels per m^2 [personal communication with Paul Kusuma, 2025]
</t>
        </r>
      </text>
    </comment>
    <comment ref="D30" authorId="0" shapeId="0" xr:uid="{00000000-0006-0000-0300-000009000000}">
      <text>
        <r>
          <rPr>
            <sz val="11"/>
            <color theme="1"/>
            <rFont val="Calibri"/>
            <family val="2"/>
            <scheme val="minor"/>
          </rPr>
          <t xml:space="preserve">Shanice Taylor:
= 0.243 kg/LED panel * # of LED panels
- 0.243 kg = mass of an individual LED panel 
[personal communication with Paul Kusuma, 2025]
</t>
        </r>
      </text>
    </comment>
    <comment ref="E30" authorId="0" shapeId="0" xr:uid="{00000000-0006-0000-0300-00000A000000}">
      <text>
        <r>
          <rPr>
            <sz val="11"/>
            <color theme="1"/>
            <rFont val="Calibri"/>
            <family val="2"/>
            <scheme val="minor"/>
          </rPr>
          <t>Shanice Taylor:
= (0.3 m x 0.3 m x 0.001 m)/LED panel * # of LED panels
- 0.3m x 0.3m x 0.001m = dimensions (LxWxH) of one LED panel
[personal communication with Paul Kusuma, 2025]</t>
        </r>
      </text>
    </comment>
    <comment ref="F30" authorId="0" shapeId="0" xr:uid="{00000000-0006-0000-0300-00000B000000}">
      <text>
        <r>
          <rPr>
            <sz val="11"/>
            <color theme="1"/>
            <rFont val="Calibri"/>
            <family val="2"/>
            <scheme val="minor"/>
          </rPr>
          <t>Shanice Taylor:
= 50.7 W/LED panel * # of LED panels * 1 kW/1000W
- 50.7 W = power that 1 LED panel consumes
[personal communication with Paul Kusuma, 2025]</t>
        </r>
      </text>
    </comment>
    <comment ref="C31" authorId="0" shapeId="0" xr:uid="{00000000-0006-0000-0300-00000C000000}">
      <text>
        <r>
          <rPr>
            <sz val="11"/>
            <color theme="1"/>
            <rFont val="Calibri"/>
            <family val="2"/>
            <scheme val="minor"/>
          </rPr>
          <t>Shanice Taylor:
= if 0.003785 m^3 * # of harvest collection containers/week * 2 weeks &lt;=  0.0187 m^3, return the value of 1
= if the ratio of (0.003785 m^3 * # of harvest collection containers/week * 2 weeks) / (0.0187 m^3) is greater than 1, return the value to the next whole number
- 0.003785 m^3 = volume of a 1-gallon ziploc bag used for cold storage
[https://www.uline.com/Product/Detail/S-23779/Food-Bags/Ziploc-Freezer-Bags-1-Gallon]
- 2 weeks = assumed time for cold storage to be kept in freezer
- 0.0187 m^3 = cold capacity volume of one NASA GLACIER freezer [https://ntrs.nasa.gov/api/citations/20060056491/downloads/20060056491.pdf]</t>
        </r>
      </text>
    </comment>
    <comment ref="D31" authorId="0" shapeId="0" xr:uid="{00000000-0006-0000-0300-00000D000000}">
      <text>
        <r>
          <rPr>
            <sz val="11"/>
            <color theme="1"/>
            <rFont val="Calibri"/>
            <family val="2"/>
            <scheme val="minor"/>
          </rPr>
          <t>Shanice Taylor:
= 0.75 kg freezer/kg frozen food mass * [plant mass] kg FW/wk * # of freezers
- 0.75 kg freezer/kg frozen food mass
[Table 4-50 in https://ntrs.nasa.gov/api/citations/20210024855/downloads/BVAD_2.15.22-final.pdf]</t>
        </r>
      </text>
    </comment>
    <comment ref="E31" authorId="0" shapeId="0" xr:uid="{00000000-0006-0000-0300-00000E000000}">
      <text>
        <r>
          <rPr>
            <sz val="11"/>
            <color theme="1"/>
            <rFont val="Calibri"/>
            <family val="2"/>
            <scheme val="minor"/>
          </rPr>
          <t>Shanice Taylor:
= 3.93E-3 m^3 freezer/kg frozen food mass * [plant mass] kg FW/wk * # of freezers
- 3.93E-3 m^3 freezer/kg frozen food mass
[Table 4-50 in https://ntrs.nasa.gov/api/citations/20210024855/downloads/BVAD_2.15.22-final.pdf]</t>
        </r>
      </text>
    </comment>
    <comment ref="F31" authorId="0" shapeId="0" xr:uid="{00000000-0006-0000-0300-00000F000000}">
      <text>
        <r>
          <rPr>
            <sz val="11"/>
            <color theme="1"/>
            <rFont val="Calibri"/>
            <family val="2"/>
            <scheme val="minor"/>
          </rPr>
          <t>Shanice Taylor:
= 0.33 kW freezer/kg frozen food mass * [harvested plant mass] kg/wk * # of freezers
- 0.33 kW freezer/kg frozen food mass
[Table 4-50 in https://ntrs.nasa.gov/api/citations/20210024855/downloads/BVAD_2.15.22-final.pdf]</t>
        </r>
      </text>
    </comment>
    <comment ref="G31" authorId="0" shapeId="0" xr:uid="{00000000-0006-0000-0300-000010000000}">
      <text>
        <r>
          <rPr>
            <sz val="11"/>
            <color theme="1"/>
            <rFont val="Calibri"/>
            <family val="2"/>
            <scheme val="minor"/>
          </rPr>
          <t>Shanice Taylor:
[Table 4-50 in https://ntrs.nasa.gov/api/citations/20210024855/downloads/BVAD_2.15.22-final.pdf]</t>
        </r>
      </text>
    </comment>
    <comment ref="C32" authorId="0" shapeId="0" xr:uid="{00000000-0006-0000-0300-000011000000}">
      <text>
        <r>
          <rPr>
            <sz val="11"/>
            <color theme="1"/>
            <rFont val="Calibri"/>
            <family val="2"/>
            <scheme val="minor"/>
          </rPr>
          <t>Shanice Taylor:
= if leaf harvest crew time is less than 2 hrs, return the value of 1
= if the ratio of leaf harvest crew time to 2 hrs is greater than 1, return the next whole number
- Assumption: 1 harvesting tool per CM
- Assumption: 1 CM will spend maximum 2 hours harvesting per week</t>
        </r>
      </text>
    </comment>
    <comment ref="D32" authorId="0" shapeId="0" xr:uid="{00000000-0006-0000-0300-000012000000}">
      <text>
        <r>
          <rPr>
            <sz val="11"/>
            <color theme="1"/>
            <rFont val="Calibri"/>
            <family val="2"/>
            <scheme val="minor"/>
          </rPr>
          <t>Shanice Taylor:
= 0.20411 kg/scissor * # of scissors
- 0.20411 = mass of one scissor, similar to the one used by https://doi.org/10.2478/gsr-2023-0001 
[https://www.amazon.com/Clauss-Forged-Carbon-Steel-Shears/dp/B000PCVTCQ]</t>
        </r>
      </text>
    </comment>
    <comment ref="E32" authorId="0" shapeId="0" xr:uid="{00000000-0006-0000-0300-000013000000}">
      <text>
        <r>
          <rPr>
            <sz val="11"/>
            <color theme="1"/>
            <rFont val="Calibri"/>
            <family val="2"/>
            <scheme val="minor"/>
          </rPr>
          <t>Shanice Taylor:
= 6.4E-4 m^3/scissor * # of scissors
- 6.4E-4 m^3 = volume of one scissor, similar to the one used by https://doi.org/10.2478/gsr-2023-0001 
[https://www.amazon.com/Clauss-Forged-Carbon-Steel-Shears/dp/B000PCVTCQ]</t>
        </r>
      </text>
    </comment>
    <comment ref="C33" authorId="0" shapeId="0" xr:uid="{00000000-0006-0000-0300-000014000000}">
      <text>
        <r>
          <rPr>
            <sz val="11"/>
            <color theme="1"/>
            <rFont val="Calibri"/>
            <family val="2"/>
            <scheme val="minor"/>
          </rPr>
          <t xml:space="preserve">Shanice Taylor:
= rounded up value of [plant mass] kg FW/wk * (1 m^3 / 85 kg) * 1 bag / 0.003785 m^3
= 85 kg/m^3 = assumed density of moderately-packed N. benth, similar to lettuce [https://kg-m3.com/material/salad-green-leaves-raw] 
- 0.003785 m^3 = volume of a 1 gal bag [https://www.uline.com/Product/Detail/S-23779/Food-Bags/Ziploc-Freezer-Bags-1-Gallon] </t>
        </r>
      </text>
    </comment>
    <comment ref="D33" authorId="0" shapeId="0" xr:uid="{00000000-0006-0000-0300-000015000000}">
      <text>
        <r>
          <rPr>
            <sz val="11"/>
            <color theme="1"/>
            <rFont val="Calibri"/>
            <family val="2"/>
            <scheme val="minor"/>
          </rPr>
          <t>Shanice Taylor:
= (7.62 lbs / 250 bags) * (0.45359 kg / 1 lb) * # of bags
- 7.62 lbs per 250 bags 
[https://www.uline.com/Product/Detail/S-23779/Food-Bags/Ziploc-Freezer-Bags-1-Gallon]</t>
        </r>
      </text>
    </comment>
    <comment ref="E33" authorId="0" shapeId="0" xr:uid="{00000000-0006-0000-0300-000016000000}">
      <text>
        <r>
          <rPr>
            <sz val="11"/>
            <color theme="1"/>
            <rFont val="Calibri"/>
            <family val="2"/>
            <scheme val="minor"/>
          </rPr>
          <t xml:space="preserve">Shanice Taylor:
= (10.5 x 11 x 0.00394) in^3 * 1.639E-5 m^3/in^3 * # of bags
- 10.5" x 11" x 0.00394" = volume of a ziploc bag
[https://www.uline.com/Product/Detail/S-23779/Food-Bags/Ziploc-Freezer-Bags-1-Gallon]
</t>
        </r>
      </text>
    </comment>
    <comment ref="A37" authorId="0" shapeId="0" xr:uid="{00000000-0006-0000-0300-000017000000}">
      <text>
        <r>
          <rPr>
            <sz val="11"/>
            <color theme="1"/>
            <rFont val="Calibri"/>
            <family val="2"/>
            <scheme val="minor"/>
          </rPr>
          <t>Shanice Taylor:
- Using lettuce growth values from https://ntrs.nasa.gov/api/citations/20210024855/downloads/BVAD_2.15.22-final.pdf
- For 35-day-old N. benth (10 g FW/plant, dense planting), the crop closest in growth form and cycle is lettuce. Lettuce fast-growing, herbaceous, leafy green harvested within a few weeks of planting (28 days)</t>
        </r>
      </text>
    </comment>
    <comment ref="C37" authorId="0" shapeId="0" xr:uid="{00000000-0006-0000-0300-000018000000}">
      <text>
        <r>
          <rPr>
            <sz val="11"/>
            <color theme="1"/>
            <rFont val="Calibri"/>
            <family val="2"/>
            <scheme val="minor"/>
          </rPr>
          <t xml:space="preserve">Shanice Taylor:
= 0.0004288 kg * [# of plants] * 2 seeds/plant
- 0.0004288 kg = mass of one N. benth seed
- Two seeds are used on average to generate one plant
[personal communcation with Karen McDonald, Aug 2025]
</t>
        </r>
      </text>
    </comment>
    <comment ref="D37" authorId="0" shapeId="0" xr:uid="{00000000-0006-0000-0300-000019000000}">
      <text>
        <r>
          <rPr>
            <sz val="11"/>
            <color theme="1"/>
            <rFont val="Calibri"/>
            <family val="2"/>
            <scheme val="minor"/>
          </rPr>
          <t>Shanice Taylor:
= (4/3 * pi * (0.45 mm/2)^3) * 1 m^3/1E9 mm^3
- 4/3*pi*radius^3 = Volume of a spherical N. benth seed
- 0.45 mm (450 um) = average diameter of ne N. benth seed
[Norikane, Joey, et al. "Development and Optimization of Nicotiana benthamiana Seed Production for Biopharmaceutical Applications." HORTSCIENCE. Vol. 49. No. 9, 2014.]</t>
        </r>
      </text>
    </comment>
    <comment ref="F37" authorId="0" shapeId="0" xr:uid="{00000000-0006-0000-0300-00001A000000}">
      <text>
        <r>
          <rPr>
            <sz val="11"/>
            <color theme="1"/>
            <rFont val="Calibri"/>
            <family val="2"/>
            <scheme val="minor"/>
          </rPr>
          <t>Shanice Taylor:
= (([# of plants]*2/wk) * 1 min/10 seeds * 1 h/60 min * 150%) + (4.6 min/m^2 * 1/(215 plants/m^2) * 150%)
- Multiplied number of plants by 2, since 2 seeds are used to generate one plant [personal communcation with Karen McDonald, Aug 2025]
- Sowing seeds: 1 min per 10 seeds [Table 3 in https://doi.org/10.1016/j.lssr.2021.08.002]
- Crew time in space is estimated at 150% of lab time on Earth [personal commication from Gioia (Feb, 2025)]
- Thinning plants: 4.6 min per m^2 [Table 3 in https://doi.org/10.1016/j.lssr.2021.08.002]
- 215 N. benth plants per 1 m^2, since there are 320 N. benth plants per 16 ft^2 tray [doi.org/10.1080/19420862.2016.1227901]</t>
        </r>
      </text>
    </comment>
    <comment ref="C38" authorId="0" shapeId="0" xr:uid="{00000000-0006-0000-0300-00001B000000}">
      <text>
        <r>
          <rPr>
            <sz val="11"/>
            <color theme="1"/>
            <rFont val="Calibri"/>
            <family val="2"/>
            <scheme val="minor"/>
          </rPr>
          <t>Shanice Taylor:
= [water volume] m^3 * 1000 kg/m^3
- 1000 kg/m^3 = water density</t>
        </r>
      </text>
    </comment>
    <comment ref="D38" authorId="0" shapeId="0" xr:uid="{00000000-0006-0000-0300-00001C000000}">
      <text>
        <r>
          <rPr>
            <sz val="11"/>
            <color theme="1"/>
            <rFont val="Calibri"/>
            <family val="2"/>
            <scheme val="minor"/>
          </rPr>
          <t>Shanice Taylor:
= 7.3 g DW/m^2-d * [planting area] m^2 * 35 d * 0.34 L water/g DW * 0.001 m^3/L
- 7.3 g DW/m^2-d
- 0.34 L water/g DW
[Tables 4-91 and 4-93 in https://ntrs.nasa.gov/api/citations/20210024855/downloads/BVAD_2.15.22-final.pdf]
- 28 d batch time
- Accounts for water for all 4 batches within a 28-day growth period</t>
        </r>
      </text>
    </comment>
    <comment ref="F38" authorId="0" shapeId="0" xr:uid="{00000000-0006-0000-0300-00001D000000}">
      <text>
        <r>
          <rPr>
            <sz val="11"/>
            <color theme="1"/>
            <rFont val="Calibri"/>
            <family val="2"/>
            <scheme val="minor"/>
          </rPr>
          <t>Shanice Taylor:
- 90 min/event * 4 events/yr * 1 h/60 min * 1/12.5 m^2 * 1 yr/365 d * 35 d * [planting area] m^2 * 150%
- 90 min per water management event [Table 3 in https://doi.org/10.1016/j.lssr.2021.08.002]
- 4 water management events a year [10.3389/fpls.2020.00656, Zabel 2020][Zeidler, Conrad, et al. "Resource consumption and waste production of the EDEN ISS space greenhouse analogue during the 2018 experiment phase in Antarctica."]
- 12.5 m^2 growing area for EDEN ISS [Table 3 in https://doi.org/10.1016/j.lssr.2021.08.002]
- 35 d batch time
- Crew time in space is estimated at 150% of lab time on Earth [personal commication from Gioia (Feb, 2025)]</t>
        </r>
      </text>
    </comment>
    <comment ref="C39" authorId="0" shapeId="0" xr:uid="{00000000-0006-0000-0300-00001E000000}">
      <text>
        <r>
          <rPr>
            <sz val="11"/>
            <color theme="1"/>
            <rFont val="Calibri"/>
            <family val="2"/>
            <scheme val="minor"/>
          </rPr>
          <t>Shanice Taylor:
- (1.166 g/L + (12.496 g/L-wk * 3 wks)) * (1 kg/1000 g) * [volume of water] m^3 * 1000 L/m^3 
- 1.166 g/L nutrients added first week
- 12.496 g/L nutrients added following three weeks
[Tables 4-94 and 4-95 in https://ntrs.nasa.gov/api/citations/20210024855/downloads/BVAD_2.15.22-final.pdf]</t>
        </r>
      </text>
    </comment>
    <comment ref="F39" authorId="0" shapeId="0" xr:uid="{00000000-0006-0000-0300-00001F000000}">
      <text>
        <r>
          <rPr>
            <sz val="11"/>
            <color theme="1"/>
            <rFont val="Calibri"/>
            <family val="2"/>
            <scheme val="minor"/>
          </rPr>
          <t>Shanice Taylor:
= 20.17 min/10 d-tank * 1 hr/60 min * 1/12.5 m^2 * [planting area] m^2 * 35 d * 150%
- 20.17 min of nutrient solution prep per 10 days/tank (assuming 1 tank is always used and replenished every 10 days)
- 12.5 m^2 growing area aboard EDEN ISS
[Table 3 in https://doi.org/10.1016/j.lssr.2021.08.002]
- 35 d batch time
-  Crew time in space is estimated at 150% of lab time on Earth [personal commication from Gioia Massa (Feb, 2025)]</t>
        </r>
      </text>
    </comment>
    <comment ref="C40" authorId="0" shapeId="0" xr:uid="{00000000-0006-0000-0300-000020000000}">
      <text>
        <r>
          <rPr>
            <sz val="11"/>
            <color theme="1"/>
            <rFont val="Calibri"/>
            <family val="2"/>
            <scheme val="minor"/>
          </rPr>
          <t>Shanice Taylor:
= 10.7 g CO2/m^2-d * [planting area] m^2 * 35 d * 1 kg/1000 g
- 10.7 g CO2/m^2-d
[Table 4-91 in https://ntrs.nasa.gov/api/citations/20210024855/downloads/BVAD_2.15.22-final.pdf]
- 35 d batch time</t>
        </r>
      </text>
    </comment>
    <comment ref="D40" authorId="0" shapeId="0" xr:uid="{00000000-0006-0000-0300-000021000000}">
      <text>
        <r>
          <rPr>
            <sz val="11"/>
            <color theme="1"/>
            <rFont val="Calibri"/>
            <family val="2"/>
            <scheme val="minor"/>
          </rPr>
          <t>Shanice Taylor:
- [mass CO2] kg * 1 m^3/1.82 kg
- 1.82 kg/m^3 = density of CO2 gas at 23C</t>
        </r>
      </text>
    </comment>
    <comment ref="F40" authorId="0" shapeId="0" xr:uid="{00000000-0006-0000-0300-000022000000}">
      <text>
        <r>
          <rPr>
            <sz val="11"/>
            <color theme="1"/>
            <rFont val="Calibri"/>
            <family val="2"/>
            <scheme val="minor"/>
          </rPr>
          <t>Shanice Taylor:
= 2.13 min/task * 365 tasks/yr * 1 hr/60 min * 1 yr/365 d * 35 d * 1.5
- 2.13 min per CO2 and lighting monitoring task
- 365 monitoring tasks per year (daily operation)
[Table 5 in https://doi.org/10.1016/j.lssr.2021.08.002]
- 35 day batch time
- Crew time in space is estimated at 150% of lab time on Earth [personal commication from Gioia Massa (Feb, 2025)]</t>
        </r>
      </text>
    </comment>
    <comment ref="C42" authorId="0" shapeId="0" xr:uid="{00000000-0006-0000-0300-000023000000}">
      <text>
        <r>
          <rPr>
            <sz val="11"/>
            <color theme="1"/>
            <rFont val="Calibri"/>
            <family val="2"/>
            <scheme val="minor"/>
          </rPr>
          <t>Shanice Taylor:
- 7.78 g O2/m^2-d * [planting area] m^2 * 35 d * 1 kg/1000 g
- 7.78 g O2/m^2-d
[Table 4-91 in https://ntrs.nasa.gov/api/citations/20210024855/downloads/BVAD_2.15.22-final.pdf]
- 35-day batch time</t>
        </r>
      </text>
    </comment>
    <comment ref="D42" authorId="0" shapeId="0" xr:uid="{00000000-0006-0000-0300-000024000000}">
      <text>
        <r>
          <rPr>
            <sz val="11"/>
            <color theme="1"/>
            <rFont val="Calibri"/>
            <family val="2"/>
            <scheme val="minor"/>
          </rPr>
          <t>Shanice Taylor:
= [mass of oxygen] kg * 1 m^3/kg
- 1.3 kg/m^3 = density of O2 gas at 1 atm</t>
        </r>
      </text>
    </comment>
    <comment ref="C43" authorId="0" shapeId="0" xr:uid="{00000000-0006-0000-0300-000025000000}">
      <text>
        <r>
          <rPr>
            <sz val="11"/>
            <color theme="1"/>
            <rFont val="Calibri"/>
            <family val="2"/>
            <scheme val="minor"/>
          </rPr>
          <t>Shanice Taylor:
2.1 kg/m^2-d is the average water uptake or average transpiration rate
[BVAD Table 4-91]</t>
        </r>
      </text>
    </comment>
    <comment ref="D43" authorId="0" shapeId="0" xr:uid="{00000000-0006-0000-0300-000026000000}">
      <text>
        <r>
          <rPr>
            <sz val="11"/>
            <color theme="1"/>
            <rFont val="Calibri"/>
            <family val="2"/>
            <scheme val="minor"/>
          </rPr>
          <t>Shanice Taylor:
1000 kg/m^3 water density</t>
        </r>
      </text>
    </comment>
    <comment ref="F45" authorId="0" shapeId="0" xr:uid="{00000000-0006-0000-0300-000027000000}">
      <text>
        <r>
          <rPr>
            <sz val="11"/>
            <color theme="1"/>
            <rFont val="Calibri"/>
            <family val="2"/>
            <scheme val="minor"/>
          </rPr>
          <t>Shanice Taylor:
= 3.97 min harvest time/m^2 * [planting area] m^2 * 1 hr/60 min * 1.5
- 3.97 min/m^2 harvest time for lettuce
[Table 3 in https://doi.org/10.1016/j.lssr.2021.08.002]
- Crew time in space is estimated at 150% of lab time on Earth [personal commication from Gioia Massa (Feb, 2025)]</t>
        </r>
      </text>
    </comment>
    <comment ref="D46" authorId="0" shapeId="0" xr:uid="{00000000-0006-0000-0300-000028000000}">
      <text>
        <r>
          <rPr>
            <sz val="11"/>
            <color theme="1"/>
            <rFont val="Calibri"/>
            <family val="2"/>
            <scheme val="minor"/>
          </rPr>
          <t>Shanice Taylor:
= [biomass mass] kg * 1 m^3/60 kg
- 60 kg/m^3 = estimated density of raw lettuce waste. Assumed similar for N. benth
[https://kg-m3.com/material/salad-green-leaves-raw]</t>
        </r>
      </text>
    </comment>
    <comment ref="C48" authorId="0" shapeId="0" xr:uid="{00000000-0006-0000-0300-000029000000}">
      <text>
        <r>
          <rPr>
            <sz val="11"/>
            <color theme="1"/>
            <rFont val="Calibri"/>
            <family val="2"/>
            <scheme val="minor"/>
          </rPr>
          <t xml:space="preserve">Shanice Taylor:
= 7.3 g inedible FW/m^2-d * 1 kg/1000 g * [planting area] m^2 * 35 d
- For lettuce, there is 7.3 g inedible FW/m^2-d. Assumed same remaining biomass for N. benth
[Table 4-90 in https://ntrs.nasa.gov/api/citations/20210024855/downloads/BVAD_2.15.22-final.pdf]
- 35-d batch period
</t>
        </r>
      </text>
    </comment>
    <comment ref="D48" authorId="0" shapeId="0" xr:uid="{00000000-0006-0000-0300-00002A000000}">
      <text>
        <r>
          <rPr>
            <sz val="11"/>
            <color theme="1"/>
            <rFont val="Calibri"/>
            <family val="2"/>
            <scheme val="minor"/>
          </rPr>
          <t>Shanice Taylor:
= [biomass waste mass] kg * 1 m^3/60 kg
- 60 kg/m^3 = estimated density of raw lettuce waste. Assumed similar for N. benth
[https://kg-m3.com/material/salad-green-leaves-raw]</t>
        </r>
      </text>
    </comment>
    <comment ref="F48" authorId="0" shapeId="0" xr:uid="{00000000-0006-0000-0300-00002B000000}">
      <text>
        <r>
          <rPr>
            <sz val="11"/>
            <color theme="1"/>
            <rFont val="Calibri"/>
            <family val="2"/>
            <scheme val="minor"/>
          </rPr>
          <t>Shanice Taylor:
Neglect. No current info</t>
        </r>
      </text>
    </comment>
    <comment ref="C52" authorId="0" shapeId="0" xr:uid="{00000000-0006-0000-0300-00002C000000}">
      <text>
        <r>
          <rPr>
            <sz val="11"/>
            <color theme="1"/>
            <rFont val="Calibri"/>
            <family val="2"/>
            <scheme val="minor"/>
          </rPr>
          <t>Shanice Taylor:
= [seeds mass] kg/wk + ([plant nutrients mass] kg * (1/5 wks) * 5 batches/wk) + ([CO2 mass] kg * (1/5 wks) * 5 batches/wk)
- Divided plant nutrients and CO2 by 5 weeks (35 days batch time) to get a per-week basis for 1 batch. Then multiplied plant nutrients and CO2 by 5 because this is for 5 batches at a given week</t>
        </r>
      </text>
    </comment>
    <comment ref="E52" authorId="0" shapeId="0" xr:uid="{00000000-0006-0000-0300-00002D000000}">
      <text>
        <r>
          <rPr>
            <sz val="11"/>
            <color theme="1"/>
            <rFont val="Calibri"/>
            <family val="2"/>
            <scheme val="minor"/>
          </rPr>
          <t>Shanice Taylor:
= ([O2 mass] kg * (1/4 wks) * 4 batches/wk) + [PTH-Fc mass] kg/wk + [plant biomass DW] kg/wk
- Divided O2 by 5 weeks (35 days batch time) to get a per-week basis for 1 batch. Then multiplied by 5 because this is for 5 batches at a given week</t>
        </r>
      </text>
    </comment>
    <comment ref="C53" authorId="0" shapeId="0" xr:uid="{00000000-0006-0000-0300-00002E000000}">
      <text>
        <r>
          <rPr>
            <sz val="11"/>
            <color theme="1"/>
            <rFont val="Calibri"/>
            <family val="2"/>
            <scheme val="minor"/>
          </rPr>
          <t>Shanice Taylor:
= [seeds volume] m^3/wk + ([CO2 volume] m^3 * (1/5 wks) * 5 batches/wk)
- Divided CO2 by 5 weeks (35 days batch time) to get a per-week basis for 1 batch. Then multiplied CO2 by 5 because this is for 5 batches at a given week</t>
        </r>
      </text>
    </comment>
    <comment ref="E53" authorId="0" shapeId="0" xr:uid="{00000000-0006-0000-0300-00002F000000}">
      <text>
        <r>
          <rPr>
            <sz val="11"/>
            <color theme="1"/>
            <rFont val="Calibri"/>
            <family val="2"/>
            <scheme val="minor"/>
          </rPr>
          <t>Shanice Taylor:
= ([O2 volume] m^3 * (1/5 wks) * 5 batches/wk) + ([water transpiration volume] m^3 * (1/5 wks) * 5 batches/wk)
- Divided O2 and water transpiration by 4 weeks (28 days batch time) to get a per-week basis for 1 batch. Then multiplied O2 and water transpiration by 4 because this is for 4 batches at a given week</t>
        </r>
      </text>
    </comment>
    <comment ref="B55" authorId="0" shapeId="0" xr:uid="{00000000-0006-0000-0300-000030000000}">
      <text>
        <r>
          <rPr>
            <sz val="11"/>
            <color theme="1"/>
            <rFont val="Calibri"/>
            <family val="2"/>
            <scheme val="minor"/>
          </rPr>
          <t>Shanice Taylor:
Same value as Power. Assumed nearly all electrical power consumed by growth chamber becomes heat to be removed by thermal control systems
[Table 4-88 in https://ntrs.nasa.gov/api/citations/20210024855/downloads/BVAD_2.15.22-final.pdf]</t>
        </r>
      </text>
    </comment>
    <comment ref="F56" authorId="1" shapeId="0" xr:uid="{65C1DCA1-39BC-49D7-9577-2495B846144A}">
      <text>
        <r>
          <rPr>
            <b/>
            <sz val="9"/>
            <color indexed="81"/>
            <rFont val="Tahoma"/>
            <family val="2"/>
          </rPr>
          <t>Karen McDonald:</t>
        </r>
        <r>
          <rPr>
            <sz val="9"/>
            <color indexed="81"/>
            <rFont val="Tahoma"/>
            <family val="2"/>
          </rPr>
          <t xml:space="preserve">
Shanice Taylor:
- [crew time for sowing seeds] CM-h/wk + ([crew time for water management] CM-h/5 wks * 5 batches/wk) + ([crew time for nutrient solution prep] CM-h/5 wks * 5 batches/wk) +([crew time for CO2 monitoring] CM-h/5 wks)
- Divided crew time for water management and nutrient solution prep by 5 weeks to get a per-week basis for 1 batch. Then multiplied by 5 because this is for 5 batches at a given week. 
-  Divided crew time for CO2 monitoring by 5 to get a per-week basis. CO2 monitoring does not depend on number of batches.
Plus Shanice Taylor:
= [crew time for harvesting] CM-h / 5 wks</t>
        </r>
      </text>
    </comment>
    <comment ref="A58" authorId="0" shapeId="0" xr:uid="{00000000-0006-0000-0300-000033000000}">
      <text>
        <r>
          <rPr>
            <sz val="11"/>
            <color theme="1"/>
            <rFont val="Calibri"/>
            <family val="2"/>
            <scheme val="minor"/>
          </rPr>
          <t>Shanice Taylor:
For a large-scale biomass production, the capacity of the Water Recovery System of the plant growth chamber would be expanded
[personal communication with Mark Settles, Aug 2025]</t>
        </r>
      </text>
    </comment>
    <comment ref="B58" authorId="0" shapeId="0" xr:uid="{00000000-0006-0000-0300-000034000000}">
      <text>
        <r>
          <rPr>
            <sz val="11"/>
            <color theme="1"/>
            <rFont val="Calibri"/>
            <family val="2"/>
            <scheme val="minor"/>
          </rPr>
          <t>Shanice Taylor:
= [mass of water input] kg - [mass of water transpiration]  kg
- Mass of water remaining that is assumed to be recycled in the the Water Recovery System, and is thus part of the system component</t>
        </r>
      </text>
    </comment>
    <comment ref="C58" authorId="0" shapeId="0" xr:uid="{00000000-0006-0000-0300-000035000000}">
      <text>
        <r>
          <rPr>
            <sz val="11"/>
            <color theme="1"/>
            <rFont val="Calibri"/>
            <family val="2"/>
            <scheme val="minor"/>
          </rPr>
          <t xml:space="preserve">Shanice Taylor:
-Divided water mass by 5 weeks to get a per-week basis for 1 batch. Then multiplied by 5 because this is for 5 batches at a given week. 
- Mass of water provided to the plant growth chamber, with the water assumed to be sourced from the Martian surface. </t>
        </r>
      </text>
    </comment>
    <comment ref="E58" authorId="0" shapeId="0" xr:uid="{00000000-0006-0000-0300-000036000000}">
      <text>
        <r>
          <rPr>
            <sz val="11"/>
            <color theme="1"/>
            <rFont val="Calibri"/>
            <family val="2"/>
            <scheme val="minor"/>
          </rPr>
          <t>Shanice Taylor:
= ([water transpiration mass] kg * (1/5 wks) * 5 batches/wk) 
Divided water transpiration by 5 weeks (35 days batch time) to get a per-week basis for 1 batch. Then multiplied by 5 because this is for 5 batches at a given week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  <author>Karen McDonald</author>
    <author>Shanice Taylor</author>
  </authors>
  <commentList>
    <comment ref="B16" authorId="0" shapeId="0" xr:uid="{00000000-0006-0000-0400-000001000000}">
      <text>
        <r>
          <rPr>
            <sz val="11"/>
            <color theme="1"/>
            <rFont val="Calibri"/>
            <family val="2"/>
            <scheme val="minor"/>
          </rPr>
          <t>Author:
= 131.35 g FW/m^2-d * 28 d * 1 kg/1000 g
- 131.35 g FW/m^2-d 
[Table 4-90 https://ntrs.nasa.gov/api/citations/20210024855/downloads/BVAD_2.15.22-final.pdf]
- 28-day growth period for lettuce</t>
        </r>
      </text>
    </comment>
    <comment ref="B17" authorId="0" shapeId="0" xr:uid="{00000000-0006-0000-0400-000002000000}">
      <text>
        <r>
          <rPr>
            <sz val="11"/>
            <color theme="1"/>
            <rFont val="Calibri"/>
            <family val="2"/>
            <scheme val="minor"/>
          </rPr>
          <t xml:space="preserve">Author:
[Table 4-111 in https://ntrs.nasa.gov/api/citations/20210024855/downloads/BVAD_2.15.22-final.pdf]
</t>
        </r>
      </text>
    </comment>
    <comment ref="B19" authorId="0" shapeId="0" xr:uid="{00000000-0006-0000-0400-000003000000}">
      <text>
        <r>
          <rPr>
            <sz val="11"/>
            <color theme="1"/>
            <rFont val="Calibri"/>
            <family val="2"/>
            <scheme val="minor"/>
          </rPr>
          <t xml:space="preserve">Author:
= [PTH-Fc mass] mg PTH-Fc monomer/wk-CM * 1 dimer/2 monomers * [PTH-Fc mass] mg dimer/kg FW </t>
        </r>
      </text>
    </comment>
    <comment ref="D31" authorId="0" shapeId="0" xr:uid="{00000000-0006-0000-0400-000004000000}">
      <text>
        <r>
          <rPr>
            <sz val="11"/>
            <color theme="1"/>
            <rFont val="Calibri"/>
            <family val="2"/>
            <scheme val="minor"/>
          </rPr>
          <t>Author:
= (101.5 kg/m^2 - 22.9 kg/m^2 - 8.4 kg/m^2) * [planting area] m^2
- Mass of all components in plant growth chamber (101.5 kg/m^2)    minus HPS lamps (22.9 kg/m^2) and ballasts (8.4 kg/m^2)
[Table 4-88 in https://ntrs.nasa.gov/api/citations/20210024855/downloads/BVAD_2.15.22-final.pdf]</t>
        </r>
      </text>
    </comment>
    <comment ref="E31" authorId="0" shapeId="0" xr:uid="{00000000-0006-0000-0400-000005000000}">
      <text>
        <r>
          <rPr>
            <sz val="11"/>
            <color theme="1"/>
            <rFont val="Calibri"/>
            <family val="2"/>
            <scheme val="minor"/>
          </rPr>
          <t>Author:
= (1.03 m^3/m^2 - 0.25 m^3/m^2) * [planting area] m^2
- Volume of all components (1.03 m^3/m^2) minus HPS lamps (0.25 m^3/m^2)
[Table 4-88 in https://ntrs.nasa.gov/api/citations/20210024855/downloads/BVAD_2.15.22-final.pdf]</t>
        </r>
      </text>
    </comment>
    <comment ref="F31" authorId="0" shapeId="0" xr:uid="{00000000-0006-0000-0400-000006000000}">
      <text>
        <r>
          <rPr>
            <sz val="11"/>
            <color theme="1"/>
            <rFont val="Calibri"/>
            <family val="2"/>
            <scheme val="minor"/>
          </rPr>
          <t>Author:
= (2.6 kW/m^2 - 2.1 kW/m^2 - 0.075 kW/m^2) * [planting area] m^2
Power of all chamber components (2.6 kW/m^2) minus HPS lamps (2.1 kW/m^2) and ballasts (0.075 kW/m^2) 
[Table 4-88 in https://ntrs.nasa.gov/api/citations/20210024855/downloads/BVAD_2.15.22-final.pdf]</t>
        </r>
      </text>
    </comment>
    <comment ref="G31" authorId="0" shapeId="0" xr:uid="{00000000-0006-0000-0400-000007000000}">
      <text>
        <r>
          <rPr>
            <sz val="11"/>
            <color theme="1"/>
            <rFont val="Calibri"/>
            <family val="2"/>
            <scheme val="minor"/>
          </rPr>
          <t xml:space="preserve">Author:
No info available regarding crewtime for maintaining growth chamber
</t>
        </r>
      </text>
    </comment>
    <comment ref="C32" authorId="0" shapeId="0" xr:uid="{00000000-0006-0000-0400-000008000000}">
      <text>
        <r>
          <rPr>
            <sz val="11"/>
            <color theme="1"/>
            <rFont val="Calibri"/>
            <family val="2"/>
            <scheme val="minor"/>
          </rPr>
          <t xml:space="preserve">Author:
= rounded-up value of [planting area] m^2 * 9 panels/m^2
- 9 LED panels per m^2 [personal communication with Paul Kusuma, 2025]
</t>
        </r>
      </text>
    </comment>
    <comment ref="D32" authorId="0" shapeId="0" xr:uid="{00000000-0006-0000-0400-000009000000}">
      <text>
        <r>
          <rPr>
            <sz val="11"/>
            <color theme="1"/>
            <rFont val="Calibri"/>
            <family val="2"/>
            <scheme val="minor"/>
          </rPr>
          <t xml:space="preserve">Author:
= 0.243 kg/LED panel * # of LED panels
- 0.243 kg = mass of an individual LED panel 
[personal communication with Paul Kusuma, 2025]
</t>
        </r>
      </text>
    </comment>
    <comment ref="E32" authorId="0" shapeId="0" xr:uid="{00000000-0006-0000-0400-00000A000000}">
      <text>
        <r>
          <rPr>
            <sz val="11"/>
            <color theme="1"/>
            <rFont val="Calibri"/>
            <family val="2"/>
            <scheme val="minor"/>
          </rPr>
          <t>Author:
= (0.3 m x 0.3 m x 0.001 m)/LED panel * # of LED panels
- 0.3m x 0.3m x 0.001m = dimensions (LxWxH) of one LED panel
[personal communication with Paul Kusuma, 2025]</t>
        </r>
      </text>
    </comment>
    <comment ref="F32" authorId="0" shapeId="0" xr:uid="{00000000-0006-0000-0400-00000B000000}">
      <text>
        <r>
          <rPr>
            <sz val="11"/>
            <color theme="1"/>
            <rFont val="Calibri"/>
            <family val="2"/>
            <scheme val="minor"/>
          </rPr>
          <t>Author:
= 50.7 W/LED panel * # of LED panels * 1 kW/1000W
- 50.7 W = power that 1 LED panel consumes
[personal communication with Paul Kusuma, 2025]</t>
        </r>
      </text>
    </comment>
    <comment ref="C33" authorId="0" shapeId="0" xr:uid="{00000000-0006-0000-0400-00000C000000}">
      <text>
        <r>
          <rPr>
            <sz val="11"/>
            <color theme="1"/>
            <rFont val="Calibri"/>
            <family val="2"/>
            <scheme val="minor"/>
          </rPr>
          <t>Author:
= if 0.003785 m^3 * # of harvest collection containers/week * 2 weeks &lt;=  0.0187 m^3, return the value of 1
= if the ratio of (0.003785 m^3 * # of harvest collection containers/week * 2 weeks) / (0.0187 m^3) is greater than 1, return the value to the next whole number
- 0.003785 m^3 = volume of a 1-gallon ziploc bag used for cold storage
[https://www.uline.com/Product/Detail/S-23779/Food-Bags/Ziploc-Freezer-Bags-1-Gallon]
- 2 weeks = assumed time for cold storage to be kept in freezer
- 0.0187 m^3 = cold capacity volume of one NASA GLACIER freezer [https://ntrs.nasa.gov/api/citations/20060056491/downloads/20060056491.pdf]</t>
        </r>
      </text>
    </comment>
    <comment ref="D33" authorId="0" shapeId="0" xr:uid="{00000000-0006-0000-0400-00000D000000}">
      <text>
        <r>
          <rPr>
            <sz val="11"/>
            <color theme="1"/>
            <rFont val="Calibri"/>
            <family val="2"/>
            <scheme val="minor"/>
          </rPr>
          <t>Author:
= 0.75 kg freezer/kg frozen food mass * [plant mass] kg FW/wk * # of freezers
- 0.75 kg freezer/kg frozen food mass
[Table 4-50 in https://ntrs.nasa.gov/api/citations/20210024855/downloads/BVAD_2.15.22-final.pdf]</t>
        </r>
      </text>
    </comment>
    <comment ref="E33" authorId="0" shapeId="0" xr:uid="{00000000-0006-0000-0400-00000E000000}">
      <text>
        <r>
          <rPr>
            <sz val="11"/>
            <color theme="1"/>
            <rFont val="Calibri"/>
            <family val="2"/>
            <scheme val="minor"/>
          </rPr>
          <t>Author:
= 3.93E-3 m^3 freezer/kg frozen food mass * [plant mass] kg FW/wk * # of freezers
- 3.93E-3 m^3 freezer/kg frozen food mass
[Table 4-50 in https://ntrs.nasa.gov/api/citations/20210024855/downloads/BVAD_2.15.22-final.pdf]</t>
        </r>
      </text>
    </comment>
    <comment ref="F33" authorId="0" shapeId="0" xr:uid="{00000000-0006-0000-0400-00000F000000}">
      <text>
        <r>
          <rPr>
            <sz val="11"/>
            <color theme="1"/>
            <rFont val="Calibri"/>
            <family val="2"/>
            <scheme val="minor"/>
          </rPr>
          <t>Author:
= 0.33 kW freezer/kg frozen food mass * [harvested plant mass] kg/wk * # of freezers
- 0.33 kW freezer/kg frozen food mass
[Table 4-50 in https://ntrs.nasa.gov/api/citations/20210024855/downloads/BVAD_2.15.22-final.pdf]</t>
        </r>
      </text>
    </comment>
    <comment ref="G33" authorId="0" shapeId="0" xr:uid="{00000000-0006-0000-0400-000010000000}">
      <text>
        <r>
          <rPr>
            <sz val="11"/>
            <color theme="1"/>
            <rFont val="Calibri"/>
            <family val="2"/>
            <scheme val="minor"/>
          </rPr>
          <t>Author:
[Table 4-50 in https://ntrs.nasa.gov/api/citations/20210024855/downloads/BVAD_2.15.22-final.pdf]</t>
        </r>
      </text>
    </comment>
    <comment ref="C34" authorId="0" shapeId="0" xr:uid="{00000000-0006-0000-0400-000011000000}">
      <text>
        <r>
          <rPr>
            <sz val="11"/>
            <color theme="1"/>
            <rFont val="Calibri"/>
            <family val="2"/>
            <scheme val="minor"/>
          </rPr>
          <t>Author:
= if leaf harvest crew time is less than 2 hrs, return the value of 1
= if the ratio of leaf harvest crew time to 2 hrs is greater than 1, return the next whole number
- Assumption: 1 harvesting tool per CM
- Assumption: 1 CM will spend maximum 2 hours harvesting per week</t>
        </r>
      </text>
    </comment>
    <comment ref="D34" authorId="0" shapeId="0" xr:uid="{00000000-0006-0000-0400-000012000000}">
      <text>
        <r>
          <rPr>
            <sz val="11"/>
            <color theme="1"/>
            <rFont val="Calibri"/>
            <family val="2"/>
            <scheme val="minor"/>
          </rPr>
          <t>Author:
= 0.20411 kg/scissor * # of scissors
- 0.20411 = mass of one scissor, similar to the one used by https://doi.org/10.2478/gsr-2023-0001 
[https://www.amazon.com/Clauss-Forged-Carbon-Steel-Shears/dp/B000PCVTCQ]</t>
        </r>
      </text>
    </comment>
    <comment ref="E34" authorId="0" shapeId="0" xr:uid="{00000000-0006-0000-0400-000013000000}">
      <text>
        <r>
          <rPr>
            <sz val="11"/>
            <color theme="1"/>
            <rFont val="Calibri"/>
            <family val="2"/>
            <scheme val="minor"/>
          </rPr>
          <t>Author:
= 6.4E-4 m^3/scissor * # of scissors
- 6.4E-4 m^3 = volume of one scissor, similar to the one used by https://doi.org/10.2478/gsr-2023-0001 
[https://www.amazon.com/Clauss-Forged-Carbon-Steel-Shears/dp/B000PCVTCQ]</t>
        </r>
      </text>
    </comment>
    <comment ref="C35" authorId="0" shapeId="0" xr:uid="{00000000-0006-0000-0400-000014000000}">
      <text>
        <r>
          <rPr>
            <sz val="11"/>
            <color theme="1"/>
            <rFont val="Calibri"/>
            <family val="2"/>
            <scheme val="minor"/>
          </rPr>
          <t xml:space="preserve">Author:
= rounded up value of [plant mass] kg FW/wk * (1 m^3 / 85 kg) * 1 bag / 0.003785 m^3
= 85 kg/m^3 = assumed density of moderately-packed lettuce [https://kg-m3.com/material/salad-green-leaves-raw] 
- 0.003785 m^3 = volume of a 1 gal bag [https://www.uline.com/Product/Detail/S-23779/Food-Bags/Ziploc-Freezer-Bags-1-Gallon] </t>
        </r>
      </text>
    </comment>
    <comment ref="D35" authorId="0" shapeId="0" xr:uid="{00000000-0006-0000-0400-000015000000}">
      <text>
        <r>
          <rPr>
            <sz val="11"/>
            <color theme="1"/>
            <rFont val="Calibri"/>
            <family val="2"/>
            <scheme val="minor"/>
          </rPr>
          <t>Author:
= (7.62 lbs / 250 bags) * (0.45359 kg / 1 lb) * # of bags
- 7.62 lbs per 250 bags 
[https://www.uline.com/Product/Detail/S-23779/Food-Bags/Ziploc-Freezer-Bags-1-Gallon]</t>
        </r>
      </text>
    </comment>
    <comment ref="E35" authorId="0" shapeId="0" xr:uid="{00000000-0006-0000-0400-000016000000}">
      <text>
        <r>
          <rPr>
            <sz val="11"/>
            <color theme="1"/>
            <rFont val="Calibri"/>
            <family val="2"/>
            <scheme val="minor"/>
          </rPr>
          <t xml:space="preserve">Author:
= (10.5 x 11 x 0.00394) in^3 * 1.639E-5 m^3/in^3 * # of bags
- 10.5" x 11" x 0.00394" = volume of a ziploc bag
[https://www.uline.com/Product/Detail/S-23779/Food-Bags/Ziploc-Freezer-Bags-1-Gallon]
</t>
        </r>
      </text>
    </comment>
    <comment ref="C39" authorId="0" shapeId="0" xr:uid="{00000000-0006-0000-0400-000017000000}">
      <text>
        <r>
          <rPr>
            <sz val="11"/>
            <color theme="1"/>
            <rFont val="Calibri"/>
            <family val="2"/>
            <scheme val="minor"/>
          </rPr>
          <t>Author:
= [# of plants]/wk * 1.01 mg/seed * 1 kg/1000000 mg
- 1 seed is 1.01 mg
[experimental data]</t>
        </r>
      </text>
    </comment>
    <comment ref="D39" authorId="0" shapeId="0" xr:uid="{00000000-0006-0000-0400-000018000000}">
      <text>
        <r>
          <rPr>
            <sz val="11"/>
            <color theme="1"/>
            <rFont val="Calibri"/>
            <family val="2"/>
            <scheme val="minor"/>
          </rPr>
          <t xml:space="preserve">Author:
= (4.57 mm * 1.524 mm * 0.5 mm)/seed * (1mm^3 / 1E-9 m^3)
- (4.57mm x 1.524 mm x 0.5 mm) = LxWxH
[experimental data]
</t>
        </r>
      </text>
    </comment>
    <comment ref="F39" authorId="0" shapeId="0" xr:uid="{00000000-0006-0000-0400-000019000000}">
      <text>
        <r>
          <rPr>
            <sz val="11"/>
            <color theme="1"/>
            <rFont val="Calibri"/>
            <family val="2"/>
            <scheme val="minor"/>
          </rPr>
          <t>Author:
= [# of plants]/wk * 1 min/10 seeds * 1 h/60 min * 150%
- Sowing seeds: 1 min per 10 seeds
[Table 3 in https://doi.org/10.1016/j.lssr.2021.08.002]
- Crew time in space is estimated at 150% of lab time on Earth [personal commication from Gioia (Feb, 2025)]</t>
        </r>
      </text>
    </comment>
    <comment ref="C40" authorId="0" shapeId="0" xr:uid="{00000000-0006-0000-0400-00001A000000}">
      <text>
        <r>
          <rPr>
            <sz val="11"/>
            <color theme="1"/>
            <rFont val="Calibri"/>
            <family val="2"/>
            <scheme val="minor"/>
          </rPr>
          <t>Author:
= [water volume] m^3 * 1000 kg/m^3
- 1000 kg/m^3 = water density</t>
        </r>
      </text>
    </comment>
    <comment ref="D40" authorId="0" shapeId="0" xr:uid="{00000000-0006-0000-0400-00001B000000}">
      <text>
        <r>
          <rPr>
            <sz val="11"/>
            <color theme="1"/>
            <rFont val="Calibri"/>
            <family val="2"/>
            <scheme val="minor"/>
          </rPr>
          <t>Author:
= 7.3 g DW/m^2-d * [planting area] m^2 * 28 d * 0.34 L water/g DW * 0.001 m^3/L
- 7.3 g DW/m^2-d
- 0.34 L water/g DW
[Tables 4-91 and 4-93 in https://ntrs.nasa.gov/api/citations/20210024855/downloads/BVAD_2.15.22-final.pdf]
- 28 d batch time
- Accounts for water for all 4 batches within a 28-day growth period</t>
        </r>
      </text>
    </comment>
    <comment ref="F40" authorId="0" shapeId="0" xr:uid="{00000000-0006-0000-0400-00001C000000}">
      <text>
        <r>
          <rPr>
            <sz val="11"/>
            <color theme="1"/>
            <rFont val="Calibri"/>
            <family val="2"/>
            <scheme val="minor"/>
          </rPr>
          <t>Author:
- 90 min/event * 4 events/yr * 1 h/60 min * 1/12.5 m^2 * 1 yr/365 d * 28 d * [planting area] m^2 * 150%
- 90 min per water management event
 [Table 3 in https://doi.org/10.1016/j.lssr.2021.08.002]
- 4 water management events a year [10.3389/fpls.2020.00656, Zabel 2020][Zeidler, Conrad, et al. "Resource consumption and waste production of the EDEN ISS space greenhouse analogue during the 2018 experiment phase in Antarctica."]
- 12.5 m^2 growing area for EDEN ISS
 [Table 3 in https://doi.org/10.1016/j.lssr.2021.08.002]
- 28 d batch time
- Crew time in space is estimated at 150% of lab time on Earth [personal commication from Gioia (Feb, 2025)]</t>
        </r>
      </text>
    </comment>
    <comment ref="C41" authorId="0" shapeId="0" xr:uid="{00000000-0006-0000-0400-00001D000000}">
      <text>
        <r>
          <rPr>
            <sz val="11"/>
            <color theme="1"/>
            <rFont val="Calibri"/>
            <family val="2"/>
            <scheme val="minor"/>
          </rPr>
          <t>Author:
- (1.166 g/L + (12.496 g/L-wk * 3 wks)) * (1 kg/1000 g) * [volume of water] m^3 * 1000 L/m^3 
- 1.166 g/L nutrients added first week
- 12.496 g/L nutrients added following three weeks
[Tables 4-94 and 4-95 in https://ntrs.nasa.gov/api/citations/20210024855/downloads/BVAD_2.15.22-final.pdf]</t>
        </r>
      </text>
    </comment>
    <comment ref="F41" authorId="0" shapeId="0" xr:uid="{00000000-0006-0000-0400-00001E000000}">
      <text>
        <r>
          <rPr>
            <sz val="11"/>
            <color theme="1"/>
            <rFont val="Calibri"/>
            <family val="2"/>
            <scheme val="minor"/>
          </rPr>
          <t>Author:
= 20.17 min/10 d-tank * 1 hr/60 min * 1/12.5 m^2 * [planting area] m^2 * 28 d * 150%
- 20.17 min of nutrient solution prep per 10 days/tank (assuming 1 tank is always used and replenished every 10 days)
- 12.5 m^2 growing area aboard EDEN ISS
[Table 3 in https://doi.org/10.1016/j.lssr.2021.08.002]
- 28 d batch time
-  Crew time in space is estimated at 150% of lab time on Earth [personal commication from Gioia Massa (Feb, 2025)]</t>
        </r>
      </text>
    </comment>
    <comment ref="C42" authorId="0" shapeId="0" xr:uid="{00000000-0006-0000-0400-00001F000000}">
      <text>
        <r>
          <rPr>
            <sz val="11"/>
            <color theme="1"/>
            <rFont val="Calibri"/>
            <family val="2"/>
            <scheme val="minor"/>
          </rPr>
          <t>Author:
= 10.7 g CO2/m^2-d * [planting area] m^2 * 28 d * 1 kg/1000 g
- 10.7 g CO2/m^2-d
[Table 4-91 in https://ntrs.nasa.gov/api/citations/20210024855/downloads/BVAD_2.15.22-final.pdf]
- 28 d batch time</t>
        </r>
      </text>
    </comment>
    <comment ref="D42" authorId="0" shapeId="0" xr:uid="{00000000-0006-0000-0400-000020000000}">
      <text>
        <r>
          <rPr>
            <sz val="11"/>
            <color theme="1"/>
            <rFont val="Calibri"/>
            <family val="2"/>
            <scheme val="minor"/>
          </rPr>
          <t>Author:
- [mass CO2] kg * 1 m^3/1.82 kg
- 1.82 kg/m^3 = density of CO2 gas at 23C</t>
        </r>
      </text>
    </comment>
    <comment ref="F42" authorId="0" shapeId="0" xr:uid="{00000000-0006-0000-0400-000021000000}">
      <text>
        <r>
          <rPr>
            <sz val="11"/>
            <color theme="1"/>
            <rFont val="Calibri"/>
            <family val="2"/>
            <scheme val="minor"/>
          </rPr>
          <t>Author:
= 2.13 min/task * 365 tasks/yr * 1 hr/60 min * 1 yr/365 d * 28 d * 1.5
- 2.13 min per CO2 and lighting monitoring task
- 365 monitoring tasks per year (daily operation)
[Table 5 in https://doi.org/10.1016/j.lssr.2021.08.002]
- 28 day batch time
- Crew time in space is estimated at 150% of lab time on Earth [personal commication from Gioia Massa (Feb, 2025)]</t>
        </r>
      </text>
    </comment>
    <comment ref="C44" authorId="0" shapeId="0" xr:uid="{00000000-0006-0000-0400-000022000000}">
      <text>
        <r>
          <rPr>
            <sz val="11"/>
            <color theme="1"/>
            <rFont val="Calibri"/>
            <family val="2"/>
            <scheme val="minor"/>
          </rPr>
          <t>Author:
- 7.78 g O2/m^2-d * [planting area] m^2 * 28 d * 1 kg/1000 g
- 7.78 g O2/m^2-d
[Table 4-91 in https://ntrs.nasa.gov/api/citations/20210024855/downloads/BVAD_2.15.22-final.pdf]
- 28-day batch time</t>
        </r>
      </text>
    </comment>
    <comment ref="D44" authorId="0" shapeId="0" xr:uid="{00000000-0006-0000-0400-000023000000}">
      <text>
        <r>
          <rPr>
            <sz val="11"/>
            <color theme="1"/>
            <rFont val="Calibri"/>
            <family val="2"/>
            <scheme val="minor"/>
          </rPr>
          <t>Author:
= [mass of oxygen] kg * 1 m^3/kg
- 1.3 kg/m^3 = density of O2 gas at 1 atm</t>
        </r>
      </text>
    </comment>
    <comment ref="C45" authorId="0" shapeId="0" xr:uid="{00000000-0006-0000-0400-000024000000}">
      <text>
        <r>
          <rPr>
            <sz val="11"/>
            <color theme="1"/>
            <rFont val="Calibri"/>
            <family val="2"/>
            <scheme val="minor"/>
          </rPr>
          <t>Author:
= 2.1 kg/m^2-d * [planting area] m^2 * 28 d
- 2.1 kg/m^2-d is the average water uptake or average transpiration rate
[Table 4-91 https://ntrs.nasa.gov/api/citations/20210024855/downloads/BVAD_2.15.22-final.pdf]
- 28-day batch time</t>
        </r>
      </text>
    </comment>
    <comment ref="D45" authorId="0" shapeId="0" xr:uid="{00000000-0006-0000-0400-000025000000}">
      <text>
        <r>
          <rPr>
            <sz val="11"/>
            <color theme="1"/>
            <rFont val="Calibri"/>
            <family val="2"/>
            <scheme val="minor"/>
          </rPr>
          <t>Author:
= [water mass] kg * 1 m^3/1000 kg
- 1000 kg/m^3 = water density</t>
        </r>
      </text>
    </comment>
    <comment ref="F47" authorId="0" shapeId="0" xr:uid="{00000000-0006-0000-0400-000026000000}">
      <text>
        <r>
          <rPr>
            <sz val="11"/>
            <color theme="1"/>
            <rFont val="Calibri"/>
            <family val="2"/>
            <scheme val="minor"/>
          </rPr>
          <t>Author:
= 3.97 min harvest time/m^2 * [planting area] m^2 * 1 hr/60 min * 1.5
- 3.97 min/m^2 harvest time for lettuce
[Table 3 in https://doi.org/10.1016/j.lssr.2021.08.002]
- Crew time in space is estimated at 150% of lab time on Earth [personal commication from Gioia Massa (Feb, 2025)]</t>
        </r>
      </text>
    </comment>
    <comment ref="C48" authorId="0" shapeId="0" xr:uid="{00000000-0006-0000-0400-000027000000}">
      <text>
        <r>
          <rPr>
            <sz val="11"/>
            <color theme="1"/>
            <rFont val="Calibri"/>
            <family val="2"/>
            <scheme val="minor"/>
          </rPr>
          <t>Author:
= ([harvested edible biomass] kg FW/m^2 * [planting area] m^2) - [water mass in plant] kg</t>
        </r>
      </text>
    </comment>
    <comment ref="D48" authorId="0" shapeId="0" xr:uid="{00000000-0006-0000-0400-000028000000}">
      <text>
        <r>
          <rPr>
            <sz val="11"/>
            <color theme="1"/>
            <rFont val="Calibri"/>
            <family val="2"/>
            <scheme val="minor"/>
          </rPr>
          <t>Author:
= [plant mass DW] kg * 1 m^3/386 kg
- 368 kg/m^3 = estimated lettuce dry bulk density
[https://www.mpd-inc.com/bulk-density/]</t>
        </r>
      </text>
    </comment>
    <comment ref="C49" authorId="0" shapeId="0" xr:uid="{00000000-0006-0000-0400-000029000000}">
      <text>
        <r>
          <rPr>
            <sz val="11"/>
            <color theme="1"/>
            <rFont val="Calibri"/>
            <family val="2"/>
            <scheme val="minor"/>
          </rPr>
          <t>Author:
= [plant mass] kg FW * 0.90
- 90% water content in lettuce
[Table 4-90 in https://ntrs.nasa.gov/api/citations/20210024855/downloads/BVAD_2.15.22-final.pdf]</t>
        </r>
      </text>
    </comment>
    <comment ref="D49" authorId="0" shapeId="0" xr:uid="{00000000-0006-0000-0400-00002A000000}">
      <text>
        <r>
          <rPr>
            <sz val="11"/>
            <color theme="1"/>
            <rFont val="Calibri"/>
            <family val="2"/>
            <scheme val="minor"/>
          </rPr>
          <t>Author:
= [water mass] kg * 1 m^3/1000 kg
- 1000 kg/m^3 = water density</t>
        </r>
      </text>
    </comment>
    <comment ref="E50" authorId="0" shapeId="0" xr:uid="{00000000-0006-0000-0400-00002B000000}">
      <text>
        <r>
          <rPr>
            <sz val="11"/>
            <color theme="1"/>
            <rFont val="Calibri"/>
            <family val="2"/>
            <scheme val="minor"/>
          </rPr>
          <t>Author:
= [plant mass] kg FW * 17 kcal/0.1 kg lettuce * 1000 cal/1 kcal * 4.184 J / 1 cal * 28 d * 24 h/d * 3600s/h
- 17 kcal per 0.1 kg lettuce
[https://fdc.nal.usda.gov/food-details/2346388/nutrients]
- 28-day batch time</t>
        </r>
      </text>
    </comment>
    <comment ref="C51" authorId="0" shapeId="0" xr:uid="{00000000-0006-0000-0400-00002C000000}">
      <text>
        <r>
          <rPr>
            <sz val="11"/>
            <color theme="1"/>
            <rFont val="Calibri"/>
            <family val="2"/>
            <scheme val="minor"/>
          </rPr>
          <t>Author:
= (0.74 g protein + 0.07 g fat + 3.37 g carbs + 0.12 g nitrogen + 0.32 g ash)/ 0.1 kg lettuce * 1 kg macros /1000 g macros * [plant mass] kg
- All above macros are per 0.1 kg lettuce
[https://fdc.nal.usda.gov/food-details/2346388/nutrients]</t>
        </r>
      </text>
    </comment>
    <comment ref="C52" authorId="0" shapeId="0" xr:uid="{00000000-0006-0000-0400-00002D000000}">
      <text>
        <r>
          <rPr>
            <sz val="11"/>
            <color theme="1"/>
            <rFont val="Calibri"/>
            <family val="2"/>
            <scheme val="minor"/>
          </rPr>
          <t>Author:
= (14 mg Ca + 0.03 mg Fe + 6.3 mg Mg + 19 mg P + 139 mg K + 16 mg Na + 0.17 mg Zn + 0.033 mg Cu + 0.082 mg Mn + 0.056 mg Thiamin + 0.218 mg Niacin + 0.04 mg Vitamin B-6 + 0.0205 ug Vitamin K )/ 0.1 kg lettuce * 1 kg micros /1000 g micros * [plant mass] kg
- All above micros are per 0.1 kg lettuce
[https://fdc.nal.usda.gov/food-details/2346388/nutrients]</t>
        </r>
      </text>
    </comment>
    <comment ref="C54" authorId="0" shapeId="0" xr:uid="{00000000-0006-0000-0400-00002E000000}">
      <text>
        <r>
          <rPr>
            <sz val="11"/>
            <color theme="1"/>
            <rFont val="Calibri"/>
            <family val="2"/>
            <scheme val="minor"/>
          </rPr>
          <t>Author:
= 7.3 g inedible FW/m^2-d * 1 kg/1000 g * [planting area] m^2 * 28 d
- 7.3 g inedible FW/m^2-d
[Table 4-90 in https://ntrs.nasa.gov/api/citations/20210024855/downloads/BVAD_2.15.22-final.pdf]
- 28-d batch period</t>
        </r>
      </text>
    </comment>
    <comment ref="D54" authorId="0" shapeId="0" xr:uid="{00000000-0006-0000-0400-00002F000000}">
      <text>
        <r>
          <rPr>
            <sz val="11"/>
            <color theme="1"/>
            <rFont val="Calibri"/>
            <family val="2"/>
            <scheme val="minor"/>
          </rPr>
          <t>Author:
= [biomass waste mass] kg * 1 m^3/60 kg
- 60 kg/m^3 = estimated density of raw lettuce waste
[https://kg-m3.com/material/salad-green-leaves-raw]</t>
        </r>
      </text>
    </comment>
    <comment ref="F54" authorId="0" shapeId="0" xr:uid="{00000000-0006-0000-0400-000030000000}">
      <text>
        <r>
          <rPr>
            <sz val="11"/>
            <color theme="1"/>
            <rFont val="Calibri"/>
            <family val="2"/>
            <scheme val="minor"/>
          </rPr>
          <t>Author:
Neglect. No current info</t>
        </r>
      </text>
    </comment>
    <comment ref="C58" authorId="0" shapeId="0" xr:uid="{00000000-0006-0000-0400-000031000000}">
      <text>
        <r>
          <rPr>
            <sz val="11"/>
            <color theme="1"/>
            <rFont val="Calibri"/>
            <family val="2"/>
            <scheme val="minor"/>
          </rPr>
          <t>Author:
= [seeds mass] kg/wk + ([plant nutrients mass] kg * (1/4 wks) * 4 batches/wk) + ([CO2 mass] kg * (1/4 wks) * 4 batches/wk)
- Divided plant nutrients and CO2 by 4 weeks (28 days batch time) to get a per-week basis for 1 batch. Then multiplied plant nutrients and CO2 by 4 because this is for 4 batches at a given week</t>
        </r>
      </text>
    </comment>
    <comment ref="E58" authorId="0" shapeId="0" xr:uid="{00000000-0006-0000-0400-000032000000}">
      <text>
        <r>
          <rPr>
            <sz val="11"/>
            <color theme="1"/>
            <rFont val="Calibri"/>
            <family val="2"/>
            <scheme val="minor"/>
          </rPr>
          <t>Author:
= ([O2 mass] kg * (1/4 wks) * 4 batches/wk) + [PTH-Fc mass] kg/wk + [plant biomass DW] kg/wk + [water mass from plant] kg/wk + [macros mass] kg/wk + [micros mass] kg/wk]
- Divided O2 by 4 weeks (28 days batch time) to get a per-week basis for 1 batch. Then multiplied by 4 because this is for 4 batches at a given week</t>
        </r>
      </text>
    </comment>
    <comment ref="C59" authorId="0" shapeId="0" xr:uid="{00000000-0006-0000-0400-000033000000}">
      <text>
        <r>
          <rPr>
            <sz val="11"/>
            <color theme="1"/>
            <rFont val="Calibri"/>
            <family val="2"/>
            <scheme val="minor"/>
          </rPr>
          <t>Author:
= [seeds volume] m^3/wk + ([CO2 volume] m^3 * (1/4 wks) * 4 batches/wk)
- Divided CO2 by 4 weeks (28 days batch time) to get a per-week basis for 1 batch. Then multiplied CO2 by 4 because this is for 4 batches at a given week</t>
        </r>
      </text>
    </comment>
    <comment ref="E59" authorId="0" shapeId="0" xr:uid="{00000000-0006-0000-0400-000034000000}">
      <text>
        <r>
          <rPr>
            <sz val="11"/>
            <color theme="1"/>
            <rFont val="Calibri"/>
            <family val="2"/>
            <scheme val="minor"/>
          </rPr>
          <t>Author:
= ([O2 volume] m^3 * (1/4 wks) * 4 batches/wk) + ([water transpiration volume] m^3 * (1/4 wks) * 4 batches/wk) + [plant biomass DW] m^3/wk + [water volume from plant] m^3/wk
- Divided O2 and water transpiration by 4 weeks (28 days batch time) to get a per-week basis for 1 batch. Then multiplied O2 and water transpiration by 4 because this is for 4 batches at a given week</t>
        </r>
      </text>
    </comment>
    <comment ref="B61" authorId="0" shapeId="0" xr:uid="{00000000-0006-0000-0400-000035000000}">
      <text>
        <r>
          <rPr>
            <sz val="11"/>
            <color theme="1"/>
            <rFont val="Calibri"/>
            <family val="2"/>
            <scheme val="minor"/>
          </rPr>
          <t>Author:
Same value as Power. Assumed nearly all electrical power consumed by growth chamber becomes heat to be removed by thermal control systems
[Table 4-88 in https://ntrs.nasa.gov/api/citations/20210024855/downloads/BVAD_2.15.22-final.pdf]</t>
        </r>
      </text>
    </comment>
    <comment ref="F62" authorId="1" shapeId="0" xr:uid="{95D9102A-AA0E-4E46-AEF5-06D796F471BB}">
      <text>
        <r>
          <rPr>
            <sz val="9"/>
            <color indexed="81"/>
            <rFont val="Tahoma"/>
            <family val="2"/>
          </rPr>
          <t>Author:
- [crew time for sowing seeds] CM-h/wk + ([crew time for water management] CM-h/4 wks * 4 batches/wk) + ([crew time for nutrient solution prep] CM-h/4 wks * 4 batches/wk) +([crew time for CO2 monitoring] CM-h/4 wks)
- Divided crew time for water management and nutrient solution prep by 4 weeks to get a per-week basis for 1 batch. Then multiplied by 4 because this is for 4 batches at a given week. 
-  Divided crew time for CO2 monitoring by 4 to get a per-week basis. CO2 monitoring does not depend on number of batches.
Plus F47 for Harvesting time</t>
        </r>
      </text>
    </comment>
    <comment ref="A64" authorId="0" shapeId="0" xr:uid="{00000000-0006-0000-0400-000037000000}">
      <text>
        <r>
          <rPr>
            <sz val="11"/>
            <color theme="1"/>
            <rFont val="Calibri"/>
            <family val="2"/>
            <scheme val="minor"/>
          </rPr>
          <t>Author:
For a large-scale biomass production, the capacity of the Water Recovery System of the plant growth chamber would be expanded
[personal communication with Mark Settles, Aug 2025]</t>
        </r>
      </text>
    </comment>
    <comment ref="B64" authorId="0" shapeId="0" xr:uid="{00000000-0006-0000-0400-000038000000}">
      <text>
        <r>
          <rPr>
            <sz val="11"/>
            <color theme="1"/>
            <rFont val="Calibri"/>
            <family val="2"/>
            <scheme val="minor"/>
          </rPr>
          <t>Author:
= [mass of water input] kg - [mass of water transpiration] kg - [mass of water in plant] kg
- Mass of water remaining that is assumed to be recycled in the the Water Recovery System, and is thus part of the system component</t>
        </r>
      </text>
    </comment>
    <comment ref="C64" authorId="0" shapeId="0" xr:uid="{00000000-0006-0000-0400-000039000000}">
      <text>
        <r>
          <rPr>
            <sz val="11"/>
            <color theme="1"/>
            <rFont val="Calibri"/>
            <family val="2"/>
            <scheme val="minor"/>
          </rPr>
          <t>Author:
= ([water mass] kg * (1/4 wks) * 4 batches/wk) 
-Divided water mass by 4 weeks to get a per-week basis for 1 batch. Then multiplied by 4 because this is for 4 batches at a given week. 
- This is the mass of water provided to the plant growth chamber, with the water assumed to be sourced from the Martian surface and from Water Recovery System. 
- If sourced, should we add an ISRU System for water extraction from Mars under cell B25 "Equipment"? BVAD Table 4-85 mentions the ISRU System's mass and power, but not volume and crew time requirements</t>
        </r>
      </text>
    </comment>
    <comment ref="E64" authorId="0" shapeId="0" xr:uid="{00000000-0006-0000-0400-00003A000000}">
      <text>
        <r>
          <rPr>
            <sz val="11"/>
            <color theme="1"/>
            <rFont val="Calibri"/>
            <family val="2"/>
            <scheme val="minor"/>
          </rPr>
          <t>Author:
= ([water transpiration mass] kg * (1/4 wks) * 4 batches/wk) 
Divided water transpiration by 4 weeks (28 days batch time) to get a per-week basis for 1 batch. Then multiplied by 4 because this is for 4 batches at a given week</t>
        </r>
      </text>
    </comment>
    <comment ref="B88" authorId="2" shapeId="0" xr:uid="{00000000-0006-0000-0400-00003B000000}">
      <text>
        <r>
          <rPr>
            <sz val="11"/>
            <color theme="1"/>
            <rFont val="Calibri"/>
            <family val="2"/>
            <scheme val="minor"/>
          </rPr>
          <t>Shanice Taylor:
Crisphead lettuce, measured Day 1 harvest of PTH-Fc</t>
        </r>
      </text>
    </comment>
    <comment ref="B89" authorId="2" shapeId="0" xr:uid="{00000000-0006-0000-0400-00003C000000}">
      <text>
        <r>
          <rPr>
            <sz val="11"/>
            <color theme="1"/>
            <rFont val="Calibri"/>
            <family val="2"/>
            <scheme val="minor"/>
          </rPr>
          <t>Shanice Taylor:
Calculated</t>
        </r>
      </text>
    </comment>
    <comment ref="B90" authorId="2" shapeId="0" xr:uid="{00000000-0006-0000-0400-00003D000000}">
      <text>
        <r>
          <rPr>
            <sz val="11"/>
            <color theme="1"/>
            <rFont val="Calibri"/>
            <family val="2"/>
            <scheme val="minor"/>
          </rPr>
          <t xml:space="preserve">Shanice Taylor:
Calculated
</t>
        </r>
      </text>
    </comment>
    <comment ref="B91" authorId="2" shapeId="0" xr:uid="{00000000-0006-0000-0400-00003E000000}">
      <text>
        <r>
          <rPr>
            <sz val="11"/>
            <color theme="1"/>
            <rFont val="Calibri"/>
            <family val="2"/>
            <scheme val="minor"/>
          </rPr>
          <t>Shanice Taylor:
Measured</t>
        </r>
      </text>
    </comment>
    <comment ref="B92" authorId="2" shapeId="0" xr:uid="{00000000-0006-0000-0400-00003F000000}">
      <text>
        <r>
          <rPr>
            <sz val="11"/>
            <color theme="1"/>
            <rFont val="Calibri"/>
            <family val="2"/>
            <scheme val="minor"/>
          </rPr>
          <t>Shanice Taylor:
Helios Gene Gun manual</t>
        </r>
      </text>
    </comment>
    <comment ref="B99" authorId="2" shapeId="0" xr:uid="{00000000-0006-0000-0400-000040000000}">
      <text>
        <r>
          <rPr>
            <sz val="11"/>
            <color theme="1"/>
            <rFont val="Calibri"/>
            <family val="2"/>
            <scheme val="minor"/>
          </rPr>
          <t>Shanice Taylor:
Helios Gene Gun manual</t>
        </r>
      </text>
    </comment>
    <comment ref="B100" authorId="2" shapeId="0" xr:uid="{00000000-0006-0000-0400-000041000000}">
      <text>
        <r>
          <rPr>
            <sz val="11"/>
            <color theme="1"/>
            <rFont val="Calibri"/>
            <family val="2"/>
            <scheme val="minor"/>
          </rPr>
          <t>Shanice Taylor:
personal communication with Gioia Massa, KSC, Feb. 2025</t>
        </r>
      </text>
    </comment>
    <comment ref="B101" authorId="2" shapeId="0" xr:uid="{58E61D77-D27A-4B59-9B3F-E013BF486ADB}">
      <text>
        <r>
          <rPr>
            <b/>
            <sz val="9"/>
            <color indexed="81"/>
            <rFont val="Tahoma"/>
            <family val="2"/>
          </rPr>
          <t>Shanice Taylor:</t>
        </r>
        <r>
          <rPr>
            <sz val="9"/>
            <color indexed="81"/>
            <rFont val="Tahoma"/>
            <family val="2"/>
          </rPr>
          <t xml:space="preserve">
 (321 kg + 91 kg)
- Mass of refrigeration/freezer unit (321 kg) + secondary structure mass (91 kg)
[Table 4-49 in https://ntrs.nasa.gov/api/citations/20210024855/downloads/BVAD_2.15.22-final.pdf]</t>
        </r>
      </text>
    </comment>
    <comment ref="B102" authorId="2" shapeId="0" xr:uid="{62979242-E8D8-4EFE-B506-3B559EAA02D7}">
      <text>
        <r>
          <rPr>
            <b/>
            <sz val="9"/>
            <color indexed="81"/>
            <rFont val="Tahoma"/>
            <family val="2"/>
          </rPr>
          <t>Shanice Taylor:</t>
        </r>
        <r>
          <rPr>
            <sz val="9"/>
            <color indexed="81"/>
            <rFont val="Tahoma"/>
            <family val="2"/>
          </rPr>
          <t xml:space="preserve">
[Table 4-49 in https://ntrs.nasa.gov/api/citations/20210024855/downloads/BVAD_2.15.22-final.pdf]</t>
        </r>
      </text>
    </comment>
    <comment ref="B103" authorId="2" shapeId="0" xr:uid="{097EC716-28C4-4E37-B7AE-B9A458931EF5}">
      <text>
        <r>
          <rPr>
            <b/>
            <sz val="9"/>
            <color indexed="81"/>
            <rFont val="Tahoma"/>
            <family val="2"/>
          </rPr>
          <t>Shanice Taylor:</t>
        </r>
        <r>
          <rPr>
            <sz val="9"/>
            <color indexed="81"/>
            <rFont val="Tahoma"/>
            <family val="2"/>
          </rPr>
          <t xml:space="preserve">
[Table 4-49 in https://ntrs.nasa.gov/api/citations/20210024855/downloads/BVAD_2.15.22-final.pdf]</t>
        </r>
      </text>
    </comment>
    <comment ref="B104" authorId="2" shapeId="0" xr:uid="{28E8C41B-7786-478F-A0A3-8F7CB234033F}">
      <text>
        <r>
          <rPr>
            <b/>
            <sz val="9"/>
            <color indexed="81"/>
            <rFont val="Tahoma"/>
            <family val="2"/>
          </rPr>
          <t>Shanice Taylor:</t>
        </r>
        <r>
          <rPr>
            <sz val="9"/>
            <color indexed="81"/>
            <rFont val="Tahoma"/>
            <family val="2"/>
          </rPr>
          <t xml:space="preserve">
[Table 4-49 in https://ntrs.nasa.gov/api/citations/20210024855/downloads/BVAD_2.15.22-final.pdf]</t>
        </r>
      </text>
    </comment>
    <comment ref="B115" authorId="2" shapeId="0" xr:uid="{00000000-0006-0000-0400-000046000000}">
      <text>
        <r>
          <rPr>
            <sz val="11"/>
            <color theme="1"/>
            <rFont val="Calibri"/>
            <family val="2"/>
            <scheme val="minor"/>
          </rPr>
          <t>Shanice Taylor:
=14 lb / (0.002205 lb / 1 g)</t>
        </r>
      </text>
    </comment>
    <comment ref="C120" authorId="2" shapeId="0" xr:uid="{00000000-0006-0000-0400-000047000000}">
      <text>
        <r>
          <rPr>
            <sz val="11"/>
            <color theme="1"/>
            <rFont val="Calibri"/>
            <family val="2"/>
            <scheme val="minor"/>
          </rPr>
          <t>Shanice Taylor:
Per bullet</t>
        </r>
      </text>
    </comment>
    <comment ref="C124" authorId="2" shapeId="0" xr:uid="{00000000-0006-0000-0400-000048000000}">
      <text>
        <r>
          <rPr>
            <sz val="11"/>
            <color theme="1"/>
            <rFont val="Calibri"/>
            <family val="2"/>
            <scheme val="minor"/>
          </rPr>
          <t>Shanice Taylor:
Per empty bullet</t>
        </r>
      </text>
    </comment>
    <comment ref="L125" authorId="2" shapeId="0" xr:uid="{00000000-0006-0000-0400-000049000000}">
      <text>
        <r>
          <rPr>
            <sz val="11"/>
            <color theme="1"/>
            <rFont val="Calibri"/>
            <family val="2"/>
            <scheme val="minor"/>
          </rPr>
          <t>Shanice Taylor:
Units of m^2</t>
        </r>
      </text>
    </comment>
    <comment ref="C131" authorId="2" shapeId="0" xr:uid="{00000000-0006-0000-0400-00004A000000}">
      <text>
        <r>
          <rPr>
            <sz val="11"/>
            <color theme="1"/>
            <rFont val="Calibri"/>
            <family val="2"/>
            <scheme val="minor"/>
          </rPr>
          <t xml:space="preserve">Shanice Taylor:
Per O-ring
</t>
        </r>
      </text>
    </comment>
    <comment ref="E135" authorId="2" shapeId="0" xr:uid="{00000000-0006-0000-0400-00004B000000}">
      <text>
        <r>
          <rPr>
            <sz val="11"/>
            <color theme="1"/>
            <rFont val="Calibri"/>
            <family val="2"/>
            <scheme val="minor"/>
          </rPr>
          <t>Shanice Taylor:
Setting up gun</t>
        </r>
      </text>
    </comment>
    <comment ref="E137" authorId="2" shapeId="0" xr:uid="{00000000-0006-0000-0400-00004C000000}">
      <text>
        <r>
          <rPr>
            <sz val="11"/>
            <color theme="1"/>
            <rFont val="Calibri"/>
            <family val="2"/>
            <scheme val="minor"/>
          </rPr>
          <t>Shanice Taylor:
Installing regulator</t>
        </r>
      </text>
    </comment>
    <comment ref="E138" authorId="2" shapeId="0" xr:uid="{00000000-0006-0000-0400-00004D000000}">
      <text>
        <r>
          <rPr>
            <sz val="11"/>
            <color theme="1"/>
            <rFont val="Calibri"/>
            <family val="2"/>
            <scheme val="minor"/>
          </rPr>
          <t xml:space="preserve">Shanice Taylor:
Regulator, tubing connection
</t>
        </r>
      </text>
    </comment>
    <comment ref="A181" authorId="0" shapeId="0" xr:uid="{00000000-0006-0000-0400-00004E000000}">
      <text>
        <r>
          <rPr>
            <sz val="11"/>
            <color theme="1"/>
            <rFont val="Calibri"/>
            <family val="2"/>
            <scheme val="minor"/>
          </rPr>
          <t xml:space="preserve">Author:
Assuming thermal control is similar to thermal cooling
</t>
        </r>
      </text>
    </comment>
    <comment ref="A183" authorId="0" shapeId="0" xr:uid="{00000000-0006-0000-0400-00004F000000}">
      <text>
        <r>
          <rPr>
            <sz val="11"/>
            <color theme="1"/>
            <rFont val="Calibri"/>
            <family val="2"/>
            <scheme val="minor"/>
          </rPr>
          <t>Author:
Mass of items being stored in freezer, not including mass of freezer itself.
Assuming lettuce will be stored up to 2 weeks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  <author>Karen McDonald</author>
    <author>Shanice Taylor</author>
  </authors>
  <commentList>
    <comment ref="B16" authorId="0" shapeId="0" xr:uid="{00000000-0006-0000-0500-000001000000}">
      <text>
        <r>
          <rPr>
            <sz val="11"/>
            <color theme="1"/>
            <rFont val="Calibri"/>
            <family val="2"/>
            <scheme val="minor"/>
          </rPr>
          <t>Author:
= (320 plants / 16 ft^2 tray) * (1 ft^2 / 0.0929 m^2) * (9,830,000 g FW / 982,000 plants) * 1 kg/1000 g 
- 320 N. benth plants per 16 ft^2 tray
- 9,830,000 g FW per 982,000 plants
[doi.org/10.1080/19420862.2016.1227901]</t>
        </r>
      </text>
    </comment>
    <comment ref="B17" authorId="0" shapeId="0" xr:uid="{00000000-0006-0000-0500-000002000000}">
      <text>
        <r>
          <rPr>
            <sz val="11"/>
            <color theme="1"/>
            <rFont val="Calibri"/>
            <family val="2"/>
            <scheme val="minor"/>
          </rPr>
          <t>Author:
= (9,830,000 g FW / 982,000 plants) * 1 kg/1000 g 
- 9,830,000 g FW per 982,000 plants
[doi.org/10.1080/19420862.2016.1227901]</t>
        </r>
      </text>
    </comment>
    <comment ref="B18" authorId="0" shapeId="0" xr:uid="{00000000-0006-0000-0500-000003000000}">
      <text>
        <r>
          <rPr>
            <sz val="11"/>
            <color theme="1"/>
            <rFont val="Calibri"/>
            <family val="2"/>
            <scheme val="minor"/>
          </rPr>
          <t xml:space="preserve">Author:
= [PTH-Fc mass] mg PTH-Fc monomer/wk-CM * 1 dimer/2 monomers * [PTH-Fc mass] mg dimer/kg FW </t>
        </r>
      </text>
    </comment>
    <comment ref="D29" authorId="0" shapeId="0" xr:uid="{00000000-0006-0000-0500-000004000000}">
      <text>
        <r>
          <rPr>
            <sz val="11"/>
            <color theme="1"/>
            <rFont val="Calibri"/>
            <family val="2"/>
            <scheme val="minor"/>
          </rPr>
          <t>Author:
= (101.5 kg/m^2 - 22.9 kg/m^2 - 8.4 kg/m^2) * [planting area] m^2
- Mass of all components in plant growth chamber (101.5 kg/m^2)    minus HPS lamps (22.9 kg/m^2) and ballasts (8.4 kg/m^2)
[Table 4-88 in https://ntrs.nasa.gov/api/citations/20210024855/downloads/BVAD_2.15.22-final.pdf]</t>
        </r>
      </text>
    </comment>
    <comment ref="E29" authorId="0" shapeId="0" xr:uid="{00000000-0006-0000-0500-000005000000}">
      <text>
        <r>
          <rPr>
            <sz val="11"/>
            <color theme="1"/>
            <rFont val="Calibri"/>
            <family val="2"/>
            <scheme val="minor"/>
          </rPr>
          <t>Author:
= (1.03 m^3/m^2 - 0.25 m^3/m^2) * [planting area] m^2
- Volume of all components (1.03 m^3/m^2) minus HPS lamps (0.25 m^3/m^2)
[Table 4-88 in https://ntrs.nasa.gov/api/citations/20210024855/downloads/BVAD_2.15.22-final.pdf]</t>
        </r>
      </text>
    </comment>
    <comment ref="F29" authorId="0" shapeId="0" xr:uid="{00000000-0006-0000-0500-000006000000}">
      <text>
        <r>
          <rPr>
            <sz val="11"/>
            <color theme="1"/>
            <rFont val="Calibri"/>
            <family val="2"/>
            <scheme val="minor"/>
          </rPr>
          <t>Author:
= (2.6 kW/m^2 - 2.1 kW/m^2 - 0.075 kW/m^2) * [planting area] m^2
Power of all chamber components (2.6 kW/m^2) minus HPS lamps (2.1 kW/m^2) and ballasts (0.075 kW/m^2) 
[Table 4-88 in https://ntrs.nasa.gov/api/citations/20210024855/downloads/BVAD_2.15.22-final.pdf]</t>
        </r>
      </text>
    </comment>
    <comment ref="G29" authorId="0" shapeId="0" xr:uid="{00000000-0006-0000-0500-000007000000}">
      <text>
        <r>
          <rPr>
            <sz val="11"/>
            <color theme="1"/>
            <rFont val="Calibri"/>
            <family val="2"/>
            <scheme val="minor"/>
          </rPr>
          <t xml:space="preserve">Author:
No info available regarding crewtime for maintaining growth chamber
</t>
        </r>
      </text>
    </comment>
    <comment ref="C30" authorId="0" shapeId="0" xr:uid="{00000000-0006-0000-0500-000008000000}">
      <text>
        <r>
          <rPr>
            <sz val="11"/>
            <color theme="1"/>
            <rFont val="Calibri"/>
            <family val="2"/>
            <scheme val="minor"/>
          </rPr>
          <t xml:space="preserve">Author:
= rounded-up value of [planting area] m^2 * 9 panels/m^2
- 9 LED panels per m^2 [personal communication with Paul Kusuma, 2025]
</t>
        </r>
      </text>
    </comment>
    <comment ref="D30" authorId="0" shapeId="0" xr:uid="{00000000-0006-0000-0500-000009000000}">
      <text>
        <r>
          <rPr>
            <sz val="11"/>
            <color theme="1"/>
            <rFont val="Calibri"/>
            <family val="2"/>
            <scheme val="minor"/>
          </rPr>
          <t xml:space="preserve">Author:
= 0.243 kg/LED panel * # of LED panels
- 0.243 kg = mass of an individual LED panel 
[personal communication with Paul Kusuma, 2025]
</t>
        </r>
      </text>
    </comment>
    <comment ref="E30" authorId="0" shapeId="0" xr:uid="{00000000-0006-0000-0500-00000A000000}">
      <text>
        <r>
          <rPr>
            <sz val="11"/>
            <color theme="1"/>
            <rFont val="Calibri"/>
            <family val="2"/>
            <scheme val="minor"/>
          </rPr>
          <t>Author:
= (0.3 m x 0.3 m x 0.001 m)/LED panel * # of LED panels
- 0.3m x 0.3m x 0.001m = dimensions (LxWxH) of one LED panel
[personal communication with Paul Kusuma, 2025]</t>
        </r>
      </text>
    </comment>
    <comment ref="F30" authorId="0" shapeId="0" xr:uid="{00000000-0006-0000-0500-00000B000000}">
      <text>
        <r>
          <rPr>
            <sz val="11"/>
            <color theme="1"/>
            <rFont val="Calibri"/>
            <family val="2"/>
            <scheme val="minor"/>
          </rPr>
          <t>Author:
= 50.7 W/LED panel * # of LED panels * 1 kW/1000W
- 50.7 W = power that 1 LED panel consumes
[personal communication with Paul Kusuma, 2025]</t>
        </r>
      </text>
    </comment>
    <comment ref="C31" authorId="0" shapeId="0" xr:uid="{00000000-0006-0000-0500-00000C000000}">
      <text>
        <r>
          <rPr>
            <sz val="11"/>
            <color theme="1"/>
            <rFont val="Calibri"/>
            <family val="2"/>
            <scheme val="minor"/>
          </rPr>
          <t>Author:
= if 0.003785 m^3 * # of harvest collection containers/week * 2 weeks &lt;=  0.0187 m^3, return the value of 1
= if the ratio of (0.003785 m^3 * # of harvest collection containers/week * 2 weeks) / (0.0187 m^3) is greater than 1, return the value to the next whole number
- 0.003785 m^3 = volume of a 1-gallon ziploc bag used for cold storage
[https://www.uline.com/Product/Detail/S-23779/Food-Bags/Ziploc-Freezer-Bags-1-Gallon]
- 2 weeks = assumed time for cold storage to be kept in freezer
- 0.0187 m^3 = cold capacity volume of one NASA GLACIER freezer [https://ntrs.nasa.gov/api/citations/20060056491/downloads/20060056491.pdf]</t>
        </r>
      </text>
    </comment>
    <comment ref="D31" authorId="0" shapeId="0" xr:uid="{00000000-0006-0000-0500-00000D000000}">
      <text>
        <r>
          <rPr>
            <sz val="11"/>
            <color theme="1"/>
            <rFont val="Calibri"/>
            <family val="2"/>
            <scheme val="minor"/>
          </rPr>
          <t>Author:
= 0.75 kg freezer/kg frozen food mass * [plant mass] kg FW/wk * # of freezers
- 0.75 kg freezer/kg frozen food mass
[Table 4-50 in https://ntrs.nasa.gov/api/citations/20210024855/downloads/BVAD_2.15.22-final.pdf]</t>
        </r>
      </text>
    </comment>
    <comment ref="E31" authorId="0" shapeId="0" xr:uid="{00000000-0006-0000-0500-00000E000000}">
      <text>
        <r>
          <rPr>
            <sz val="11"/>
            <color theme="1"/>
            <rFont val="Calibri"/>
            <family val="2"/>
            <scheme val="minor"/>
          </rPr>
          <t>Author:
= 3.93E-3 m^3 freezer/kg frozen food mass * [plant mass] kg FW/wk * # of freezers
- 3.93E-3 m^3 freezer/kg frozen food mass
[Table 4-50 in https://ntrs.nasa.gov/api/citations/20210024855/downloads/BVAD_2.15.22-final.pdf]</t>
        </r>
      </text>
    </comment>
    <comment ref="F31" authorId="0" shapeId="0" xr:uid="{00000000-0006-0000-0500-00000F000000}">
      <text>
        <r>
          <rPr>
            <sz val="11"/>
            <color theme="1"/>
            <rFont val="Calibri"/>
            <family val="2"/>
            <scheme val="minor"/>
          </rPr>
          <t>Author:
= 0.33 kW freezer/kg frozen food mass * [harvested plant mass] kg/wk * # of freezers
- 0.33 kW freezer/kg frozen food mass
[Table 4-50 in https://ntrs.nasa.gov/api/citations/20210024855/downloads/BVAD_2.15.22-final.pdf]</t>
        </r>
      </text>
    </comment>
    <comment ref="G31" authorId="0" shapeId="0" xr:uid="{00000000-0006-0000-0500-000010000000}">
      <text>
        <r>
          <rPr>
            <sz val="11"/>
            <color theme="1"/>
            <rFont val="Calibri"/>
            <family val="2"/>
            <scheme val="minor"/>
          </rPr>
          <t>Author:
[Table 4-50 in https://ntrs.nasa.gov/api/citations/20210024855/downloads/BVAD_2.15.22-final.pdf]</t>
        </r>
      </text>
    </comment>
    <comment ref="C32" authorId="0" shapeId="0" xr:uid="{00000000-0006-0000-0500-000011000000}">
      <text>
        <r>
          <rPr>
            <sz val="11"/>
            <color theme="1"/>
            <rFont val="Calibri"/>
            <family val="2"/>
            <scheme val="minor"/>
          </rPr>
          <t>Author:
= if leaf harvest crew time is less than 2 hrs, return the value of 1
= if the ratio of leaf harvest crew time to 2 hrs is greater than 1, return the next whole number
- Assumption: 1 harvesting tool per CM
- Assumption: 1 CM will spend maximum 2 hours harvesting per week</t>
        </r>
      </text>
    </comment>
    <comment ref="D32" authorId="0" shapeId="0" xr:uid="{00000000-0006-0000-0500-000012000000}">
      <text>
        <r>
          <rPr>
            <sz val="11"/>
            <color theme="1"/>
            <rFont val="Calibri"/>
            <family val="2"/>
            <scheme val="minor"/>
          </rPr>
          <t>Author:
= 0.20411 kg/scissor * # of scissors
- 0.20411 = mass of one scissor, similar to the one used by https://doi.org/10.2478/gsr-2023-0001 
[https://www.amazon.com/Clauss-Forged-Carbon-Steel-Shears/dp/B000PCVTCQ]</t>
        </r>
      </text>
    </comment>
    <comment ref="E32" authorId="0" shapeId="0" xr:uid="{00000000-0006-0000-0500-000013000000}">
      <text>
        <r>
          <rPr>
            <sz val="11"/>
            <color theme="1"/>
            <rFont val="Calibri"/>
            <family val="2"/>
            <scheme val="minor"/>
          </rPr>
          <t>Author:
= 6.4E-4 m^3/scissor * # of scissors
- 6.4E-4 m^3 = volume of one scissor, similar to the one used by https://doi.org/10.2478/gsr-2023-0001 
[https://www.amazon.com/Clauss-Forged-Carbon-Steel-Shears/dp/B000PCVTCQ]</t>
        </r>
      </text>
    </comment>
    <comment ref="C33" authorId="0" shapeId="0" xr:uid="{00000000-0006-0000-0500-000014000000}">
      <text>
        <r>
          <rPr>
            <sz val="11"/>
            <color theme="1"/>
            <rFont val="Calibri"/>
            <family val="2"/>
            <scheme val="minor"/>
          </rPr>
          <t xml:space="preserve">Author:
= rounded up value of [plant mass] kg FW/wk * (1 m^3 / 85 kg) * 1 bag / 0.003785 m^3
= 85 kg/m^3 = assumed density of moderately-packed N. benth, similar to lettuce [https://kg-m3.com/material/salad-green-leaves-raw] 
- 0.003785 m^3 = volume of a 1 gal bag [https://www.uline.com/Product/Detail/S-23779/Food-Bags/Ziploc-Freezer-Bags-1-Gallon] </t>
        </r>
      </text>
    </comment>
    <comment ref="D33" authorId="0" shapeId="0" xr:uid="{00000000-0006-0000-0500-000015000000}">
      <text>
        <r>
          <rPr>
            <sz val="11"/>
            <color theme="1"/>
            <rFont val="Calibri"/>
            <family val="2"/>
            <scheme val="minor"/>
          </rPr>
          <t>Author:
= (7.62 lbs / 250 bags) * (0.45359 kg / 1 lb) * # of bags
- 7.62 lbs per 250 bags 
[https://www.uline.com/Product/Detail/S-23779/Food-Bags/Ziploc-Freezer-Bags-1-Gallon]</t>
        </r>
      </text>
    </comment>
    <comment ref="E33" authorId="0" shapeId="0" xr:uid="{00000000-0006-0000-0500-000016000000}">
      <text>
        <r>
          <rPr>
            <sz val="11"/>
            <color theme="1"/>
            <rFont val="Calibri"/>
            <family val="2"/>
            <scheme val="minor"/>
          </rPr>
          <t xml:space="preserve">Author:
= (10.5 x 11 x 0.00394) in^3 * 1.639E-5 m^3/in^3 * # of bags
- 10.5" x 11" x 0.00394" = volume of a ziploc bag
[https://www.uline.com/Product/Detail/S-23779/Food-Bags/Ziploc-Freezer-Bags-1-Gallon]
</t>
        </r>
      </text>
    </comment>
    <comment ref="A37" authorId="0" shapeId="0" xr:uid="{00000000-0006-0000-0500-000017000000}">
      <text>
        <r>
          <rPr>
            <sz val="11"/>
            <color theme="1"/>
            <rFont val="Calibri"/>
            <family val="2"/>
            <scheme val="minor"/>
          </rPr>
          <t>Author:
- Using lettuce values from https://ntrs.nasa.gov/api/citations/20210024855/downloads/BVAD_2.15.22-final.pdf
- For 35-day-old N. benth (10g FW/plant, dense planting), the crop closest in growth form and cycle is lettuce. Lettuce fast-growing, herbaceous, leafy green harvested within a few weeks of planting (28 days)</t>
        </r>
      </text>
    </comment>
    <comment ref="C37" authorId="0" shapeId="0" xr:uid="{00000000-0006-0000-0500-000018000000}">
      <text>
        <r>
          <rPr>
            <sz val="11"/>
            <color theme="1"/>
            <rFont val="Calibri"/>
            <family val="2"/>
            <scheme val="minor"/>
          </rPr>
          <t>Author:
= 0.0004288 kg * [# of plants] * 2 seeds/plant
- Two seeds are used on average to generate one plant
[personal communcation with Karen McDonald]
- 0.0004288 kg = mass of one N. benth seed</t>
        </r>
      </text>
    </comment>
    <comment ref="D37" authorId="0" shapeId="0" xr:uid="{00000000-0006-0000-0500-000019000000}">
      <text>
        <r>
          <rPr>
            <sz val="11"/>
            <color theme="1"/>
            <rFont val="Calibri"/>
            <family val="2"/>
            <scheme val="minor"/>
          </rPr>
          <t>Author:
= (4/3 * pi * (0.45 mm/2)^3) * 1 m^3/1E9 mm^3
- 4/3*pi*radius^3 = Volume of a spherical N. benth seed
- 0.45 mm (450 um) = average diameter of ne N. benth seed
[Norikane, Joey, et al. "Development and Optimization of Nicotiana benthamiana Seed Production for Biopharmaceutical Applications." HORTSCIENCE. Vol. 49. No. 9, 2014.]</t>
        </r>
      </text>
    </comment>
    <comment ref="F37" authorId="0" shapeId="0" xr:uid="{00000000-0006-0000-0500-00001A000000}">
      <text>
        <r>
          <rPr>
            <sz val="11"/>
            <color theme="1"/>
            <rFont val="Calibri"/>
            <family val="2"/>
            <scheme val="minor"/>
          </rPr>
          <t>Author:
[Poulet et al (2021), Table 3]
- Sowing seeds: 1 min per 10 seeds
- Multiplied number of plants by two, since two seeds are used to generate one plant
- 60 min per hour
- Multiplied by 150% because crew time is estimated at 150% of lab time [personal commication from Gioia (Feb, 2025)]
Thinning plants: 4.6 min per m^2
- 215 N. benth plants per 1 m^2</t>
        </r>
      </text>
    </comment>
    <comment ref="C38" authorId="0" shapeId="0" xr:uid="{00000000-0006-0000-0500-00001B000000}">
      <text>
        <r>
          <rPr>
            <sz val="11"/>
            <color theme="1"/>
            <rFont val="Calibri"/>
            <family val="2"/>
            <scheme val="minor"/>
          </rPr>
          <t>Author:
= [water volume] m^3 * 1000 kg/m^3
- 1000 kg/m^3 = water density</t>
        </r>
      </text>
    </comment>
    <comment ref="D38" authorId="0" shapeId="0" xr:uid="{00000000-0006-0000-0500-00001C000000}">
      <text>
        <r>
          <rPr>
            <sz val="11"/>
            <color theme="1"/>
            <rFont val="Calibri"/>
            <family val="2"/>
            <scheme val="minor"/>
          </rPr>
          <t>Author:
7.3 g DW/m^2-d
35 d growth period
0.34 L water/g DW
0.001 m^3 per 1 L
[BVAD Tables 4-91 and 4-93]</t>
        </r>
      </text>
    </comment>
    <comment ref="F38" authorId="0" shapeId="0" xr:uid="{00000000-0006-0000-0500-00001D000000}">
      <text>
        <r>
          <rPr>
            <sz val="11"/>
            <color theme="1"/>
            <rFont val="Calibri"/>
            <family val="2"/>
            <scheme val="minor"/>
          </rPr>
          <t>Author:
Fresh/waste water management
[Poulet et al (2021), Table 3]
- 90 min per management event
- 4 events a year [Zabel 2020, Zeidler, 2020]
- 12.5 m^2 growing area for EDEN ISS
- 35 d growing period
- 365 d per yr
- Multiplied by 150% because crew time is estimated at 150% of lab time [personal commication from Gioia (Feb, 2025)]</t>
        </r>
      </text>
    </comment>
    <comment ref="C39" authorId="0" shapeId="0" xr:uid="{00000000-0006-0000-0500-00001E000000}">
      <text>
        <r>
          <rPr>
            <sz val="11"/>
            <color theme="1"/>
            <rFont val="Calibri"/>
            <family val="2"/>
            <scheme val="minor"/>
          </rPr>
          <t>Author:
- (1.166 g/L + (12.496 g/L-wk * 3 wks)) * (1 kg/1000 g) * [volume of water] m^3 * 1000 L/m^3 
- 1.166 g/L nutrients added first week
- 12.496 g/L nutrients added following three weeks
[Tables 4-94 and 4-95 in https://ntrs.nasa.gov/api/citations/20210024855/downloads/BVAD_2.15.22-final.pdf]</t>
        </r>
      </text>
    </comment>
    <comment ref="F39" authorId="0" shapeId="0" xr:uid="{00000000-0006-0000-0500-00001F000000}">
      <text>
        <r>
          <rPr>
            <sz val="11"/>
            <color theme="1"/>
            <rFont val="Calibri"/>
            <family val="2"/>
            <scheme val="minor"/>
          </rPr>
          <t>Author:
[Poulet, et al (2021), Table 3]
Nutrient solution mixing/prep
- 20.17 min per 10 days/tank (assuming 1 tank always used and is replenished every 10 days). This was for a 12.5 m^2 growing area aboard EDEN ISS
- 60 min per hour
- 35 d growing period
- Multiplied by 150% because crew time is estimated at 150% of lab time [personal commication from Gioia (Feb, 2025)]</t>
        </r>
      </text>
    </comment>
    <comment ref="C40" authorId="0" shapeId="0" xr:uid="{00000000-0006-0000-0500-000020000000}">
      <text>
        <r>
          <rPr>
            <sz val="11"/>
            <color theme="1"/>
            <rFont val="Calibri"/>
            <family val="2"/>
            <scheme val="minor"/>
          </rPr>
          <t>Author:
10.7 gCO2/m^2-d [BVAD Table 4-91]
35
 d growth period
1000 g in a kg</t>
        </r>
      </text>
    </comment>
    <comment ref="D40" authorId="0" shapeId="0" xr:uid="{00000000-0006-0000-0500-000021000000}">
      <text>
        <r>
          <rPr>
            <sz val="11"/>
            <color theme="1"/>
            <rFont val="Calibri"/>
            <family val="2"/>
            <scheme val="minor"/>
          </rPr>
          <t>Author:
1.82 kg/m^3 densiy of CO2 gas at 23C</t>
        </r>
      </text>
    </comment>
    <comment ref="F40" authorId="0" shapeId="0" xr:uid="{00000000-0006-0000-0500-000022000000}">
      <text>
        <r>
          <rPr>
            <sz val="11"/>
            <color theme="1"/>
            <rFont val="Calibri"/>
            <family val="2"/>
            <scheme val="minor"/>
          </rPr>
          <t>Author:
CO2 and lighting monitoring
[Poulet et al (2021, Table 5]
- 2.13 min/task
- 365 monitoring tasks per year (daily operation)
- 60 min per h
- 365 d per yr
- 35 day growing period
- Multiplied by 150% because crew time is estimated at 150% of lab time [personal commication from Gioia (Feb, 2025)]</t>
        </r>
      </text>
    </comment>
    <comment ref="C42" authorId="0" shapeId="0" xr:uid="{00000000-0006-0000-0500-000023000000}">
      <text>
        <r>
          <rPr>
            <sz val="11"/>
            <color theme="1"/>
            <rFont val="Calibri"/>
            <family val="2"/>
            <scheme val="minor"/>
          </rPr>
          <t xml:space="preserve">Author:
7.78 g O2/m^2-d
35 d growth period
[BVAD Table 4-91]
</t>
        </r>
      </text>
    </comment>
    <comment ref="D42" authorId="0" shapeId="0" xr:uid="{00000000-0006-0000-0500-000024000000}">
      <text>
        <r>
          <rPr>
            <sz val="11"/>
            <color theme="1"/>
            <rFont val="Calibri"/>
            <family val="2"/>
            <scheme val="minor"/>
          </rPr>
          <t>Author:
1.3 kg/m^3 density of O2 gas at 1 atm</t>
        </r>
      </text>
    </comment>
    <comment ref="C43" authorId="0" shapeId="0" xr:uid="{00000000-0006-0000-0500-000025000000}">
      <text>
        <r>
          <rPr>
            <sz val="11"/>
            <color theme="1"/>
            <rFont val="Calibri"/>
            <family val="2"/>
            <scheme val="minor"/>
          </rPr>
          <t>Author:
2.1 kg/m^2-d is the average water uptake or average transpiration rate
[BVAD Table 4-91]</t>
        </r>
      </text>
    </comment>
    <comment ref="D43" authorId="0" shapeId="0" xr:uid="{00000000-0006-0000-0500-000026000000}">
      <text>
        <r>
          <rPr>
            <sz val="11"/>
            <color theme="1"/>
            <rFont val="Calibri"/>
            <family val="2"/>
            <scheme val="minor"/>
          </rPr>
          <t>Author:
1000 kg/m^3 water density</t>
        </r>
      </text>
    </comment>
    <comment ref="F45" authorId="0" shapeId="0" xr:uid="{00000000-0006-0000-0500-000027000000}">
      <text>
        <r>
          <rPr>
            <sz val="11"/>
            <color theme="1"/>
            <rFont val="Calibri"/>
            <family val="2"/>
            <scheme val="minor"/>
          </rPr>
          <t>Author:
[Poulet, et. al (2021), Table 3]
3.97 min/m^2 harvest time for lettuce, assuming same harvest time for N. benth
60 minutes in an hour
- Multiplied by 150% because crew time is estimated at 150% of lab time [personal commication from Gioia (Feb, 2025)]</t>
        </r>
      </text>
    </comment>
    <comment ref="D46" authorId="0" shapeId="0" xr:uid="{00000000-0006-0000-0500-000028000000}">
      <text>
        <r>
          <rPr>
            <sz val="11"/>
            <color theme="1"/>
            <rFont val="Calibri"/>
            <family val="2"/>
            <scheme val="minor"/>
          </rPr>
          <t>Author:
= [biomass mass] kg * 1 m^3/60 kg
- 60 kg/m^3 = estimated density of raw lettuce waste. Assumed similar for N. benth
[https://kg-m3.com/material/salad-green-leaves-raw]</t>
        </r>
      </text>
    </comment>
    <comment ref="C48" authorId="0" shapeId="0" xr:uid="{00000000-0006-0000-0500-000029000000}">
      <text>
        <r>
          <rPr>
            <sz val="11"/>
            <color theme="1"/>
            <rFont val="Calibri"/>
            <family val="2"/>
            <scheme val="minor"/>
          </rPr>
          <t xml:space="preserve">Author:
[BVAD Table 4-90]
- For lettuce, 7.3 g inedible FW/m^2-d. Assuming same remaining biomass for N. benth
</t>
        </r>
      </text>
    </comment>
    <comment ref="D48" authorId="0" shapeId="0" xr:uid="{00000000-0006-0000-0500-00002A000000}">
      <text>
        <r>
          <rPr>
            <sz val="11"/>
            <color theme="1"/>
            <rFont val="Calibri"/>
            <family val="2"/>
            <scheme val="minor"/>
          </rPr>
          <t>Author:
= [biomass waste mass] kg * 1 m^3/60 kg
- 60 kg/m^3 = estimated density of raw lettuce waste. Assumed similar for N. benth
[https://kg-m3.com/material/salad-green-leaves-raw]</t>
        </r>
      </text>
    </comment>
    <comment ref="F48" authorId="0" shapeId="0" xr:uid="{00000000-0006-0000-0500-00002B000000}">
      <text>
        <r>
          <rPr>
            <sz val="11"/>
            <color theme="1"/>
            <rFont val="Calibri"/>
            <family val="2"/>
            <scheme val="minor"/>
          </rPr>
          <t>Author:
Neglect. No current info</t>
        </r>
      </text>
    </comment>
    <comment ref="C52" authorId="0" shapeId="0" xr:uid="{00000000-0006-0000-0500-00002C000000}">
      <text>
        <r>
          <rPr>
            <sz val="11"/>
            <color theme="1"/>
            <rFont val="Calibri"/>
            <family val="2"/>
            <scheme val="minor"/>
          </rPr>
          <t>Author:
= [seeds mass] kg/wk + ([plant nutrients mass] kg * (1/4 wks) * 4 batches/wk) + ([CO2 mass] kg * (1/4 wks) * 4 batches/wk)
- Divided plant nutrients and CO2 by 4 weeks (28 days batch time) to get a per-week basis for 1 batch. Then multiplied plant nutrients and CO2 by 4 because this is for 4 batches at a given week</t>
        </r>
      </text>
    </comment>
    <comment ref="E52" authorId="0" shapeId="0" xr:uid="{00000000-0006-0000-0500-00002D000000}">
      <text>
        <r>
          <rPr>
            <sz val="11"/>
            <color theme="1"/>
            <rFont val="Calibri"/>
            <family val="2"/>
            <scheme val="minor"/>
          </rPr>
          <t>Author:
= ([O2 mass] kg * (1/4 wks) * 4 batches/wk) + [PTH-Fc mass] kg/wk + [plant biomass DW] kg/wk + [water mass from plant] kg/wk + [macros mass] kg/wk + [micros mass] kg/wk]
- Divided O2 by 4 weeks (28 days batch time) to get a per-week basis for 1 batch. Then multiplied by 4 because this is for 4 batches at a given week</t>
        </r>
      </text>
    </comment>
    <comment ref="C53" authorId="0" shapeId="0" xr:uid="{00000000-0006-0000-0500-00002E000000}">
      <text>
        <r>
          <rPr>
            <sz val="11"/>
            <color theme="1"/>
            <rFont val="Calibri"/>
            <family val="2"/>
            <scheme val="minor"/>
          </rPr>
          <t>Author:
= [seeds volume] m^3/wk + ([CO2 volume] m^3 * (1/4 wks) * 4 batches/wk)
- Divided CO2 by 4 weeks (28 days batch time) to get a per-week basis for 1 batch. Then multiplied CO2 by 4 because this is for 4 batches at a given week</t>
        </r>
      </text>
    </comment>
    <comment ref="E53" authorId="0" shapeId="0" xr:uid="{00000000-0006-0000-0500-00002F000000}">
      <text>
        <r>
          <rPr>
            <sz val="11"/>
            <color theme="1"/>
            <rFont val="Calibri"/>
            <family val="2"/>
            <scheme val="minor"/>
          </rPr>
          <t>Author:
= ([O2 volume] m^3 * (1/4 wks) * 4 batches/wk) + ([water transpiration volume] m^3 * (1/4 wks) * 4 batches/wk) + [plant biomass DW] m^3/wk + [water volume from plant] m^3/wk
- Divided O2 and water transpiration by 4 weeks (28 days batch time) to get a per-week basis for 1 batch. Then multiplied O2 and water transpiration by 4 because this is for 4 batches at a given week</t>
        </r>
      </text>
    </comment>
    <comment ref="B55" authorId="0" shapeId="0" xr:uid="{00000000-0006-0000-0500-000030000000}">
      <text>
        <r>
          <rPr>
            <sz val="11"/>
            <color theme="1"/>
            <rFont val="Calibri"/>
            <family val="2"/>
            <scheme val="minor"/>
          </rPr>
          <t>Author:
Same value as Power. Assumed nearly all electrical power consumed by growth chamber becomes heat to be removed by thermal control systems
[Table 4-88 in https://ntrs.nasa.gov/api/citations/20210024855/downloads/BVAD_2.15.22-final.pdf]</t>
        </r>
      </text>
    </comment>
    <comment ref="F56" authorId="1" shapeId="0" xr:uid="{8029FF82-2FD0-4D87-8509-3955E655C48C}">
      <text>
        <r>
          <rPr>
            <b/>
            <sz val="9"/>
            <color indexed="81"/>
            <rFont val="Tahoma"/>
            <family val="2"/>
          </rPr>
          <t>Karen McDonald:</t>
        </r>
        <r>
          <rPr>
            <sz val="9"/>
            <color indexed="81"/>
            <rFont val="Tahoma"/>
            <family val="2"/>
          </rPr>
          <t xml:space="preserve">
Author:
- [crew time for sowing seeds] CM-h/wk + ([crew time for water management] CM-h/5 wks *5 batches/wk) + ([crew time for nutrient solution prep] CM-h5 wks * 5 batches/wk) +([crew time for CO2 monitoring] CM-h/5 wks) + harvesting time per week
- Divided crew time for water management and nutrient solution prep by 4 weeks to get a per-week basis for 1 batch. Then multiplied by 4 because this is for 4 batches at a given week. 
-  Divided crew time for CO2 monitoring by 4 to get a per-week basis. CO2 monitoring does not depend on number of batches.</t>
        </r>
      </text>
    </comment>
    <comment ref="A58" authorId="2" shapeId="0" xr:uid="{5E96B04C-AB18-4794-BD03-6BCD39B40B20}">
      <text>
        <r>
          <rPr>
            <sz val="11"/>
            <color theme="1"/>
            <rFont val="Calibri"/>
            <family val="2"/>
            <scheme val="minor"/>
          </rPr>
          <t>Shanice Taylor:
For a large-scale biomass production, the capacity of the Water Recovery System of the plant growth chamber would be expanded
[personal communication with Mark Settles, Aug 2025]</t>
        </r>
      </text>
    </comment>
    <comment ref="B58" authorId="0" shapeId="0" xr:uid="{00000000-0006-0000-0500-000033000000}">
      <text>
        <r>
          <rPr>
            <sz val="11"/>
            <color theme="1"/>
            <rFont val="Calibri"/>
            <family val="2"/>
            <scheme val="minor"/>
          </rPr>
          <t>Author:
= [mass of water input] kg - [mass of water transpiration] kg - [mass of water in plant] kg
- Mass of water remaining that is assumed to be recycled in the the Water Recovery System, and is thus part of the system component</t>
        </r>
      </text>
    </comment>
    <comment ref="C58" authorId="0" shapeId="0" xr:uid="{00000000-0006-0000-0500-000034000000}">
      <text>
        <r>
          <rPr>
            <sz val="11"/>
            <color theme="1"/>
            <rFont val="Calibri"/>
            <family val="2"/>
            <scheme val="minor"/>
          </rPr>
          <t xml:space="preserve">Author:
-Divided water mass by 4 weeks to get a per-week basis for 1 batch. Then multiplied by 4 because this is for 4 batches at a given week. 
- Mass of water provided to the plant growth chamber, with the water assumed to be sourced from the Martian surface. 
- If sourced, should we add an ISRU System for water extraction from Mars under cell B25 "Equipment"? BVAD Table 4-85 mentions the ISRU System's mass and power, but not volume and crew time requirements
</t>
        </r>
      </text>
    </comment>
    <comment ref="E58" authorId="0" shapeId="0" xr:uid="{00000000-0006-0000-0500-000035000000}">
      <text>
        <r>
          <rPr>
            <sz val="11"/>
            <color theme="1"/>
            <rFont val="Calibri"/>
            <family val="2"/>
            <scheme val="minor"/>
          </rPr>
          <t>Author:
= ([water transpiration mass] kg * (1/4 wks) * 4 batches/wk) 
Divided water transpiration by 4 weeks (28 days batch time) to get a per-week basis for 1 batch. Then multiplied by 4 because this is for 4 batches at a given week</t>
        </r>
      </text>
    </comment>
    <comment ref="B115" authorId="2" shapeId="0" xr:uid="{CF83EA72-B2EA-46E9-BC05-F21881DB9E2A}">
      <text>
        <r>
          <rPr>
            <b/>
            <sz val="9"/>
            <color indexed="81"/>
            <rFont val="Tahoma"/>
            <family val="2"/>
          </rPr>
          <t>Shanice Taylor:</t>
        </r>
        <r>
          <rPr>
            <sz val="9"/>
            <color indexed="81"/>
            <rFont val="Tahoma"/>
            <family val="2"/>
          </rPr>
          <t xml:space="preserve">
 (321 kg + 91 kg)
- Mass of refrigeration/freezer unit (321 kg) + secondary structure mass (91 kg)
[Table 4-49 in https://ntrs.nasa.gov/api/citations/20210024855/downloads/BVAD_2.15.22-final.pdf]</t>
        </r>
      </text>
    </comment>
    <comment ref="B116" authorId="2" shapeId="0" xr:uid="{2BDF893F-4CE4-4BC1-BC77-49BC2FB374F8}">
      <text>
        <r>
          <rPr>
            <b/>
            <sz val="9"/>
            <color indexed="81"/>
            <rFont val="Tahoma"/>
            <family val="2"/>
          </rPr>
          <t>Shanice Taylor:</t>
        </r>
        <r>
          <rPr>
            <sz val="9"/>
            <color indexed="81"/>
            <rFont val="Tahoma"/>
            <family val="2"/>
          </rPr>
          <t xml:space="preserve">
[Table 4-49 in https://ntrs.nasa.gov/api/citations/20210024855/downloads/BVAD_2.15.22-final.pdf]</t>
        </r>
      </text>
    </comment>
    <comment ref="B117" authorId="2" shapeId="0" xr:uid="{64CA27A9-568D-4E00-B39A-CFEBD99240D9}">
      <text>
        <r>
          <rPr>
            <b/>
            <sz val="9"/>
            <color indexed="81"/>
            <rFont val="Tahoma"/>
            <family val="2"/>
          </rPr>
          <t>Shanice Taylor:</t>
        </r>
        <r>
          <rPr>
            <sz val="9"/>
            <color indexed="81"/>
            <rFont val="Tahoma"/>
            <family val="2"/>
          </rPr>
          <t xml:space="preserve">
[Table 4-49 in https://ntrs.nasa.gov/api/citations/20210024855/downloads/BVAD_2.15.22-final.pdf]</t>
        </r>
      </text>
    </comment>
    <comment ref="B118" authorId="2" shapeId="0" xr:uid="{DB83B3C0-8FBE-4D68-8208-C66311ACEF51}">
      <text>
        <r>
          <rPr>
            <b/>
            <sz val="9"/>
            <color indexed="81"/>
            <rFont val="Tahoma"/>
            <family val="2"/>
          </rPr>
          <t>Shanice Taylor:</t>
        </r>
        <r>
          <rPr>
            <sz val="9"/>
            <color indexed="81"/>
            <rFont val="Tahoma"/>
            <family val="2"/>
          </rPr>
          <t xml:space="preserve">
[Table 4-49 in https://ntrs.nasa.gov/api/citations/20210024855/downloads/BVAD_2.15.22-final.pdf]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Shanice Taylor</author>
    <author>Author</author>
    <author>Karen McDonald</author>
  </authors>
  <commentList>
    <comment ref="B7" authorId="0" shapeId="0" xr:uid="{00000000-0006-0000-0600-000001000000}">
      <text>
        <r>
          <rPr>
            <sz val="11"/>
            <color theme="1"/>
            <rFont val="Calibri"/>
            <family val="2"/>
            <scheme val="minor"/>
          </rPr>
          <t>Shanice Taylor:
Lab data - 300mg AAT protein/kg FW</t>
        </r>
      </text>
    </comment>
    <comment ref="B16" authorId="1" shapeId="0" xr:uid="{00000000-0006-0000-0600-000002000000}">
      <text>
        <r>
          <rPr>
            <sz val="11"/>
            <color theme="1"/>
            <rFont val="Calibri"/>
            <family val="2"/>
            <scheme val="minor"/>
          </rPr>
          <t>Author:
= (320 plants / 16 ft^2 tray) * (1 ft^2 / 0.0929 m^2) * (9,830,000 g FW / 982,000 plants) * 1 kg/1000 g 
- 320 N. benth plants per 16 ft^2 tray
- 9,830,000 g FW per 982,000 plants
[doi.org/10.1080/19420862.2016.1227901]</t>
        </r>
      </text>
    </comment>
    <comment ref="B17" authorId="1" shapeId="0" xr:uid="{00000000-0006-0000-0600-000003000000}">
      <text>
        <r>
          <rPr>
            <sz val="11"/>
            <color theme="1"/>
            <rFont val="Calibri"/>
            <family val="2"/>
            <scheme val="minor"/>
          </rPr>
          <t>Author:
= (9,830,000 g FW / 982,000 plants) * 1 kg/1000 g 
- 9,830,000 g FW per 982,000 plants
[doi.org/10.1080/19420862.2016.1227901]</t>
        </r>
      </text>
    </comment>
    <comment ref="B18" authorId="1" shapeId="0" xr:uid="{00000000-0006-0000-0600-000004000000}">
      <text>
        <r>
          <rPr>
            <sz val="11"/>
            <color theme="1"/>
            <rFont val="Calibri"/>
            <family val="2"/>
            <scheme val="minor"/>
          </rPr>
          <t xml:space="preserve">Author:
= [PTH-Fc mass] mg PTH-Fc monomer/wk-CM * 1 dimer/2 monomers * [PTH-Fc mass] mg dimer/kg FW </t>
        </r>
      </text>
    </comment>
    <comment ref="D29" authorId="1" shapeId="0" xr:uid="{00000000-0006-0000-0600-000005000000}">
      <text>
        <r>
          <rPr>
            <sz val="11"/>
            <color theme="1"/>
            <rFont val="Calibri"/>
            <family val="2"/>
            <scheme val="minor"/>
          </rPr>
          <t>Author:
= (101.5 kg/m^2 - 22.9 kg/m^2 - 8.4 kg/m^2) * [planting area] m^2
- Mass of all components in plant growth chamber (101.5 kg/m^2)    minus HPS lamps (22.9 kg/m^2) and ballasts (8.4 kg/m^2)
[Table 4-88 in https://ntrs.nasa.gov/api/citations/20210024855/downloads/BVAD_2.15.22-final.pdf]</t>
        </r>
      </text>
    </comment>
    <comment ref="E29" authorId="1" shapeId="0" xr:uid="{00000000-0006-0000-0600-000006000000}">
      <text>
        <r>
          <rPr>
            <sz val="11"/>
            <color theme="1"/>
            <rFont val="Calibri"/>
            <family val="2"/>
            <scheme val="minor"/>
          </rPr>
          <t>Author:
= (1.03 m^3/m^2 - 0.25 m^3/m^2) * [planting area] m^2
- Volume of all components (1.03 m^3/m^2) minus HPS lamps (0.25 m^3/m^2)
[Table 4-88 in https://ntrs.nasa.gov/api/citations/20210024855/downloads/BVAD_2.15.22-final.pdf]</t>
        </r>
      </text>
    </comment>
    <comment ref="F29" authorId="1" shapeId="0" xr:uid="{00000000-0006-0000-0600-000007000000}">
      <text>
        <r>
          <rPr>
            <sz val="11"/>
            <color theme="1"/>
            <rFont val="Calibri"/>
            <family val="2"/>
            <scheme val="minor"/>
          </rPr>
          <t>Author:
= (2.6 kW/m^2 - 2.1 kW/m^2 - 0.075 kW/m^2) * [planting area] m^2
Power of all chamber components (2.6 kW/m^2) minus HPS lamps (2.1 kW/m^2) and ballasts (0.075 kW/m^2) 
[Table 4-88 in https://ntrs.nasa.gov/api/citations/20210024855/downloads/BVAD_2.15.22-final.pdf]</t>
        </r>
      </text>
    </comment>
    <comment ref="G29" authorId="1" shapeId="0" xr:uid="{00000000-0006-0000-0600-000008000000}">
      <text>
        <r>
          <rPr>
            <sz val="11"/>
            <color theme="1"/>
            <rFont val="Calibri"/>
            <family val="2"/>
            <scheme val="minor"/>
          </rPr>
          <t xml:space="preserve">Author:
No info available regarding crewtime for maintaining growth chamber
</t>
        </r>
      </text>
    </comment>
    <comment ref="C30" authorId="1" shapeId="0" xr:uid="{00000000-0006-0000-0600-000009000000}">
      <text>
        <r>
          <rPr>
            <sz val="11"/>
            <color theme="1"/>
            <rFont val="Calibri"/>
            <family val="2"/>
            <scheme val="minor"/>
          </rPr>
          <t xml:space="preserve">Author:
= rounded-up value of [planting area] m^2 * 9 panels/m^2
- 9 LED panels per m^2 [personal communication with Paul Kusuma, 2025]
</t>
        </r>
      </text>
    </comment>
    <comment ref="D30" authorId="1" shapeId="0" xr:uid="{00000000-0006-0000-0600-00000A000000}">
      <text>
        <r>
          <rPr>
            <sz val="11"/>
            <color theme="1"/>
            <rFont val="Calibri"/>
            <family val="2"/>
            <scheme val="minor"/>
          </rPr>
          <t xml:space="preserve">Author:
= 0.243 kg/LED panel * # of LED panels
- 0.243 kg = mass of an individual LED panel 
[personal communication with Paul Kusuma, 2025]
</t>
        </r>
      </text>
    </comment>
    <comment ref="E30" authorId="1" shapeId="0" xr:uid="{00000000-0006-0000-0600-00000B000000}">
      <text>
        <r>
          <rPr>
            <sz val="11"/>
            <color theme="1"/>
            <rFont val="Calibri"/>
            <family val="2"/>
            <scheme val="minor"/>
          </rPr>
          <t>Author:
= (0.3 m x 0.3 m x 0.001 m)/LED panel * # of LED panels
- 0.3m x 0.3m x 0.001m = dimensions (LxWxH) of one LED panel
[personal communication with Paul Kusuma, 2025]</t>
        </r>
      </text>
    </comment>
    <comment ref="F30" authorId="1" shapeId="0" xr:uid="{00000000-0006-0000-0600-00000C000000}">
      <text>
        <r>
          <rPr>
            <sz val="11"/>
            <color theme="1"/>
            <rFont val="Calibri"/>
            <family val="2"/>
            <scheme val="minor"/>
          </rPr>
          <t>Author:
= 50.7 W/LED panel * # of LED panels * 1 kW/1000W
- 50.7 W = power that 1 LED panel consumes
[personal communication with Paul Kusuma, 2025]</t>
        </r>
      </text>
    </comment>
    <comment ref="C31" authorId="1" shapeId="0" xr:uid="{00000000-0006-0000-0600-00000D000000}">
      <text>
        <r>
          <rPr>
            <sz val="11"/>
            <color theme="1"/>
            <rFont val="Calibri"/>
            <family val="2"/>
            <scheme val="minor"/>
          </rPr>
          <t>Author:
= if 0.003785 m^3 * # of harvest collection containers/week * 2 weeks &lt;=  0.0187 m^3, return the value of 1
= if the ratio of (0.003785 m^3 * # of harvest collection containers/week * 2 weeks) / (0.0187 m^3) is greater than 1, return the value to the next whole number
- 0.003785 m^3 = volume of a 1-gallon ziploc bag used for cold storage
[https://www.uline.com/Product/Detail/S-23779/Food-Bags/Ziploc-Freezer-Bags-1-Gallon]
- 2 weeks = assumed time for cold storage to be kept in freezer
- 0.0187 m^3 = cold capacity volume of one NASA GLACIER freezer [https://ntrs.nasa.gov/api/citations/20060056491/downloads/20060056491.pdf]</t>
        </r>
      </text>
    </comment>
    <comment ref="D31" authorId="1" shapeId="0" xr:uid="{00000000-0006-0000-0600-00000E000000}">
      <text>
        <r>
          <rPr>
            <sz val="11"/>
            <color theme="1"/>
            <rFont val="Calibri"/>
            <family val="2"/>
            <scheme val="minor"/>
          </rPr>
          <t>Author:
= 0.75 kg freezer/kg frozen food mass * [plant mass] kg FW/wk * # of freezers
- 0.75 kg freezer/kg frozen food mass
[Table 4-50 in https://ntrs.nasa.gov/api/citations/20210024855/downloads/BVAD_2.15.22-final.pdf]</t>
        </r>
      </text>
    </comment>
    <comment ref="E31" authorId="1" shapeId="0" xr:uid="{00000000-0006-0000-0600-00000F000000}">
      <text>
        <r>
          <rPr>
            <sz val="11"/>
            <color theme="1"/>
            <rFont val="Calibri"/>
            <family val="2"/>
            <scheme val="minor"/>
          </rPr>
          <t>Author:
= 3.93E-3 m^3 freezer/kg frozen food mass * [plant mass] kg FW/wk * # of freezers
- 3.93E-3 m^3 freezer/kg frozen food mass
[Table 4-50 in https://ntrs.nasa.gov/api/citations/20210024855/downloads/BVAD_2.15.22-final.pdf]</t>
        </r>
      </text>
    </comment>
    <comment ref="F31" authorId="1" shapeId="0" xr:uid="{00000000-0006-0000-0600-000010000000}">
      <text>
        <r>
          <rPr>
            <sz val="11"/>
            <color theme="1"/>
            <rFont val="Calibri"/>
            <family val="2"/>
            <scheme val="minor"/>
          </rPr>
          <t>Author:
= 0.33 kW freezer/kg frozen food mass * [harvested plant mass] kg/wk * # of freezers
- 0.33 kW freezer/kg frozen food mass
[Table 4-50 in https://ntrs.nasa.gov/api/citations/20210024855/downloads/BVAD_2.15.22-final.pdf]</t>
        </r>
      </text>
    </comment>
    <comment ref="G31" authorId="1" shapeId="0" xr:uid="{00000000-0006-0000-0600-000011000000}">
      <text>
        <r>
          <rPr>
            <sz val="11"/>
            <color theme="1"/>
            <rFont val="Calibri"/>
            <family val="2"/>
            <scheme val="minor"/>
          </rPr>
          <t>Author:
[Table 4-50 in https://ntrs.nasa.gov/api/citations/20210024855/downloads/BVAD_2.15.22-final.pdf]</t>
        </r>
      </text>
    </comment>
    <comment ref="C32" authorId="1" shapeId="0" xr:uid="{00000000-0006-0000-0600-000012000000}">
      <text>
        <r>
          <rPr>
            <sz val="11"/>
            <color theme="1"/>
            <rFont val="Calibri"/>
            <family val="2"/>
            <scheme val="minor"/>
          </rPr>
          <t>Author:
= if leaf harvest crew time is less than 2 hrs, return the value of 1
= if the ratio of leaf harvest crew time to 2 hrs is greater than 1, return the next whole number
- Assumption: 1 harvesting tool per CM
- Assumption: 1 CM will spend maximum 2 hours harvesting per week</t>
        </r>
      </text>
    </comment>
    <comment ref="D32" authorId="1" shapeId="0" xr:uid="{00000000-0006-0000-0600-000013000000}">
      <text>
        <r>
          <rPr>
            <sz val="11"/>
            <color theme="1"/>
            <rFont val="Calibri"/>
            <family val="2"/>
            <scheme val="minor"/>
          </rPr>
          <t>Author:
= 0.20411 kg/scissor * # of scissors
- 0.20411 = mass of one scissor, similar to the one used by https://doi.org/10.2478/gsr-2023-0001 
[https://www.amazon.com/Clauss-Forged-Carbon-Steel-Shears/dp/B000PCVTCQ]</t>
        </r>
      </text>
    </comment>
    <comment ref="E32" authorId="1" shapeId="0" xr:uid="{00000000-0006-0000-0600-000014000000}">
      <text>
        <r>
          <rPr>
            <sz val="11"/>
            <color theme="1"/>
            <rFont val="Calibri"/>
            <family val="2"/>
            <scheme val="minor"/>
          </rPr>
          <t>Author:
= 6.4E-4 m^3/scissor * # of scissors
- 6.4E-4 m^3 = volume of one scissor, similar to the one used by https://doi.org/10.2478/gsr-2023-0001 
[https://www.amazon.com/Clauss-Forged-Carbon-Steel-Shears/dp/B000PCVTCQ]</t>
        </r>
      </text>
    </comment>
    <comment ref="C33" authorId="1" shapeId="0" xr:uid="{00000000-0006-0000-0600-000015000000}">
      <text>
        <r>
          <rPr>
            <sz val="11"/>
            <color theme="1"/>
            <rFont val="Calibri"/>
            <family val="2"/>
            <scheme val="minor"/>
          </rPr>
          <t xml:space="preserve">Author:
= rounded up value of [plant mass] kg FW/wk * (1 m^3 / 85 kg) * 1 bag / 0.003785 m^3
= 85 kg/m^3 = assumed density of moderately-packed N. benth, similar to lettuce [https://kg-m3.com/material/salad-green-leaves-raw] 
- 0.003785 m^3 = volume of a 1 gal bag [https://www.uline.com/Product/Detail/S-23779/Food-Bags/Ziploc-Freezer-Bags-1-Gallon] </t>
        </r>
      </text>
    </comment>
    <comment ref="D33" authorId="1" shapeId="0" xr:uid="{00000000-0006-0000-0600-000016000000}">
      <text>
        <r>
          <rPr>
            <sz val="11"/>
            <color theme="1"/>
            <rFont val="Calibri"/>
            <family val="2"/>
            <scheme val="minor"/>
          </rPr>
          <t>Author:
= (7.62 lbs / 250 bags) * (0.45359 kg / 1 lb) * # of bags
- 7.62 lbs per 250 bags 
[https://www.uline.com/Product/Detail/S-23779/Food-Bags/Ziploc-Freezer-Bags-1-Gallon]</t>
        </r>
      </text>
    </comment>
    <comment ref="E33" authorId="1" shapeId="0" xr:uid="{00000000-0006-0000-0600-000017000000}">
      <text>
        <r>
          <rPr>
            <sz val="11"/>
            <color theme="1"/>
            <rFont val="Calibri"/>
            <family val="2"/>
            <scheme val="minor"/>
          </rPr>
          <t xml:space="preserve">Author:
= (10.5 x 11 x 0.00394) in^3 * 1.639E-5 m^3/in^3 * # of bags
- 10.5" x 11" x 0.00394" = volume of a ziploc bag
[https://www.uline.com/Product/Detail/S-23779/Food-Bags/Ziploc-Freezer-Bags-1-Gallon]
</t>
        </r>
      </text>
    </comment>
    <comment ref="A37" authorId="1" shapeId="0" xr:uid="{00000000-0006-0000-0600-000018000000}">
      <text>
        <r>
          <rPr>
            <sz val="11"/>
            <color theme="1"/>
            <rFont val="Calibri"/>
            <family val="2"/>
            <scheme val="minor"/>
          </rPr>
          <t>Author:
- Using lettuce values from https://ntrs.nasa.gov/api/citations/20210024855/downloads/BVAD_2.15.22-final.pdf
- For 35-day-old N. benth (10g FW/plant, dense planting), the crop closest in growth form and cycle is lettuce. Lettuce fast-growing, herbaceous, leafy green harvested within a few weeks of planting (28 days)</t>
        </r>
      </text>
    </comment>
    <comment ref="C37" authorId="1" shapeId="0" xr:uid="{00000000-0006-0000-0600-000019000000}">
      <text>
        <r>
          <rPr>
            <sz val="11"/>
            <color theme="1"/>
            <rFont val="Calibri"/>
            <family val="2"/>
            <scheme val="minor"/>
          </rPr>
          <t>Author:
= 0.0004288 kg * [# of plants] * 2 seeds/plant
- Two seeds are used on average to generate one plant
[personal communcation with Karen McDonald]
- 0.0004288 kg = mass of one N. benth seed</t>
        </r>
      </text>
    </comment>
    <comment ref="D37" authorId="1" shapeId="0" xr:uid="{00000000-0006-0000-0600-00001A000000}">
      <text>
        <r>
          <rPr>
            <sz val="11"/>
            <color theme="1"/>
            <rFont val="Calibri"/>
            <family val="2"/>
            <scheme val="minor"/>
          </rPr>
          <t>Author:
= (4/3 * pi * (0.45 mm/2)^3) * 1 m^3/1E9 mm^3
- 4/3*pi*radius^3 = Volume of a spherical N. benth seed
- 0.45 mm (450 um) = average diameter of ne N. benth seed
[Norikane, Joey, et al. "Development and Optimization of Nicotiana benthamiana Seed Production for Biopharmaceutical Applications." HORTSCIENCE. Vol. 49. No. 9, 2014.]</t>
        </r>
      </text>
    </comment>
    <comment ref="F37" authorId="1" shapeId="0" xr:uid="{00000000-0006-0000-0600-00001B000000}">
      <text>
        <r>
          <rPr>
            <sz val="11"/>
            <color theme="1"/>
            <rFont val="Calibri"/>
            <family val="2"/>
            <scheme val="minor"/>
          </rPr>
          <t>Author:
[Poulet et al (2021), Table 3]
- Sowing seeds: 1 min per 10 seeds
- Multiplied number of plants by two, since two seeds are used to generate one plant
- 60 min per hour
- Multiplied by 150% because crew time is estimated at 150% of lab time [personal commication from Gioia (Feb, 2025)]
Thinning plants: 4.6 min per m^2
- 215 N. benth plants per 1 m^2</t>
        </r>
      </text>
    </comment>
    <comment ref="C38" authorId="1" shapeId="0" xr:uid="{00000000-0006-0000-0600-00001C000000}">
      <text>
        <r>
          <rPr>
            <sz val="11"/>
            <color theme="1"/>
            <rFont val="Calibri"/>
            <family val="2"/>
            <scheme val="minor"/>
          </rPr>
          <t>Author:
= [water volume] m^3 * 1000 kg/m^3
- 1000 kg/m^3 = water density</t>
        </r>
      </text>
    </comment>
    <comment ref="D38" authorId="1" shapeId="0" xr:uid="{00000000-0006-0000-0600-00001D000000}">
      <text>
        <r>
          <rPr>
            <sz val="11"/>
            <color theme="1"/>
            <rFont val="Calibri"/>
            <family val="2"/>
            <scheme val="minor"/>
          </rPr>
          <t>Author:
7.3 g DW/m^2-d
35 d growth period
0.34 L water/g DW
0.001 m^3 per 1 L
[BVAD Tables 4-91 and 4-93]</t>
        </r>
      </text>
    </comment>
    <comment ref="F38" authorId="1" shapeId="0" xr:uid="{00000000-0006-0000-0600-00001E000000}">
      <text>
        <r>
          <rPr>
            <sz val="11"/>
            <color theme="1"/>
            <rFont val="Calibri"/>
            <family val="2"/>
            <scheme val="minor"/>
          </rPr>
          <t>Author:
Fresh/waste water management
[Poulet et al (2021), Table 3]
- 90 min per management event
- 4 events a year [Zabel 2020, Zeidler, 2020]
- 12.5 m^2 growing area for EDEN ISS
- 35 d growing period
- 365 d per yr
- Multiplied by 150% because crew time is estimated at 150% of lab time [personal commication from Gioia (Feb, 2025)]</t>
        </r>
      </text>
    </comment>
    <comment ref="C39" authorId="1" shapeId="0" xr:uid="{00000000-0006-0000-0600-00001F000000}">
      <text>
        <r>
          <rPr>
            <sz val="11"/>
            <color theme="1"/>
            <rFont val="Calibri"/>
            <family val="2"/>
            <scheme val="minor"/>
          </rPr>
          <t>Author:
- (1.166 g/L + (12.496 g/L-wk * 3 wks)) * (1 kg/1000 g) * [volume of water] m^3 * 1000 L/m^3 
- 1.166 g/L nutrients added first week
- 12.496 g/L nutrients added following three weeks
[Tables 4-94 and 4-95 in https://ntrs.nasa.gov/api/citations/20210024855/downloads/BVAD_2.15.22-final.pdf]</t>
        </r>
      </text>
    </comment>
    <comment ref="F39" authorId="1" shapeId="0" xr:uid="{00000000-0006-0000-0600-000020000000}">
      <text>
        <r>
          <rPr>
            <sz val="11"/>
            <color theme="1"/>
            <rFont val="Calibri"/>
            <family val="2"/>
            <scheme val="minor"/>
          </rPr>
          <t>Author:
[Poulet, et al (2021), Table 3]
Nutrient solution mixing/prep
- 20.17 min per 10 days/tank (assuming 1 tank always used and is replenished every 10 days). This was for a 12.5 m^2 growing area aboard EDEN ISS
- 60 min per hour
- 35 d growing period
- Multiplied by 150% because crew time is estimated at 150% of lab time [personal commication from Gioia (Feb, 2025)]</t>
        </r>
      </text>
    </comment>
    <comment ref="C40" authorId="1" shapeId="0" xr:uid="{00000000-0006-0000-0600-000021000000}">
      <text>
        <r>
          <rPr>
            <sz val="11"/>
            <color theme="1"/>
            <rFont val="Calibri"/>
            <family val="2"/>
            <scheme val="minor"/>
          </rPr>
          <t>Author:
10.7 gCO2/m^2-d [BVAD Table 4-91]
35
 d growth period
1000 g in a kg</t>
        </r>
      </text>
    </comment>
    <comment ref="D40" authorId="1" shapeId="0" xr:uid="{00000000-0006-0000-0600-000022000000}">
      <text>
        <r>
          <rPr>
            <sz val="11"/>
            <color theme="1"/>
            <rFont val="Calibri"/>
            <family val="2"/>
            <scheme val="minor"/>
          </rPr>
          <t>Author:
1.82 kg/m^3 densiy of CO2 gas at 23C</t>
        </r>
      </text>
    </comment>
    <comment ref="F40" authorId="1" shapeId="0" xr:uid="{00000000-0006-0000-0600-000023000000}">
      <text>
        <r>
          <rPr>
            <sz val="11"/>
            <color theme="1"/>
            <rFont val="Calibri"/>
            <family val="2"/>
            <scheme val="minor"/>
          </rPr>
          <t>Author:
CO2 and lighting monitoring
[Poulet et al (2021, Table 5]
- 2.13 min/task
- 365 monitoring tasks per year (daily operation)
- 60 min per h
- 365 d per yr
- 35 day growing period
- Multiplied by 150% because crew time is estimated at 150% of lab time [personal commication from Gioia (Feb, 2025)]</t>
        </r>
      </text>
    </comment>
    <comment ref="C42" authorId="1" shapeId="0" xr:uid="{00000000-0006-0000-0600-000024000000}">
      <text>
        <r>
          <rPr>
            <sz val="11"/>
            <color theme="1"/>
            <rFont val="Calibri"/>
            <family val="2"/>
            <scheme val="minor"/>
          </rPr>
          <t xml:space="preserve">Author:
7.78 g O2/m^2-d
35 d growth period
[BVAD Table 4-91]
</t>
        </r>
      </text>
    </comment>
    <comment ref="D42" authorId="1" shapeId="0" xr:uid="{00000000-0006-0000-0600-000025000000}">
      <text>
        <r>
          <rPr>
            <sz val="11"/>
            <color theme="1"/>
            <rFont val="Calibri"/>
            <family val="2"/>
            <scheme val="minor"/>
          </rPr>
          <t>Author:
1.3 kg/m^3 density of O2 gas at 1 atm</t>
        </r>
      </text>
    </comment>
    <comment ref="C43" authorId="1" shapeId="0" xr:uid="{00000000-0006-0000-0600-000026000000}">
      <text>
        <r>
          <rPr>
            <sz val="11"/>
            <color theme="1"/>
            <rFont val="Calibri"/>
            <family val="2"/>
            <scheme val="minor"/>
          </rPr>
          <t>Author:
2.1 kg/m^2-d is the average water uptake or average transpiration rate
[BVAD Table 4-91]</t>
        </r>
      </text>
    </comment>
    <comment ref="D43" authorId="1" shapeId="0" xr:uid="{00000000-0006-0000-0600-000027000000}">
      <text>
        <r>
          <rPr>
            <sz val="11"/>
            <color theme="1"/>
            <rFont val="Calibri"/>
            <family val="2"/>
            <scheme val="minor"/>
          </rPr>
          <t>Author:
1000 kg/m^3 water density</t>
        </r>
      </text>
    </comment>
    <comment ref="F45" authorId="1" shapeId="0" xr:uid="{00000000-0006-0000-0600-000028000000}">
      <text>
        <r>
          <rPr>
            <sz val="11"/>
            <color theme="1"/>
            <rFont val="Calibri"/>
            <family val="2"/>
            <scheme val="minor"/>
          </rPr>
          <t>Author:
[Poulet, et. al (2021), Table 3]
3.97 min/m^2 harvest time for lettuce, assuming same harvest time for N. benth
60 minutes in an hour
- Multiplied by 150% because crew time is estimated at 150% of lab time [personal commication from Gioia (Feb, 2025)]</t>
        </r>
      </text>
    </comment>
    <comment ref="D46" authorId="1" shapeId="0" xr:uid="{00000000-0006-0000-0600-000029000000}">
      <text>
        <r>
          <rPr>
            <sz val="11"/>
            <color theme="1"/>
            <rFont val="Calibri"/>
            <family val="2"/>
            <scheme val="minor"/>
          </rPr>
          <t>Author:
= [biomass mass] kg * 1 m^3/60 kg
- 60 kg/m^3 = estimated density of raw lettuce waste. Assumed similar for N. benth
[https://kg-m3.com/material/salad-green-leaves-raw]</t>
        </r>
      </text>
    </comment>
    <comment ref="C48" authorId="1" shapeId="0" xr:uid="{00000000-0006-0000-0600-00002A000000}">
      <text>
        <r>
          <rPr>
            <sz val="11"/>
            <color theme="1"/>
            <rFont val="Calibri"/>
            <family val="2"/>
            <scheme val="minor"/>
          </rPr>
          <t xml:space="preserve">Author:
[BVAD Table 4-90]
- For lettuce, 7.3 g inedible FW/m^2-d. Assuming same remaining biomass for N. benth
</t>
        </r>
      </text>
    </comment>
    <comment ref="D48" authorId="1" shapeId="0" xr:uid="{00000000-0006-0000-0600-00002B000000}">
      <text>
        <r>
          <rPr>
            <sz val="11"/>
            <color theme="1"/>
            <rFont val="Calibri"/>
            <family val="2"/>
            <scheme val="minor"/>
          </rPr>
          <t>Author:
= [biomass waste mass] kg * 1 m^3/60 kg
- 60 kg/m^3 = estimated density of raw lettuce waste. Assumed similar for N. benth
[https://kg-m3.com/material/salad-green-leaves-raw]</t>
        </r>
      </text>
    </comment>
    <comment ref="F48" authorId="1" shapeId="0" xr:uid="{00000000-0006-0000-0600-00002C000000}">
      <text>
        <r>
          <rPr>
            <sz val="11"/>
            <color theme="1"/>
            <rFont val="Calibri"/>
            <family val="2"/>
            <scheme val="minor"/>
          </rPr>
          <t>Author:
Neglect. No current info</t>
        </r>
      </text>
    </comment>
    <comment ref="C52" authorId="1" shapeId="0" xr:uid="{00000000-0006-0000-0600-00002D000000}">
      <text>
        <r>
          <rPr>
            <sz val="11"/>
            <color theme="1"/>
            <rFont val="Calibri"/>
            <family val="2"/>
            <scheme val="minor"/>
          </rPr>
          <t>Author:
= [seeds mass] kg/wk + ([plant nutrients mass] kg * (1/4 wks) * 4 batches/wk) + ([CO2 mass] kg * (1/4 wks) * 4 batches/wk)
- Divided plant nutrients and CO2 by 4 weeks (28 days batch time) to get a per-week basis for 1 batch. Then multiplied plant nutrients and CO2 by 4 because this is for 4 batches at a given week</t>
        </r>
      </text>
    </comment>
    <comment ref="E52" authorId="1" shapeId="0" xr:uid="{00000000-0006-0000-0600-00002E000000}">
      <text>
        <r>
          <rPr>
            <sz val="11"/>
            <color theme="1"/>
            <rFont val="Calibri"/>
            <family val="2"/>
            <scheme val="minor"/>
          </rPr>
          <t>Author:
= ([O2 mass] kg * (1/4 wks) * 4 batches/wk) + [PTH-Fc mass] kg/wk + [plant biomass DW] kg/wk + [water mass from plant] kg/wk + [macros mass] kg/wk + [micros mass] kg/wk]
- Divided O2 by 4 weeks (28 days batch time) to get a per-week basis for 1 batch. Then multiplied by 4 because this is for 4 batches at a given week</t>
        </r>
      </text>
    </comment>
    <comment ref="C53" authorId="1" shapeId="0" xr:uid="{00000000-0006-0000-0600-00002F000000}">
      <text>
        <r>
          <rPr>
            <sz val="11"/>
            <color theme="1"/>
            <rFont val="Calibri"/>
            <family val="2"/>
            <scheme val="minor"/>
          </rPr>
          <t>Author:
= [seeds volume] m^3/wk + ([CO2 volume] m^3 * (1/4 wks) * 4 batches/wk)
- Divided CO2 by 4 weeks (28 days batch time) to get a per-week basis for 1 batch. Then multiplied CO2 by 4 because this is for 4 batches at a given week</t>
        </r>
      </text>
    </comment>
    <comment ref="E53" authorId="1" shapeId="0" xr:uid="{00000000-0006-0000-0600-000030000000}">
      <text>
        <r>
          <rPr>
            <sz val="11"/>
            <color theme="1"/>
            <rFont val="Calibri"/>
            <family val="2"/>
            <scheme val="minor"/>
          </rPr>
          <t>Author:
= ([O2 volume] m^3 * (1/4 wks) * 4 batches/wk) + ([water transpiration volume] m^3 * (1/4 wks) * 4 batches/wk) + [plant biomass DW] m^3/wk + [water volume from plant] m^3/wk
- Divided O2 and water transpiration by 4 weeks (28 days batch time) to get a per-week basis for 1 batch. Then multiplied O2 and water transpiration by 4 because this is for 4 batches at a given week</t>
        </r>
      </text>
    </comment>
    <comment ref="B55" authorId="1" shapeId="0" xr:uid="{00000000-0006-0000-0600-000031000000}">
      <text>
        <r>
          <rPr>
            <sz val="11"/>
            <color theme="1"/>
            <rFont val="Calibri"/>
            <family val="2"/>
            <scheme val="minor"/>
          </rPr>
          <t>Author:
Same value as Power. Assumed nearly all electrical power consumed by growth chamber becomes heat to be removed by thermal control systems
[Table 4-88 in https://ntrs.nasa.gov/api/citations/20210024855/downloads/BVAD_2.15.22-final.pdf]</t>
        </r>
      </text>
    </comment>
    <comment ref="F56" authorId="2" shapeId="0" xr:uid="{C15DDF15-2D23-4B37-9AD0-25BD01722901}">
      <text>
        <r>
          <rPr>
            <b/>
            <sz val="9"/>
            <color indexed="81"/>
            <rFont val="Tahoma"/>
            <family val="2"/>
          </rPr>
          <t>Karen McDonald:</t>
        </r>
        <r>
          <rPr>
            <sz val="9"/>
            <color indexed="81"/>
            <rFont val="Tahoma"/>
            <family val="2"/>
          </rPr>
          <t xml:space="preserve">
Author:
- [crew time for sowing seeds] CM-h/wk + ([crew time for water management] CM-h/5 wks * 5 batches/wk) + ([crew time for nutrient solution prep] CM-h/5 wks * 5 batches/wk) +([crew time for CO2 monitoring] CM-h/5wks) + harvesting time per week
- Divided crew time for water management and nutrient solution prep by 4 weeks to get a per-week basis for 1 batch. Then multiplied by 4 because this is for 4 batches at a given week. 
-  Divided crew time for CO2 monitoring by 5 to get a per-week basis. CO2 monitoring does not depend on number of batches.</t>
        </r>
      </text>
    </comment>
    <comment ref="A58" authorId="0" shapeId="0" xr:uid="{10F3B0B0-AEEB-4DDD-9E4E-D5275DE64048}">
      <text>
        <r>
          <rPr>
            <sz val="11"/>
            <color theme="1"/>
            <rFont val="Calibri"/>
            <family val="2"/>
            <scheme val="minor"/>
          </rPr>
          <t>Shanice Taylor:
For a large-scale biomass production, the capacity of the Water Recovery System of the plant growth chamber would be expanded
[personal communication with Mark Settles, Aug 2025]</t>
        </r>
      </text>
    </comment>
    <comment ref="B58" authorId="1" shapeId="0" xr:uid="{00000000-0006-0000-0600-000034000000}">
      <text>
        <r>
          <rPr>
            <sz val="11"/>
            <color theme="1"/>
            <rFont val="Calibri"/>
            <family val="2"/>
            <scheme val="minor"/>
          </rPr>
          <t>Author:
= [mass of water input] kg - [mass of water transpiration] kg - [mass of water in plant] kg
- Mass of water remaining that is assumed to be recycled in the the Water Recovery System, and is thus part of the system component</t>
        </r>
      </text>
    </comment>
    <comment ref="C58" authorId="1" shapeId="0" xr:uid="{00000000-0006-0000-0600-000035000000}">
      <text>
        <r>
          <rPr>
            <sz val="11"/>
            <color theme="1"/>
            <rFont val="Calibri"/>
            <family val="2"/>
            <scheme val="minor"/>
          </rPr>
          <t xml:space="preserve">Author:
-Divided water mass by 4 weeks to get a per-week basis for 1 batch. Then multiplied by 4 because this is for 4 batches at a given week. 
- Mass of water provided to the plant growth chamber, with the water assumed to be sourced from the Martian surface. 
- If sourced, should we add an ISRU System for water extraction from Mars under cell B25 "Equipment"? BVAD Table 4-85 mentions the ISRU System's mass and power, but not volume and crew time requirements
</t>
        </r>
      </text>
    </comment>
    <comment ref="E58" authorId="1" shapeId="0" xr:uid="{00000000-0006-0000-0600-000036000000}">
      <text>
        <r>
          <rPr>
            <sz val="11"/>
            <color theme="1"/>
            <rFont val="Calibri"/>
            <family val="2"/>
            <scheme val="minor"/>
          </rPr>
          <t>Author:
= ([water transpiration mass] kg * (1/4 wks) * 4 batches/wk) 
Divided water transpiration by 4 weeks (28 days batch time) to get a per-week basis for 1 batch. Then multiplied by 4 because this is for 4 batches at a given week</t>
        </r>
      </text>
    </comment>
    <comment ref="B101" authorId="0" shapeId="0" xr:uid="{8F8076A8-7E5F-467D-86B6-6D40A6BC7A9D}">
      <text>
        <r>
          <rPr>
            <b/>
            <sz val="9"/>
            <color indexed="81"/>
            <rFont val="Tahoma"/>
            <family val="2"/>
          </rPr>
          <t>Shanice Taylor:</t>
        </r>
        <r>
          <rPr>
            <sz val="9"/>
            <color indexed="81"/>
            <rFont val="Tahoma"/>
            <family val="2"/>
          </rPr>
          <t xml:space="preserve">
 (321 kg + 91 kg)
- Mass of refrigeration/freezer unit (321 kg) + secondary structure mass (91 kg)
[Table 4-49 in https://ntrs.nasa.gov/api/citations/20210024855/downloads/BVAD_2.15.22-final.pdf]</t>
        </r>
      </text>
    </comment>
    <comment ref="B102" authorId="0" shapeId="0" xr:uid="{0385C859-4EFB-4519-ADE4-6DA7579530C9}">
      <text>
        <r>
          <rPr>
            <b/>
            <sz val="9"/>
            <color indexed="81"/>
            <rFont val="Tahoma"/>
            <family val="2"/>
          </rPr>
          <t>Shanice Taylor:</t>
        </r>
        <r>
          <rPr>
            <sz val="9"/>
            <color indexed="81"/>
            <rFont val="Tahoma"/>
            <family val="2"/>
          </rPr>
          <t xml:space="preserve">
[Table 4-49 in https://ntrs.nasa.gov/api/citations/20210024855/downloads/BVAD_2.15.22-final.pdf]</t>
        </r>
      </text>
    </comment>
    <comment ref="B103" authorId="0" shapeId="0" xr:uid="{97193FCB-FAD8-4733-A5D6-B6EF2EF49A95}">
      <text>
        <r>
          <rPr>
            <b/>
            <sz val="9"/>
            <color indexed="81"/>
            <rFont val="Tahoma"/>
            <family val="2"/>
          </rPr>
          <t>Shanice Taylor:</t>
        </r>
        <r>
          <rPr>
            <sz val="9"/>
            <color indexed="81"/>
            <rFont val="Tahoma"/>
            <family val="2"/>
          </rPr>
          <t xml:space="preserve">
[Table 4-49 in https://ntrs.nasa.gov/api/citations/20210024855/downloads/BVAD_2.15.22-final.pdf]</t>
        </r>
      </text>
    </comment>
    <comment ref="B104" authorId="0" shapeId="0" xr:uid="{C3E75960-BE3A-4E3E-A86B-E13C47408942}">
      <text>
        <r>
          <rPr>
            <b/>
            <sz val="9"/>
            <color indexed="81"/>
            <rFont val="Tahoma"/>
            <family val="2"/>
          </rPr>
          <t>Shanice Taylor:</t>
        </r>
        <r>
          <rPr>
            <sz val="9"/>
            <color indexed="81"/>
            <rFont val="Tahoma"/>
            <family val="2"/>
          </rPr>
          <t xml:space="preserve">
[Table 4-49 in https://ntrs.nasa.gov/api/citations/20210024855/downloads/BVAD_2.15.22-final.pdf]</t>
        </r>
      </text>
    </comment>
  </commentList>
</comments>
</file>

<file path=xl/sharedStrings.xml><?xml version="1.0" encoding="utf-8"?>
<sst xmlns="http://schemas.openxmlformats.org/spreadsheetml/2006/main" count="2038" uniqueCount="583">
  <si>
    <t>TRANSGENIC-LETTUCE</t>
  </si>
  <si>
    <t>PTH-Fc Production Input</t>
  </si>
  <si>
    <t>Qty</t>
  </si>
  <si>
    <t>Unit</t>
  </si>
  <si>
    <t>Legend</t>
  </si>
  <si>
    <t>Therapeutic dosage (injection or oral):</t>
  </si>
  <si>
    <t>User-editable cell</t>
  </si>
  <si>
    <t>Not applicable / No data</t>
  </si>
  <si>
    <t>Avg PTH-Fc production level:</t>
  </si>
  <si>
    <t>PLANT GROWTH METRICS</t>
  </si>
  <si>
    <t>Lettuce Harvest and Planting Metrics</t>
  </si>
  <si>
    <t>Per 1 harvest cycle and 1 CM</t>
  </si>
  <si>
    <t>Number of harvest cycles</t>
  </si>
  <si>
    <t>harvest cycles</t>
  </si>
  <si>
    <t>Edible biomass at harvest</t>
  </si>
  <si>
    <t>Lettuce planting density</t>
  </si>
  <si>
    <t>Theoretical mass plant at harvest</t>
  </si>
  <si>
    <t>kg FW/plant</t>
  </si>
  <si>
    <t>Mass plant required for therapeutic dosage</t>
  </si>
  <si>
    <t>kg FW/wk</t>
  </si>
  <si>
    <t>Number of plants at harvest</t>
  </si>
  <si>
    <t>plants/wk (dose)</t>
  </si>
  <si>
    <t>Actual mass plant at harvest,
accounting for dosage</t>
  </si>
  <si>
    <t>Planting area</t>
  </si>
  <si>
    <t>Per 4 harvest cycles and 1 CM</t>
  </si>
  <si>
    <t>Number of plants</t>
  </si>
  <si>
    <t>plants</t>
  </si>
  <si>
    <t>Mass of plants</t>
  </si>
  <si>
    <t>kg FW</t>
  </si>
  <si>
    <t>System FOM Metrics</t>
  </si>
  <si>
    <t>Process Step</t>
  </si>
  <si>
    <t>Equipment</t>
  </si>
  <si>
    <t>Qty (units)</t>
  </si>
  <si>
    <t>Mass (kg)</t>
  </si>
  <si>
    <t>Crew Time (CM-h)</t>
  </si>
  <si>
    <t>1: Plant Growth</t>
  </si>
  <si>
    <t>Plant growth chamber</t>
  </si>
  <si>
    <t>Lighting panels</t>
  </si>
  <si>
    <t>2: Leaf Harvest</t>
  </si>
  <si>
    <t>Harvesting tools (scissors)</t>
  </si>
  <si>
    <t>Harvest collection container (bags)</t>
  </si>
  <si>
    <t>Input, Output, Waste FOM Metrics (1 cycle, 28-day batch time)</t>
  </si>
  <si>
    <t>Input</t>
  </si>
  <si>
    <t>Lettuce seeds</t>
  </si>
  <si>
    <t>Water</t>
  </si>
  <si>
    <t>Plant nutrients</t>
  </si>
  <si>
    <t>Carbon dioxide</t>
  </si>
  <si>
    <t>Output</t>
  </si>
  <si>
    <t>Oxygen</t>
  </si>
  <si>
    <t>Water (transpiration)</t>
  </si>
  <si>
    <t>PTH-Fc</t>
  </si>
  <si>
    <t>Plant biomass (dry weight)</t>
  </si>
  <si>
    <t>Water (plant)</t>
  </si>
  <si>
    <t>Calories</t>
  </si>
  <si>
    <t>Macronutrients</t>
  </si>
  <si>
    <t>Micronutrients</t>
  </si>
  <si>
    <t>Waste</t>
  </si>
  <si>
    <t>Biomass waste</t>
  </si>
  <si>
    <t>Equivalent System Mass (ESM) Metrics - Plant growth components (1 CM, 600-day mission, 1 dose/week)</t>
  </si>
  <si>
    <t>Metric</t>
  </si>
  <si>
    <t>System</t>
  </si>
  <si>
    <t>Process Inputs</t>
  </si>
  <si>
    <t>Waste Process Outputs</t>
  </si>
  <si>
    <t>Useful Process Outputs</t>
  </si>
  <si>
    <t>Crew time (hr)</t>
  </si>
  <si>
    <t>Cold storage mass (kg)</t>
  </si>
  <si>
    <t>Water mass (kg)</t>
  </si>
  <si>
    <t>Solid waste (kg)</t>
  </si>
  <si>
    <t>2022 Baseline Values and Assumptions</t>
  </si>
  <si>
    <t>Parameter</t>
  </si>
  <si>
    <t>Volume (kgeq/m3)</t>
  </si>
  <si>
    <t>Power (kgeq/kW)</t>
  </si>
  <si>
    <t>Thermal Control (kgeq/kW)</t>
  </si>
  <si>
    <t>Cold Storage (kgeq/kg)</t>
  </si>
  <si>
    <t>Waste storage (kgeq/kg)</t>
  </si>
  <si>
    <t>Water Treatment (kgeq/kg)</t>
  </si>
  <si>
    <t>Crew Time (kg/CM-h)</t>
  </si>
  <si>
    <t>Shielded Mars Volume ESM EQ</t>
  </si>
  <si>
    <t>Number of batches per week</t>
  </si>
  <si>
    <t>Number of batches in 86 weeks</t>
  </si>
  <si>
    <t>Category</t>
  </si>
  <si>
    <t>ESM (kgeq)</t>
  </si>
  <si>
    <t xml:space="preserve">Process Inputs </t>
  </si>
  <si>
    <t>Waste process outputs</t>
  </si>
  <si>
    <t>Useful process outputs</t>
  </si>
  <si>
    <t>Shared Assumptions and Equivalency Factors</t>
  </si>
  <si>
    <t>Mission Parameters</t>
  </si>
  <si>
    <t>Value</t>
  </si>
  <si>
    <t>Crew size</t>
  </si>
  <si>
    <t>crew members</t>
  </si>
  <si>
    <t>Mission surface duration</t>
  </si>
  <si>
    <t>days</t>
  </si>
  <si>
    <t>Mission duration (weeks)</t>
  </si>
  <si>
    <t>weeks</t>
  </si>
  <si>
    <t>Base case dose</t>
  </si>
  <si>
    <t>Total mission dose per CM</t>
  </si>
  <si>
    <t>PTH-Fc Expression Level by Scenario</t>
  </si>
  <si>
    <t>Scenario</t>
  </si>
  <si>
    <t>Host</t>
  </si>
  <si>
    <t>Expression Level 
(mg PTH-Fc dimer/kg FW)</t>
  </si>
  <si>
    <t>Days to Harvest</t>
  </si>
  <si>
    <t>L. sativa</t>
  </si>
  <si>
    <t>TRANSGENIC-TOBACCO</t>
  </si>
  <si>
    <t>N. benthamiana</t>
  </si>
  <si>
    <t>GENE GUN</t>
  </si>
  <si>
    <t>AGRO</t>
  </si>
  <si>
    <t>VIRAL</t>
  </si>
  <si>
    <t>FLOWN</t>
  </si>
  <si>
    <t>Key Assumptions</t>
  </si>
  <si>
    <t>• Pens must be refrigerated at 2-8°C during storage and between uses</t>
  </si>
  <si>
    <t>• Needles are neglected, as these might be required for all delivery routes</t>
  </si>
  <si>
    <t>• Pens are stored at 4°C in an ISS refrigerator per BVAD 2022 Table 4-49; multiple refrigerators of the same size are used as needed</t>
  </si>
  <si>
    <t>Calculated Quantity</t>
  </si>
  <si>
    <t>Units</t>
  </si>
  <si>
    <t>Notes</t>
  </si>
  <si>
    <t>Dose required</t>
  </si>
  <si>
    <t>Number of pens required per CM over 600 days</t>
  </si>
  <si>
    <t>unit</t>
  </si>
  <si>
    <t>Mass of a single box containing an injector pen</t>
  </si>
  <si>
    <t>grams</t>
  </si>
  <si>
    <t>Estimate</t>
  </si>
  <si>
    <t>Volume of a single box containing an injector pen</t>
  </si>
  <si>
    <t>Mass of single box without the injector pen</t>
  </si>
  <si>
    <t>Mass of single Forteo injection pen (full)</t>
  </si>
  <si>
    <t>Volume of a single Forteo injection pen</t>
  </si>
  <si>
    <t>Mass of a single Forteo injection pen (empty)</t>
  </si>
  <si>
    <t>Calculated</t>
  </si>
  <si>
    <t>Volume of a single crushed box/packaging</t>
  </si>
  <si>
    <t>Assumed/calculated</t>
  </si>
  <si>
    <t>Min. refrigerator volume for 600-day supply, 1 CM</t>
  </si>
  <si>
    <t>m^3</t>
  </si>
  <si>
    <t>Refrigeration</t>
  </si>
  <si>
    <t>Forteo Pen Usage</t>
  </si>
  <si>
    <t>Forteo pen waste</t>
  </si>
  <si>
    <t>Packaging waste</t>
  </si>
  <si>
    <t>Waste outputs</t>
  </si>
  <si>
    <t>Tobacco Harvest and Planting Metrics</t>
  </si>
  <si>
    <t>Biomass at harvest</t>
  </si>
  <si>
    <t>Per 5 harvest cycles and 1 CM</t>
  </si>
  <si>
    <t>N. benthamiana seeds</t>
  </si>
  <si>
    <t>Plant biomass</t>
  </si>
  <si>
    <t>GENE GUN-SPECIFIC METRICS</t>
  </si>
  <si>
    <t>Assumptions</t>
  </si>
  <si>
    <t>Assumption</t>
  </si>
  <si>
    <t>Assumed gene gun expression</t>
  </si>
  <si>
    <t>mg PTH-Fc/kg FW</t>
  </si>
  <si>
    <t>Gene gun tissue weight</t>
  </si>
  <si>
    <t>mg FW/shot</t>
  </si>
  <si>
    <t>Shots/kg FW</t>
  </si>
  <si>
    <t>shots/kg FW</t>
  </si>
  <si>
    <t>PTH-Fc expression/shot</t>
  </si>
  <si>
    <t>ug PTH-Fc/shot</t>
  </si>
  <si>
    <t>Bullets/holder vial</t>
  </si>
  <si>
    <t>Shots/battery</t>
  </si>
  <si>
    <t>Gene gun system set-up/take-down time</t>
  </si>
  <si>
    <t>min</t>
  </si>
  <si>
    <t>hr</t>
  </si>
  <si>
    <t>Shot time</t>
  </si>
  <si>
    <t>sec/shot</t>
  </si>
  <si>
    <t>hr/shot</t>
  </si>
  <si>
    <t>Bullet loading/unloading time</t>
  </si>
  <si>
    <t>Bullets/cartridge holder</t>
  </si>
  <si>
    <t>Crew time multiplier</t>
  </si>
  <si>
    <t>kg</t>
  </si>
  <si>
    <t>kW</t>
  </si>
  <si>
    <t>Required # shots/batch</t>
  </si>
  <si>
    <t>Required # bullet vials/batch</t>
  </si>
  <si>
    <t>Required # batteries/batch</t>
  </si>
  <si>
    <t>Mass and Volume Calculations</t>
  </si>
  <si>
    <t>Item (Input)</t>
  </si>
  <si>
    <t>Mass (g)</t>
  </si>
  <si>
    <t>Shape</t>
  </si>
  <si>
    <t>Length (L)</t>
  </si>
  <si>
    <t>Width/Diameter (W/D)</t>
  </si>
  <si>
    <t>Height (H)</t>
  </si>
  <si>
    <t>L (m)</t>
  </si>
  <si>
    <t>W/D (m)</t>
  </si>
  <si>
    <t>H (m)</t>
  </si>
  <si>
    <t>in to cm</t>
  </si>
  <si>
    <t>Gene Gun</t>
  </si>
  <si>
    <t>Box</t>
  </si>
  <si>
    <t>in</t>
  </si>
  <si>
    <t>measured</t>
  </si>
  <si>
    <t>Connector Tubing</t>
  </si>
  <si>
    <t>Cylinder</t>
  </si>
  <si>
    <t>27 CF Aluminum Gas Cylinder</t>
  </si>
  <si>
    <t xml:space="preserve">https://support.bargainballoons.ca/support/solutions/articles/27000057500-what-are-helium-cylinder-tanks-made-of-and-what-do-they-weigh- </t>
  </si>
  <si>
    <t>Gas Regulator</t>
  </si>
  <si>
    <t xml:space="preserve">Cartrdige Extractor </t>
  </si>
  <si>
    <t>mm</t>
  </si>
  <si>
    <t>Ear Protection</t>
  </si>
  <si>
    <t>Eye Protection</t>
  </si>
  <si>
    <t>Bullets</t>
  </si>
  <si>
    <t>measured 9 RBD bullets for mass, volume=0 (inside holder)</t>
  </si>
  <si>
    <t>Battery</t>
  </si>
  <si>
    <t>9V, measured</t>
  </si>
  <si>
    <t>Bullet Holder Vial</t>
  </si>
  <si>
    <t>Dessicant Pack</t>
  </si>
  <si>
    <t>volume=0 (inside holder)</t>
  </si>
  <si>
    <t>Empty Bullets</t>
  </si>
  <si>
    <t>measured 20 bullets for mass, volume=0 (inside holder)</t>
  </si>
  <si>
    <t>Shot area (inner diameter barrel liner)</t>
  </si>
  <si>
    <t>Gene gun specs</t>
  </si>
  <si>
    <t>Helios Gene Gun manual</t>
  </si>
  <si>
    <t>Cartridge holder</t>
  </si>
  <si>
    <t>Dispersion screen</t>
  </si>
  <si>
    <t>Barrel liner/spacer</t>
  </si>
  <si>
    <t>Helium/cylinder</t>
  </si>
  <si>
    <t>200CF, mass/size: Matheson Ultra High Purity (99.999%) cylinder size 1A, https://www.mathesongas.com/pdfs/puregas/Helium-Pure-Gas.pdf</t>
  </si>
  <si>
    <t>O rings (extra)</t>
  </si>
  <si>
    <t>measured 5 rings for mass</t>
  </si>
  <si>
    <t>Components</t>
  </si>
  <si>
    <t>Component</t>
  </si>
  <si>
    <t>Production Time (h)</t>
  </si>
  <si>
    <t>Connector tubing</t>
  </si>
  <si>
    <t>Gas cylinder</t>
  </si>
  <si>
    <t>Gas regulator</t>
  </si>
  <si>
    <t xml:space="preserve">Cartrdige extractor </t>
  </si>
  <si>
    <t>Ear protection</t>
  </si>
  <si>
    <t>Eye protection</t>
  </si>
  <si>
    <t>barrel liner</t>
  </si>
  <si>
    <t>helium/cylinder</t>
  </si>
  <si>
    <t>o rings (all extra)</t>
  </si>
  <si>
    <t>prepared bullets</t>
  </si>
  <si>
    <t>battery</t>
  </si>
  <si>
    <t>bullet holder vial</t>
  </si>
  <si>
    <t>dessicant pack</t>
  </si>
  <si>
    <t>empty bullets</t>
  </si>
  <si>
    <t>spent battery</t>
  </si>
  <si>
    <t>FOM Metrics</t>
  </si>
  <si>
    <t>Gene Gun device</t>
  </si>
  <si>
    <t>Cartridge extractor</t>
  </si>
  <si>
    <t>Bullet holder vial</t>
  </si>
  <si>
    <t>Desiccant pack</t>
  </si>
  <si>
    <t>Bullets (empty)</t>
  </si>
  <si>
    <t>Battery (spent)</t>
  </si>
  <si>
    <t xml:space="preserve">Complete ESM: Plant + Protein Production </t>
  </si>
  <si>
    <t>N. benth seeds</t>
  </si>
  <si>
    <t>AGRO-SPECIFIC METRICS</t>
  </si>
  <si>
    <t>AGRO Assumptions</t>
  </si>
  <si>
    <t>Reference</t>
  </si>
  <si>
    <t>Required number of batches</t>
  </si>
  <si>
    <t>batches</t>
  </si>
  <si>
    <t>water density</t>
  </si>
  <si>
    <t>g/cm^3</t>
  </si>
  <si>
    <t>kg/m^3</t>
  </si>
  <si>
    <t>water volume conversion</t>
  </si>
  <si>
    <t>L = m^3</t>
  </si>
  <si>
    <t>IB demand/plant</t>
  </si>
  <si>
    <t>L</t>
  </si>
  <si>
    <t>"IB" = infiltration buffer, 1L sufficient for 20 plants</t>
  </si>
  <si>
    <t>IB uptake/plant</t>
  </si>
  <si>
    <t>10% liquid uptake during vacuum infiltration</t>
  </si>
  <si>
    <t>density Agro stock</t>
  </si>
  <si>
    <t>density of E coli</t>
  </si>
  <si>
    <t>10.1128/jb.148.1.58-63.1981</t>
  </si>
  <si>
    <t>molar mass acetosyringone</t>
  </si>
  <si>
    <t>g/mol</t>
  </si>
  <si>
    <t>molar mass MES</t>
  </si>
  <si>
    <t>molar mass MgCl2</t>
  </si>
  <si>
    <t>volume seed culture</t>
  </si>
  <si>
    <t>mL</t>
  </si>
  <si>
    <t>volume second culture</t>
  </si>
  <si>
    <t># plants infiltrated per second culture volume</t>
  </si>
  <si>
    <t>volume LB/plant</t>
  </si>
  <si>
    <t>volume total antibiotics/plant</t>
  </si>
  <si>
    <t>all antibiotic stocks together, 1000x dilution working concentration</t>
  </si>
  <si>
    <t>volume acetosyringone/plant</t>
  </si>
  <si>
    <t>150uM working concentration</t>
  </si>
  <si>
    <t>volume MES/plant</t>
  </si>
  <si>
    <t>10mM working concentration</t>
  </si>
  <si>
    <t>volume MgCl2/plant</t>
  </si>
  <si>
    <t>volume Silwet/plant</t>
  </si>
  <si>
    <t>0.02% v/v</t>
  </si>
  <si>
    <t>volume water/plant (culture)</t>
  </si>
  <si>
    <t>volume water/plant (infiltration)</t>
  </si>
  <si>
    <t>volume water/plant (total)</t>
  </si>
  <si>
    <t>mass LB mix/plant</t>
  </si>
  <si>
    <t>g</t>
  </si>
  <si>
    <t>25g/L</t>
  </si>
  <si>
    <t>crew time multiplier</t>
  </si>
  <si>
    <t>personal communication with Gioia Massa, KSC, Feb. 2025</t>
  </si>
  <si>
    <t>D0 time</t>
  </si>
  <si>
    <t>min/batch</t>
  </si>
  <si>
    <t>LB media prep + sterilization</t>
  </si>
  <si>
    <t>hr/batch</t>
  </si>
  <si>
    <t>LB media prep</t>
  </si>
  <si>
    <t>D1 time</t>
  </si>
  <si>
    <t>seed culture prep</t>
  </si>
  <si>
    <t>D2 time</t>
  </si>
  <si>
    <t>scale cultures to flasks</t>
  </si>
  <si>
    <t>D3 time</t>
  </si>
  <si>
    <t>infiltration prep</t>
  </si>
  <si>
    <t>infiltration time</t>
  </si>
  <si>
    <t>min/plant</t>
  </si>
  <si>
    <t>infiltration/plant</t>
  </si>
  <si>
    <t>hr/plant</t>
  </si>
  <si>
    <t>power factor</t>
  </si>
  <si>
    <t>for AC power supply</t>
  </si>
  <si>
    <t>shaker power</t>
  </si>
  <si>
    <t>VA</t>
  </si>
  <si>
    <t>Eppendorf Innova 40</t>
  </si>
  <si>
    <t>W</t>
  </si>
  <si>
    <t>shaker mass</t>
  </si>
  <si>
    <t xml:space="preserve">shaker external volume </t>
  </si>
  <si>
    <t>BSC mass</t>
  </si>
  <si>
    <t>Lorderan 700lIA2-Z-2  Class II A2 benchtop BSC</t>
  </si>
  <si>
    <t>BSC external volume</t>
  </si>
  <si>
    <t>BSC power</t>
  </si>
  <si>
    <t>vacuum mass</t>
  </si>
  <si>
    <t>GAST Compressor/Vacuum Pump DOA-P704-AA</t>
  </si>
  <si>
    <t>vacuum external volume</t>
  </si>
  <si>
    <t>vacuum power</t>
  </si>
  <si>
    <t>V</t>
  </si>
  <si>
    <t>A</t>
  </si>
  <si>
    <t>autoclave mass</t>
  </si>
  <si>
    <t>Fisher SterilElite16L autoclave</t>
  </si>
  <si>
    <t>autoclave external volume</t>
  </si>
  <si>
    <t>autoclave power</t>
  </si>
  <si>
    <t>UV reader mass</t>
  </si>
  <si>
    <t>Vernier Go Direct™ SpectroVis™ Plus Spectrophotometer</t>
  </si>
  <si>
    <t>UV reader external volume</t>
  </si>
  <si>
    <t>UV reader power</t>
  </si>
  <si>
    <t>no battery needed when connected via USB</t>
  </si>
  <si>
    <t>centrifuge mass</t>
  </si>
  <si>
    <t>Eppendorf 5180, rotor S-4-72 + 2 buckets</t>
  </si>
  <si>
    <t>centrifuge external volume</t>
  </si>
  <si>
    <t>centrifuge power</t>
  </si>
  <si>
    <t>Required # plants/mission</t>
  </si>
  <si>
    <t>Required mass LB mix/mission</t>
  </si>
  <si>
    <t>Required volume X antibiotic/mission</t>
  </si>
  <si>
    <t>Req # tubes antibiotic/mission</t>
  </si>
  <si>
    <t>Required # culture tubes/mission</t>
  </si>
  <si>
    <t>Required volume acetosyringone/mission</t>
  </si>
  <si>
    <t>Required volume MES/mission</t>
  </si>
  <si>
    <t>Required volume MgCl2/mission</t>
  </si>
  <si>
    <t>Required volume Silwet/mission</t>
  </si>
  <si>
    <t>Req # tubes acetosyringone/mission</t>
  </si>
  <si>
    <t>Req # tubes MES/mission</t>
  </si>
  <si>
    <t>Req # tubes MgCl2/mission</t>
  </si>
  <si>
    <t>Req # tubes Silwet/mission</t>
  </si>
  <si>
    <t>Req volume water/mission</t>
  </si>
  <si>
    <t>Req # bags LB media mix</t>
  </si>
  <si>
    <t>Density</t>
  </si>
  <si>
    <t>Mass</t>
  </si>
  <si>
    <t>W/D</t>
  </si>
  <si>
    <t>H</t>
  </si>
  <si>
    <t>cm to in</t>
  </si>
  <si>
    <t>lb to kg</t>
  </si>
  <si>
    <t>2mL empty tube</t>
  </si>
  <si>
    <t>cylinder</t>
  </si>
  <si>
    <t>cm</t>
  </si>
  <si>
    <t>15mL empty tube</t>
  </si>
  <si>
    <t>15mL tube (sleeve of 50)</t>
  </si>
  <si>
    <t>box</t>
  </si>
  <si>
    <t>50mL empty tube</t>
  </si>
  <si>
    <t>50 mL tube (sleeve of 25)</t>
  </si>
  <si>
    <t>1L plastic bottle</t>
  </si>
  <si>
    <t>sandwich ziplock bag</t>
  </si>
  <si>
    <t>LB media (1L)</t>
  </si>
  <si>
    <t>-</t>
  </si>
  <si>
    <t xml:space="preserve">https://www.sigmaaldrich.com/US/en/product/sigma/l3522?srsltid=AfmBOooNC06sQjPUu9pC2R68NoyMs_pVFAV9gRbRPE7OU2YJkNW2QGMn </t>
  </si>
  <si>
    <t>LB media mix (1 sandwich bag)</t>
  </si>
  <si>
    <t>14mL culture tube</t>
  </si>
  <si>
    <t>1L glass flask</t>
  </si>
  <si>
    <t>need 2</t>
  </si>
  <si>
    <t>reusable cuvette in box</t>
  </si>
  <si>
    <t>1L glass bottle (autoclave)</t>
  </si>
  <si>
    <t>1L plastic beaker (infil)</t>
  </si>
  <si>
    <t>silwet (2mL)</t>
  </si>
  <si>
    <t>UC Davis spec sheet (Setre Chemical Company, CAS 27306-78-1)</t>
  </si>
  <si>
    <t>scalpel</t>
  </si>
  <si>
    <t>vacuum chamber</t>
  </si>
  <si>
    <t>agro stock tube</t>
  </si>
  <si>
    <t>agro stock (2mL, 50% conc)</t>
  </si>
  <si>
    <t>acetosyringone (15mL)</t>
  </si>
  <si>
    <t>M</t>
  </si>
  <si>
    <t>MES, pH 5.6 (50mL)</t>
  </si>
  <si>
    <t>MgCl2 (50L)</t>
  </si>
  <si>
    <t>Kanamycin (2mL)</t>
  </si>
  <si>
    <t>Tetracycline (2mL)</t>
  </si>
  <si>
    <t>g/cm^4</t>
  </si>
  <si>
    <t>Rifampicin (2mL)</t>
  </si>
  <si>
    <t>g/cm^5</t>
  </si>
  <si>
    <t>BSC</t>
  </si>
  <si>
    <t>cube</t>
  </si>
  <si>
    <t>shaking incubator</t>
  </si>
  <si>
    <t>vacuum pump</t>
  </si>
  <si>
    <t>lb</t>
  </si>
  <si>
    <t>autoclave</t>
  </si>
  <si>
    <t>spectrophotometer</t>
  </si>
  <si>
    <t>centrifuge</t>
  </si>
  <si>
    <t>notes</t>
  </si>
  <si>
    <t>4C pharmaceutical refrigerator TSU-4RW-N6 manufactured by Turbo Air Inc.</t>
  </si>
  <si>
    <t>Shaking incubator</t>
  </si>
  <si>
    <t>Vacuum pump</t>
  </si>
  <si>
    <t>Autoclave</t>
  </si>
  <si>
    <t>Centrifuge</t>
  </si>
  <si>
    <t>Spectrophotometer</t>
  </si>
  <si>
    <t>Flask (1L, glass, x2)</t>
  </si>
  <si>
    <t>Cuvette (glass)</t>
  </si>
  <si>
    <t>Bottle (1L, glass)</t>
  </si>
  <si>
    <t>Beaker (1L, plastic)</t>
  </si>
  <si>
    <t>for infiltration inversion</t>
  </si>
  <si>
    <t>Scalpel</t>
  </si>
  <si>
    <t>for plant prep/harvest</t>
  </si>
  <si>
    <t>Vacuum chamber</t>
  </si>
  <si>
    <t>18.9L: top, bottom, gasket, tubing, guage</t>
  </si>
  <si>
    <t>Centrifuge bottles - 50mL x12</t>
  </si>
  <si>
    <t>wash/reuse</t>
  </si>
  <si>
    <t>LB Media mix (in bag)</t>
  </si>
  <si>
    <t>Antibiotics (in 2mL tubes)</t>
  </si>
  <si>
    <t>cold storage</t>
  </si>
  <si>
    <t>Culture tubes</t>
  </si>
  <si>
    <t>Acetosyringone (in 15mL tube)</t>
  </si>
  <si>
    <t>MES (in 50mL tube)</t>
  </si>
  <si>
    <t>MgCl2 (in 50mL tube)</t>
  </si>
  <si>
    <t>Silwet L-77 (in 2mL tube)</t>
  </si>
  <si>
    <t>Agro stock tubes</t>
  </si>
  <si>
    <t>2 strains, cold storage</t>
  </si>
  <si>
    <t>Flask (1L, glass)</t>
  </si>
  <si>
    <t>Cuvette (1mL, glass)</t>
  </si>
  <si>
    <t>Centrifuge tubes - 50mL</t>
  </si>
  <si>
    <t>Scale</t>
  </si>
  <si>
    <t>LB Media mix (in Ziplock bag)</t>
  </si>
  <si>
    <t>Kanamycin (in 2mL tube)</t>
  </si>
  <si>
    <t>Tetracycline (in 2mL tube)</t>
  </si>
  <si>
    <t>Rifampicin (in 2mL tube)</t>
  </si>
  <si>
    <t>Equivalent System Mass Metrics - AGRO (1 CM, 600-day mission, 1 dose/week)</t>
  </si>
  <si>
    <t>VIRAL-SPECIFIC METRICS</t>
  </si>
  <si>
    <t xml:space="preserve"> Assumptions</t>
  </si>
  <si>
    <t>required number of batches</t>
  </si>
  <si>
    <t>viral stock volume</t>
  </si>
  <si>
    <t>mL/tube</t>
  </si>
  <si>
    <t>viral stock concentration</t>
  </si>
  <si>
    <t>mg/mL</t>
  </si>
  <si>
    <t>VIS volume</t>
  </si>
  <si>
    <t>mL/plant</t>
  </si>
  <si>
    <t>VIS = viral infectivity solution</t>
  </si>
  <si>
    <t>VIS carborundum concentration</t>
  </si>
  <si>
    <t>VIS carborundum mass</t>
  </si>
  <si>
    <t>mg/plant</t>
  </si>
  <si>
    <t>VIS viral concentration</t>
  </si>
  <si>
    <t>VIS viral mass</t>
  </si>
  <si>
    <t>VIS viral stock volume</t>
  </si>
  <si>
    <t>VIS water volume</t>
  </si>
  <si>
    <t>mL H2O/plant</t>
  </si>
  <si>
    <t>viral stock infectivity</t>
  </si>
  <si>
    <t>infections/plant/tube of virus</t>
  </si>
  <si>
    <t>mixing tube</t>
  </si>
  <si>
    <t>2mL tube/"batch"</t>
  </si>
  <si>
    <t>water density (mass)</t>
  </si>
  <si>
    <t>carborundum/50mL tube</t>
  </si>
  <si>
    <t>viral mix prep time</t>
  </si>
  <si>
    <t>viral mix time</t>
  </si>
  <si>
    <t>viral infection time</t>
  </si>
  <si>
    <t>sec/plant</t>
  </si>
  <si>
    <t>Balance power</t>
  </si>
  <si>
    <t>Mettler Toledo MX105</t>
  </si>
  <si>
    <t>balance weight</t>
  </si>
  <si>
    <t>balance external volume</t>
  </si>
  <si>
    <t>Required volume viral stock/week</t>
  </si>
  <si>
    <t>Required volume viral stock/mission</t>
  </si>
  <si>
    <t>Required # stock tubes/mission</t>
  </si>
  <si>
    <t>Required mass carb/week</t>
  </si>
  <si>
    <t>Required mass carb/mission</t>
  </si>
  <si>
    <t>Required # carb bottles/mission</t>
  </si>
  <si>
    <t>Required VIS water vol/week</t>
  </si>
  <si>
    <t>Required VIS water vol/mission</t>
  </si>
  <si>
    <t>M kg</t>
  </si>
  <si>
    <t>1mg/mL viral stock (2mL)</t>
  </si>
  <si>
    <t>Carborundum (in 50mL tube)</t>
  </si>
  <si>
    <t>scale</t>
  </si>
  <si>
    <t>Mettler Toled MX105 Analytical Balance</t>
  </si>
  <si>
    <t>Use</t>
  </si>
  <si>
    <t>Viral stock in 2mL tube</t>
  </si>
  <si>
    <t>50mL tube (for carborundum)</t>
  </si>
  <si>
    <t>Mixing tube</t>
  </si>
  <si>
    <t>Used mixing tube</t>
  </si>
  <si>
    <t>Viral stock</t>
  </si>
  <si>
    <t>Carborundum</t>
  </si>
  <si>
    <t>Number of weeks per mission</t>
  </si>
  <si>
    <t>Process Inputs (per CM per mission)</t>
  </si>
  <si>
    <t>Waste Outputs (per CM per mission)</t>
  </si>
  <si>
    <t>Useful Outputs (per CM per mission)</t>
  </si>
  <si>
    <t>Mars Surface Shielded Volume ESM EQ Factors</t>
  </si>
  <si>
    <t>Concurrent Batches for weekly Batches</t>
  </si>
  <si>
    <r>
      <t>Volume (kg</t>
    </r>
    <r>
      <rPr>
        <b/>
        <vertAlign val="subscript"/>
        <sz val="11"/>
        <rFont val="Calibri"/>
        <family val="2"/>
      </rPr>
      <t>eq</t>
    </r>
    <r>
      <rPr>
        <b/>
        <sz val="11"/>
        <rFont val="Calibri"/>
        <family val="2"/>
      </rPr>
      <t>/m</t>
    </r>
    <r>
      <rPr>
        <b/>
        <vertAlign val="superscript"/>
        <sz val="11"/>
        <rFont val="Calibri"/>
        <family val="2"/>
      </rPr>
      <t>3</t>
    </r>
    <r>
      <rPr>
        <b/>
        <sz val="11"/>
        <rFont val="Calibri"/>
        <family val="2"/>
      </rPr>
      <t>)</t>
    </r>
  </si>
  <si>
    <r>
      <t>Power (kg</t>
    </r>
    <r>
      <rPr>
        <b/>
        <vertAlign val="subscript"/>
        <sz val="11"/>
        <rFont val="Calibri"/>
        <family val="2"/>
      </rPr>
      <t>eq</t>
    </r>
    <r>
      <rPr>
        <b/>
        <sz val="11"/>
        <rFont val="Calibri"/>
        <family val="2"/>
      </rPr>
      <t>/kW</t>
    </r>
    <r>
      <rPr>
        <b/>
        <vertAlign val="subscript"/>
        <sz val="11"/>
        <rFont val="Calibri"/>
        <family val="2"/>
      </rPr>
      <t>e</t>
    </r>
    <r>
      <rPr>
        <b/>
        <sz val="11"/>
        <rFont val="Calibri"/>
        <family val="2"/>
      </rPr>
      <t>)</t>
    </r>
  </si>
  <si>
    <r>
      <t>Thermal Control (kg</t>
    </r>
    <r>
      <rPr>
        <b/>
        <vertAlign val="subscript"/>
        <sz val="11"/>
        <rFont val="Calibri"/>
        <family val="2"/>
      </rPr>
      <t>eq</t>
    </r>
    <r>
      <rPr>
        <b/>
        <sz val="11"/>
        <rFont val="Calibri"/>
        <family val="2"/>
      </rPr>
      <t>/kW</t>
    </r>
    <r>
      <rPr>
        <b/>
        <vertAlign val="subscript"/>
        <sz val="11"/>
        <rFont val="Calibri"/>
        <family val="2"/>
      </rPr>
      <t>th</t>
    </r>
    <r>
      <rPr>
        <b/>
        <sz val="11"/>
        <rFont val="Calibri"/>
        <family val="2"/>
      </rPr>
      <t>)</t>
    </r>
  </si>
  <si>
    <r>
      <t>Cold Storage (kg</t>
    </r>
    <r>
      <rPr>
        <b/>
        <vertAlign val="subscript"/>
        <sz val="11"/>
        <rFont val="Calibri"/>
        <family val="2"/>
      </rPr>
      <t>eq</t>
    </r>
    <r>
      <rPr>
        <b/>
        <sz val="11"/>
        <rFont val="Calibri"/>
        <family val="2"/>
      </rPr>
      <t>/kg)</t>
    </r>
  </si>
  <si>
    <r>
      <t>Waste Storage (kg</t>
    </r>
    <r>
      <rPr>
        <b/>
        <vertAlign val="subscript"/>
        <sz val="11"/>
        <rFont val="Calibri"/>
        <family val="2"/>
      </rPr>
      <t>eq</t>
    </r>
    <r>
      <rPr>
        <b/>
        <sz val="11"/>
        <rFont val="Calibri"/>
        <family val="2"/>
      </rPr>
      <t>/kg)</t>
    </r>
  </si>
  <si>
    <r>
      <t>Water Treatment (kg</t>
    </r>
    <r>
      <rPr>
        <b/>
        <vertAlign val="subscript"/>
        <sz val="11"/>
        <rFont val="Calibri"/>
        <family val="2"/>
      </rPr>
      <t>eq</t>
    </r>
    <r>
      <rPr>
        <b/>
        <sz val="11"/>
        <rFont val="Calibri"/>
        <family val="2"/>
      </rPr>
      <t>/kg)</t>
    </r>
  </si>
  <si>
    <r>
      <t>Crew Time (kg</t>
    </r>
    <r>
      <rPr>
        <b/>
        <vertAlign val="subscript"/>
        <sz val="11"/>
        <rFont val="Calibri"/>
        <family val="2"/>
      </rPr>
      <t>eq</t>
    </r>
    <r>
      <rPr>
        <b/>
        <sz val="11"/>
        <rFont val="Calibri"/>
        <family val="2"/>
      </rPr>
      <t>/CM-h)</t>
    </r>
  </si>
  <si>
    <r>
      <t>inch</t>
    </r>
    <r>
      <rPr>
        <vertAlign val="superscript"/>
        <sz val="11"/>
        <color theme="1"/>
        <rFont val="Calibri"/>
        <family val="2"/>
        <scheme val="minor"/>
      </rPr>
      <t>3</t>
    </r>
  </si>
  <si>
    <r>
      <t>m</t>
    </r>
    <r>
      <rPr>
        <vertAlign val="superscript"/>
        <sz val="11"/>
        <color theme="1"/>
        <rFont val="Calibri"/>
        <family val="2"/>
        <scheme val="minor"/>
      </rPr>
      <t>3</t>
    </r>
  </si>
  <si>
    <r>
      <t>Volume (m</t>
    </r>
    <r>
      <rPr>
        <b/>
        <vertAlign val="superscript"/>
        <sz val="11"/>
        <rFont val="Calibri"/>
        <family val="2"/>
      </rPr>
      <t>3</t>
    </r>
    <r>
      <rPr>
        <b/>
        <sz val="11"/>
        <rFont val="Calibri"/>
        <family val="2"/>
      </rPr>
      <t>)</t>
    </r>
  </si>
  <si>
    <t>Crew Time (CM-hr)</t>
  </si>
  <si>
    <r>
      <t>Power (kW</t>
    </r>
    <r>
      <rPr>
        <b/>
        <vertAlign val="subscript"/>
        <sz val="11"/>
        <rFont val="Calibri"/>
        <family val="2"/>
      </rPr>
      <t>e</t>
    </r>
    <r>
      <rPr>
        <b/>
        <sz val="11"/>
        <rFont val="Calibri"/>
        <family val="2"/>
      </rPr>
      <t>)</t>
    </r>
  </si>
  <si>
    <r>
      <t>Volume (m</t>
    </r>
    <r>
      <rPr>
        <b/>
        <vertAlign val="superscript"/>
        <sz val="11"/>
        <color theme="1"/>
        <rFont val="Calibri"/>
        <family val="2"/>
        <scheme val="minor"/>
      </rPr>
      <t>3</t>
    </r>
    <r>
      <rPr>
        <b/>
        <sz val="11"/>
        <color theme="1"/>
        <rFont val="Calibri"/>
        <family val="2"/>
        <scheme val="minor"/>
      </rPr>
      <t>)</t>
    </r>
  </si>
  <si>
    <r>
      <t>Power (kW</t>
    </r>
    <r>
      <rPr>
        <b/>
        <vertAlign val="subscript"/>
        <sz val="11"/>
        <color theme="1"/>
        <rFont val="Calibri"/>
        <family val="2"/>
        <scheme val="minor"/>
      </rPr>
      <t>e</t>
    </r>
    <r>
      <rPr>
        <b/>
        <sz val="11"/>
        <color theme="1"/>
        <rFont val="Calibri"/>
        <family val="2"/>
        <scheme val="minor"/>
      </rPr>
      <t>)</t>
    </r>
  </si>
  <si>
    <r>
      <t>Thermal Control (kW</t>
    </r>
    <r>
      <rPr>
        <b/>
        <vertAlign val="subscript"/>
        <sz val="11"/>
        <color theme="1"/>
        <rFont val="Calibri"/>
        <family val="2"/>
        <scheme val="minor"/>
      </rPr>
      <t>th</t>
    </r>
    <r>
      <rPr>
        <b/>
        <sz val="11"/>
        <color theme="1"/>
        <rFont val="Calibri"/>
        <family val="2"/>
        <scheme val="minor"/>
      </rPr>
      <t>)</t>
    </r>
  </si>
  <si>
    <r>
      <t>ESM (kg</t>
    </r>
    <r>
      <rPr>
        <b/>
        <vertAlign val="subscript"/>
        <sz val="11"/>
        <color theme="1"/>
        <rFont val="Calibri"/>
        <family val="2"/>
        <scheme val="minor"/>
      </rPr>
      <t>eq</t>
    </r>
    <r>
      <rPr>
        <b/>
        <sz val="11"/>
        <color theme="1"/>
        <rFont val="Calibri"/>
        <family val="2"/>
        <scheme val="minor"/>
      </rPr>
      <t>)</t>
    </r>
  </si>
  <si>
    <r>
      <t>Volume (kg</t>
    </r>
    <r>
      <rPr>
        <b/>
        <vertAlign val="subscript"/>
        <sz val="11"/>
        <color theme="1"/>
        <rFont val="Calibri"/>
        <family val="2"/>
        <scheme val="minor"/>
      </rPr>
      <t>eq</t>
    </r>
    <r>
      <rPr>
        <b/>
        <sz val="11"/>
        <color theme="1"/>
        <rFont val="Calibri"/>
        <family val="2"/>
        <scheme val="minor"/>
      </rPr>
      <t>/m</t>
    </r>
    <r>
      <rPr>
        <b/>
        <vertAlign val="superscript"/>
        <sz val="11"/>
        <color theme="1"/>
        <rFont val="Calibri"/>
        <family val="2"/>
        <scheme val="minor"/>
      </rPr>
      <t>3</t>
    </r>
    <r>
      <rPr>
        <b/>
        <sz val="11"/>
        <color theme="1"/>
        <rFont val="Calibri"/>
        <family val="2"/>
        <scheme val="minor"/>
      </rPr>
      <t>)</t>
    </r>
  </si>
  <si>
    <r>
      <t>Power (kg</t>
    </r>
    <r>
      <rPr>
        <b/>
        <vertAlign val="subscript"/>
        <sz val="11"/>
        <color theme="1"/>
        <rFont val="Calibri"/>
        <family val="2"/>
        <scheme val="minor"/>
      </rPr>
      <t>eq</t>
    </r>
    <r>
      <rPr>
        <b/>
        <sz val="11"/>
        <color theme="1"/>
        <rFont val="Calibri"/>
        <family val="2"/>
        <scheme val="minor"/>
      </rPr>
      <t>/kW</t>
    </r>
    <r>
      <rPr>
        <b/>
        <vertAlign val="subscript"/>
        <sz val="11"/>
        <color theme="1"/>
        <rFont val="Calibri"/>
        <family val="2"/>
        <scheme val="minor"/>
      </rPr>
      <t>e</t>
    </r>
    <r>
      <rPr>
        <b/>
        <sz val="11"/>
        <color theme="1"/>
        <rFont val="Calibri"/>
        <family val="2"/>
        <scheme val="minor"/>
      </rPr>
      <t>)</t>
    </r>
  </si>
  <si>
    <r>
      <t>Thermal Control (kg</t>
    </r>
    <r>
      <rPr>
        <b/>
        <vertAlign val="subscript"/>
        <sz val="11"/>
        <color theme="1"/>
        <rFont val="Calibri"/>
        <family val="2"/>
        <scheme val="minor"/>
      </rPr>
      <t>eq</t>
    </r>
    <r>
      <rPr>
        <b/>
        <sz val="11"/>
        <color theme="1"/>
        <rFont val="Calibri"/>
        <family val="2"/>
        <scheme val="minor"/>
      </rPr>
      <t>/kW</t>
    </r>
    <r>
      <rPr>
        <b/>
        <vertAlign val="subscript"/>
        <sz val="11"/>
        <color theme="1"/>
        <rFont val="Calibri"/>
        <family val="2"/>
        <scheme val="minor"/>
      </rPr>
      <t>th</t>
    </r>
    <r>
      <rPr>
        <b/>
        <sz val="11"/>
        <color theme="1"/>
        <rFont val="Calibri"/>
        <family val="2"/>
        <scheme val="minor"/>
      </rPr>
      <t>)</t>
    </r>
  </si>
  <si>
    <r>
      <t>Cold Storage (kg</t>
    </r>
    <r>
      <rPr>
        <b/>
        <vertAlign val="subscript"/>
        <sz val="11"/>
        <color theme="1"/>
        <rFont val="Calibri"/>
        <family val="2"/>
        <scheme val="minor"/>
      </rPr>
      <t>eq</t>
    </r>
    <r>
      <rPr>
        <b/>
        <sz val="11"/>
        <color theme="1"/>
        <rFont val="Calibri"/>
        <family val="2"/>
        <scheme val="minor"/>
      </rPr>
      <t>/kg)</t>
    </r>
  </si>
  <si>
    <r>
      <t>Waste storage (kg</t>
    </r>
    <r>
      <rPr>
        <b/>
        <vertAlign val="subscript"/>
        <sz val="11"/>
        <color theme="1"/>
        <rFont val="Calibri"/>
        <family val="2"/>
        <scheme val="minor"/>
      </rPr>
      <t>eq</t>
    </r>
    <r>
      <rPr>
        <b/>
        <sz val="11"/>
        <color theme="1"/>
        <rFont val="Calibri"/>
        <family val="2"/>
        <scheme val="minor"/>
      </rPr>
      <t>/kg)</t>
    </r>
  </si>
  <si>
    <r>
      <t>Water Treatment (kg</t>
    </r>
    <r>
      <rPr>
        <b/>
        <vertAlign val="subscript"/>
        <sz val="11"/>
        <color theme="1"/>
        <rFont val="Calibri"/>
        <family val="2"/>
        <scheme val="minor"/>
      </rPr>
      <t>eq</t>
    </r>
    <r>
      <rPr>
        <b/>
        <sz val="11"/>
        <color theme="1"/>
        <rFont val="Calibri"/>
        <family val="2"/>
        <scheme val="minor"/>
      </rPr>
      <t>/kg)</t>
    </r>
  </si>
  <si>
    <r>
      <t>kg FW/m</t>
    </r>
    <r>
      <rPr>
        <vertAlign val="superscript"/>
        <sz val="11"/>
        <color theme="1"/>
        <rFont val="Calibri"/>
        <family val="2"/>
        <scheme val="minor"/>
      </rPr>
      <t>2</t>
    </r>
  </si>
  <si>
    <r>
      <t>plants/m</t>
    </r>
    <r>
      <rPr>
        <vertAlign val="superscript"/>
        <sz val="11"/>
        <color theme="1"/>
        <rFont val="Calibri"/>
        <family val="2"/>
        <scheme val="minor"/>
      </rPr>
      <t>2</t>
    </r>
  </si>
  <si>
    <r>
      <t>m</t>
    </r>
    <r>
      <rPr>
        <vertAlign val="superscript"/>
        <sz val="11"/>
        <color theme="1"/>
        <rFont val="Calibri"/>
        <family val="2"/>
        <scheme val="minor"/>
      </rPr>
      <t>2</t>
    </r>
  </si>
  <si>
    <t>Crew time (CM-hr)</t>
  </si>
  <si>
    <t>1: Plant Growth Infrastructure</t>
  </si>
  <si>
    <t>2: Leaf Harvest Infrastructure</t>
  </si>
  <si>
    <t>Process Operations (per CM per mission)</t>
  </si>
  <si>
    <t>Process Operations</t>
  </si>
  <si>
    <t>Input, Output, Waste FOM Metrics (1 cycle, 35-day batch time)</t>
  </si>
  <si>
    <r>
      <t>m</t>
    </r>
    <r>
      <rPr>
        <vertAlign val="superscript"/>
        <sz val="11"/>
        <rFont val="Calibri"/>
        <family val="2"/>
        <scheme val="minor"/>
      </rPr>
      <t>3</t>
    </r>
  </si>
  <si>
    <r>
      <t>kW</t>
    </r>
    <r>
      <rPr>
        <vertAlign val="subscript"/>
        <sz val="11"/>
        <rFont val="Calibri"/>
        <family val="2"/>
        <scheme val="minor"/>
      </rPr>
      <t>e</t>
    </r>
  </si>
  <si>
    <r>
      <t>V (m</t>
    </r>
    <r>
      <rPr>
        <b/>
        <vertAlign val="superscript"/>
        <sz val="11"/>
        <color theme="1"/>
        <rFont val="Calibri"/>
        <family val="2"/>
        <scheme val="minor"/>
      </rPr>
      <t>3</t>
    </r>
    <r>
      <rPr>
        <b/>
        <sz val="11"/>
        <color theme="1"/>
        <rFont val="Calibri"/>
        <family val="2"/>
        <scheme val="minor"/>
      </rPr>
      <t>)</t>
    </r>
  </si>
  <si>
    <r>
      <t>Thermal cooling (kW</t>
    </r>
    <r>
      <rPr>
        <b/>
        <vertAlign val="subscript"/>
        <sz val="11"/>
        <color theme="1"/>
        <rFont val="Calibri"/>
        <family val="2"/>
        <scheme val="minor"/>
      </rPr>
      <t>th</t>
    </r>
    <r>
      <rPr>
        <b/>
        <sz val="11"/>
        <color theme="1"/>
        <rFont val="Calibri"/>
        <family val="2"/>
        <scheme val="minor"/>
      </rPr>
      <t>)</t>
    </r>
  </si>
  <si>
    <r>
      <t>Total Gene Gun Components ESM (kg</t>
    </r>
    <r>
      <rPr>
        <b/>
        <vertAlign val="subscript"/>
        <sz val="11"/>
        <color theme="1"/>
        <rFont val="Calibri"/>
        <family val="2"/>
        <scheme val="minor"/>
      </rPr>
      <t>eq</t>
    </r>
    <r>
      <rPr>
        <b/>
        <sz val="11"/>
        <color theme="1"/>
        <rFont val="Calibri"/>
        <family val="2"/>
        <scheme val="minor"/>
      </rPr>
      <t>)</t>
    </r>
  </si>
  <si>
    <r>
      <t>Total Overall ESM (kg</t>
    </r>
    <r>
      <rPr>
        <b/>
        <vertAlign val="subscript"/>
        <sz val="11"/>
        <color theme="1"/>
        <rFont val="Calibri"/>
        <family val="2"/>
        <scheme val="minor"/>
      </rPr>
      <t>eq</t>
    </r>
    <r>
      <rPr>
        <b/>
        <sz val="11"/>
        <color theme="1"/>
        <rFont val="Calibri"/>
        <family val="2"/>
        <scheme val="minor"/>
      </rPr>
      <t>)</t>
    </r>
  </si>
  <si>
    <t>Equivalent System Mass Metrics - Gene Gun Components (1 CM, 600-day mission, 1 dose/week, entire mission)</t>
  </si>
  <si>
    <t>Equivalent System Mass Metrics (per CM for entire mission)</t>
  </si>
  <si>
    <t>Shared across crew, divided by crew size (Assumptions!B5)</t>
  </si>
  <si>
    <r>
      <t>Volume (mL/cm</t>
    </r>
    <r>
      <rPr>
        <b/>
        <vertAlign val="superscript"/>
        <sz val="11"/>
        <color theme="1"/>
        <rFont val="Calibri"/>
        <family val="2"/>
        <scheme val="minor"/>
      </rPr>
      <t>3</t>
    </r>
    <r>
      <rPr>
        <b/>
        <sz val="11"/>
        <color theme="1"/>
        <rFont val="Calibri"/>
        <family val="2"/>
        <scheme val="minor"/>
      </rPr>
      <t>)</t>
    </r>
  </si>
  <si>
    <r>
      <t>ESM</t>
    </r>
    <r>
      <rPr>
        <b/>
        <vertAlign val="subscript"/>
        <sz val="11"/>
        <color theme="1"/>
        <rFont val="Calibri"/>
        <family val="2"/>
        <scheme val="minor"/>
      </rPr>
      <t>BM</t>
    </r>
    <r>
      <rPr>
        <b/>
        <sz val="11"/>
        <color theme="1"/>
        <rFont val="Calibri"/>
        <family val="2"/>
        <scheme val="minor"/>
      </rPr>
      <t xml:space="preserve"> (kg</t>
    </r>
    <r>
      <rPr>
        <b/>
        <vertAlign val="subscript"/>
        <sz val="11"/>
        <color theme="1"/>
        <rFont val="Calibri"/>
        <family val="2"/>
        <scheme val="minor"/>
      </rPr>
      <t>eq</t>
    </r>
    <r>
      <rPr>
        <b/>
        <sz val="11"/>
        <color theme="1"/>
        <rFont val="Calibri"/>
        <family val="2"/>
        <scheme val="minor"/>
      </rPr>
      <t>)</t>
    </r>
  </si>
  <si>
    <r>
      <t>Plant Growth ESM</t>
    </r>
    <r>
      <rPr>
        <b/>
        <vertAlign val="subscript"/>
        <sz val="11"/>
        <color theme="1"/>
        <rFont val="Calibri"/>
        <family val="2"/>
        <scheme val="minor"/>
      </rPr>
      <t>BM</t>
    </r>
    <r>
      <rPr>
        <b/>
        <sz val="11"/>
        <color theme="1"/>
        <rFont val="Calibri"/>
        <family val="2"/>
        <scheme val="minor"/>
      </rPr>
      <t xml:space="preserve"> (kg</t>
    </r>
    <r>
      <rPr>
        <b/>
        <vertAlign val="subscript"/>
        <sz val="11"/>
        <color theme="1"/>
        <rFont val="Calibri"/>
        <family val="2"/>
        <scheme val="minor"/>
      </rPr>
      <t>eq</t>
    </r>
    <r>
      <rPr>
        <b/>
        <sz val="11"/>
        <color theme="1"/>
        <rFont val="Calibri"/>
        <family val="2"/>
        <scheme val="minor"/>
      </rPr>
      <t>)</t>
    </r>
  </si>
  <si>
    <r>
      <t>Total AGRO Components ESM</t>
    </r>
    <r>
      <rPr>
        <b/>
        <vertAlign val="subscript"/>
        <sz val="11"/>
        <color theme="1"/>
        <rFont val="Calibri"/>
        <family val="2"/>
        <scheme val="minor"/>
      </rPr>
      <t>BM</t>
    </r>
    <r>
      <rPr>
        <b/>
        <sz val="11"/>
        <color theme="1"/>
        <rFont val="Calibri"/>
        <family val="2"/>
        <scheme val="minor"/>
      </rPr>
      <t xml:space="preserve"> (kg</t>
    </r>
    <r>
      <rPr>
        <b/>
        <vertAlign val="subscript"/>
        <sz val="11"/>
        <color theme="1"/>
        <rFont val="Calibri"/>
        <family val="2"/>
        <scheme val="minor"/>
      </rPr>
      <t>eq</t>
    </r>
    <r>
      <rPr>
        <b/>
        <sz val="11"/>
        <color theme="1"/>
        <rFont val="Calibri"/>
        <family val="2"/>
        <scheme val="minor"/>
      </rPr>
      <t>)</t>
    </r>
  </si>
  <si>
    <r>
      <t>Total Plant Growth ESM</t>
    </r>
    <r>
      <rPr>
        <b/>
        <vertAlign val="subscript"/>
        <sz val="11"/>
        <color theme="1"/>
        <rFont val="Calibri"/>
        <family val="2"/>
        <scheme val="minor"/>
      </rPr>
      <t>BM</t>
    </r>
    <r>
      <rPr>
        <b/>
        <sz val="11"/>
        <color theme="1"/>
        <rFont val="Calibri"/>
        <family val="2"/>
        <scheme val="minor"/>
      </rPr>
      <t xml:space="preserve"> (kg</t>
    </r>
    <r>
      <rPr>
        <b/>
        <vertAlign val="subscript"/>
        <sz val="11"/>
        <color theme="1"/>
        <rFont val="Calibri"/>
        <family val="2"/>
        <scheme val="minor"/>
      </rPr>
      <t>eq</t>
    </r>
    <r>
      <rPr>
        <b/>
        <sz val="11"/>
        <color theme="1"/>
        <rFont val="Calibri"/>
        <family val="2"/>
        <scheme val="minor"/>
      </rPr>
      <t>)</t>
    </r>
  </si>
  <si>
    <r>
      <t>kg/m</t>
    </r>
    <r>
      <rPr>
        <vertAlign val="superscript"/>
        <sz val="11"/>
        <rFont val="Calibri"/>
        <family val="2"/>
        <scheme val="minor"/>
      </rPr>
      <t>3</t>
    </r>
  </si>
  <si>
    <r>
      <t>L = m</t>
    </r>
    <r>
      <rPr>
        <vertAlign val="superscript"/>
        <sz val="11"/>
        <rFont val="Calibri"/>
        <family val="2"/>
        <scheme val="minor"/>
      </rPr>
      <t>3</t>
    </r>
  </si>
  <si>
    <r>
      <t>g/cm</t>
    </r>
    <r>
      <rPr>
        <vertAlign val="superscript"/>
        <sz val="11"/>
        <color theme="1"/>
        <rFont val="Calibri"/>
        <family val="2"/>
        <scheme val="minor"/>
      </rPr>
      <t>3</t>
    </r>
  </si>
  <si>
    <r>
      <t>V (cm</t>
    </r>
    <r>
      <rPr>
        <b/>
        <vertAlign val="superscript"/>
        <sz val="11"/>
        <color theme="1"/>
        <rFont val="Calibri"/>
        <family val="2"/>
        <scheme val="minor"/>
      </rPr>
      <t>3</t>
    </r>
    <r>
      <rPr>
        <b/>
        <sz val="11"/>
        <color theme="1"/>
        <rFont val="Calibri"/>
        <family val="2"/>
        <scheme val="minor"/>
      </rPr>
      <t>)</t>
    </r>
  </si>
  <si>
    <r>
      <t>Total Overall ESM</t>
    </r>
    <r>
      <rPr>
        <b/>
        <vertAlign val="subscript"/>
        <sz val="11"/>
        <color theme="1"/>
        <rFont val="Calibri"/>
        <family val="2"/>
        <scheme val="minor"/>
      </rPr>
      <t>BM</t>
    </r>
    <r>
      <rPr>
        <b/>
        <sz val="11"/>
        <color theme="1"/>
        <rFont val="Calibri"/>
        <family val="2"/>
        <scheme val="minor"/>
      </rPr>
      <t xml:space="preserve"> (kg</t>
    </r>
    <r>
      <rPr>
        <b/>
        <vertAlign val="subscript"/>
        <sz val="11"/>
        <color theme="1"/>
        <rFont val="Calibri"/>
        <family val="2"/>
        <scheme val="minor"/>
      </rPr>
      <t>eq</t>
    </r>
    <r>
      <rPr>
        <b/>
        <sz val="11"/>
        <color theme="1"/>
        <rFont val="Calibri"/>
        <family val="2"/>
        <scheme val="minor"/>
      </rPr>
      <t>)</t>
    </r>
  </si>
  <si>
    <r>
      <t>Total VIRAL ESM</t>
    </r>
    <r>
      <rPr>
        <b/>
        <vertAlign val="subscript"/>
        <sz val="11"/>
        <color theme="1"/>
        <rFont val="Calibri"/>
        <family val="2"/>
        <scheme val="minor"/>
      </rPr>
      <t>BM</t>
    </r>
    <r>
      <rPr>
        <b/>
        <sz val="11"/>
        <color theme="1"/>
        <rFont val="Calibri"/>
        <family val="2"/>
        <scheme val="minor"/>
      </rPr>
      <t xml:space="preserve"> (kg</t>
    </r>
    <r>
      <rPr>
        <b/>
        <vertAlign val="subscript"/>
        <sz val="11"/>
        <color theme="1"/>
        <rFont val="Calibri"/>
        <family val="2"/>
        <scheme val="minor"/>
      </rPr>
      <t>eq</t>
    </r>
    <r>
      <rPr>
        <b/>
        <sz val="11"/>
        <color theme="1"/>
        <rFont val="Calibri"/>
        <family val="2"/>
        <scheme val="minor"/>
      </rPr>
      <t>)</t>
    </r>
  </si>
  <si>
    <t>Equivalent System Mass Metrics - VIRAL (1 CM, 600-day mission, 1 dose/week)</t>
  </si>
  <si>
    <t>Input, Output, and Waste FOM Metrics (600-day mission)</t>
  </si>
  <si>
    <t>Harvesting collection container</t>
  </si>
  <si>
    <t>Harvesting tools</t>
  </si>
  <si>
    <t>Biomass Waste</t>
  </si>
  <si>
    <t>Volume</t>
  </si>
  <si>
    <t>Power</t>
  </si>
  <si>
    <t>Crew time</t>
  </si>
  <si>
    <t>FOM Graphs</t>
  </si>
  <si>
    <t>Refrigerator/Freezer</t>
  </si>
  <si>
    <t>Refrigerator/Freezer mass</t>
  </si>
  <si>
    <t>Refrigerator/Freezer external volume</t>
  </si>
  <si>
    <t>Refrigerator/Freezer internal volume</t>
  </si>
  <si>
    <t>Refrigerator/Freezer power</t>
  </si>
  <si>
    <t>Required # refrigerators/freezers per batch</t>
  </si>
  <si>
    <t>Required # refrigerator/freezers per mission</t>
  </si>
  <si>
    <t>Harvesting container</t>
  </si>
  <si>
    <t>Dessicant pack</t>
  </si>
  <si>
    <t>N benthamiana seeds</t>
  </si>
  <si>
    <t>Plant growth nutrients</t>
  </si>
  <si>
    <t>Flask</t>
  </si>
  <si>
    <t>Cuvette</t>
  </si>
  <si>
    <t>Bottle</t>
  </si>
  <si>
    <t>Beaker</t>
  </si>
  <si>
    <t>Centrifuge tubes</t>
  </si>
  <si>
    <t>LB Media mix</t>
  </si>
  <si>
    <t>Kanamycin</t>
  </si>
  <si>
    <t>Tetracycline</t>
  </si>
  <si>
    <t>Rifampicin</t>
  </si>
  <si>
    <t>Acetosyringone</t>
  </si>
  <si>
    <t>MES</t>
  </si>
  <si>
    <t>MgCl2</t>
  </si>
  <si>
    <t>Silwet L-77</t>
  </si>
  <si>
    <r>
      <rPr>
        <i/>
        <sz val="11"/>
        <color theme="1"/>
        <rFont val="Calibri"/>
        <family val="2"/>
        <scheme val="minor"/>
      </rPr>
      <t>N benthamiana</t>
    </r>
    <r>
      <rPr>
        <sz val="11"/>
        <color theme="1"/>
        <rFont val="Calibri"/>
        <family val="2"/>
        <scheme val="minor"/>
      </rPr>
      <t xml:space="preserve"> seeds</t>
    </r>
  </si>
  <si>
    <t>Injection Pens (packaged)</t>
  </si>
  <si>
    <t>Used Injection Pens</t>
  </si>
  <si>
    <t>Waste Packaging</t>
  </si>
  <si>
    <t>• Each injection pen contains 0.600 mg of PTH-Fc per pen (2.4 mL with a 0.25 mg/mL concentration), the same as the mass of biologic in each Forteo injection pen</t>
  </si>
  <si>
    <t>• Shelf life at refrigerated conditions is assumed to be at least 2 years under refrigerated storage conditions based on https://www.ema.europa.eu/en/documents/scientific-discussion/forsteo-epar-scientific-discussion_en.pdf</t>
  </si>
  <si>
    <t>• 602 days of surface operation with 86 weekly batches</t>
  </si>
  <si>
    <t>mg PTH-Fc/CM/week</t>
  </si>
  <si>
    <t>mg PTH-Fc /wk/CM</t>
  </si>
  <si>
    <t>mg PTH-Fc/wk/CM</t>
  </si>
  <si>
    <t>mg PTH-Fc /kg FW</t>
  </si>
  <si>
    <t>mg PTH-Fc/CM/mission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</si>
</sst>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0000"/>
  </numFmts>
  <fonts count="30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0"/>
      <name val="Calibri"/>
      <family val="2"/>
    </font>
    <font>
      <b/>
      <sz val="20"/>
      <color rgb="FFFFFFFF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1"/>
      <color rgb="FFFF0000"/>
      <name val="Calibri"/>
      <family val="2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222222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vertAlign val="superscript"/>
      <sz val="11"/>
      <name val="Calibri"/>
      <family val="2"/>
    </font>
    <font>
      <b/>
      <vertAlign val="subscript"/>
      <sz val="11"/>
      <name val="Calibri"/>
      <family val="2"/>
    </font>
    <font>
      <vertAlign val="superscript"/>
      <sz val="11"/>
      <color theme="1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vertAlign val="superscript"/>
      <sz val="11"/>
      <name val="Calibri"/>
      <family val="2"/>
      <scheme val="minor"/>
    </font>
    <font>
      <vertAlign val="subscript"/>
      <sz val="11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1F3864"/>
        <bgColor rgb="FF1F38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2060"/>
        <bgColor rgb="FF1F3864"/>
      </patternFill>
    </fill>
    <fill>
      <patternFill patternType="solid">
        <fgColor theme="2"/>
        <bgColor indexed="64"/>
      </patternFill>
    </fill>
    <fill>
      <patternFill patternType="solid">
        <fgColor theme="8" tint="0.59999389629810485"/>
        <bgColor rgb="FFD9E1F2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DACE6"/>
        <bgColor rgb="FFB4C6E7"/>
      </patternFill>
    </fill>
    <fill>
      <patternFill patternType="solid">
        <fgColor rgb="FFCDACE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59999389629810485"/>
        <bgColor rgb="FFB4C6E7"/>
      </patternFill>
    </fill>
  </fills>
  <borders count="6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17" fillId="0" borderId="0"/>
  </cellStyleXfs>
  <cellXfs count="402">
    <xf numFmtId="0" fontId="0" fillId="0" borderId="0" xfId="0"/>
    <xf numFmtId="0" fontId="2" fillId="0" borderId="5" xfId="0" applyFont="1" applyBorder="1"/>
    <xf numFmtId="0" fontId="2" fillId="2" borderId="6" xfId="0" applyFont="1" applyFill="1" applyBorder="1" applyAlignment="1">
      <alignment horizontal="center"/>
    </xf>
    <xf numFmtId="0" fontId="0" fillId="0" borderId="7" xfId="0" applyBorder="1"/>
    <xf numFmtId="0" fontId="2" fillId="2" borderId="8" xfId="0" applyFont="1" applyFill="1" applyBorder="1" applyAlignment="1">
      <alignment horizontal="center"/>
    </xf>
    <xf numFmtId="0" fontId="2" fillId="0" borderId="9" xfId="0" applyFont="1" applyBorder="1" applyAlignment="1">
      <alignment horizontal="left"/>
    </xf>
    <xf numFmtId="0" fontId="2" fillId="2" borderId="10" xfId="0" applyFont="1" applyFill="1" applyBorder="1" applyAlignment="1">
      <alignment horizontal="center"/>
    </xf>
    <xf numFmtId="0" fontId="0" fillId="0" borderId="11" xfId="0" applyBorder="1"/>
    <xf numFmtId="0" fontId="0" fillId="3" borderId="12" xfId="0" applyFill="1" applyBorder="1" applyAlignment="1">
      <alignment horizontal="center"/>
    </xf>
    <xf numFmtId="0" fontId="2" fillId="0" borderId="0" xfId="0" applyFont="1" applyAlignment="1">
      <alignment horizontal="left"/>
    </xf>
    <xf numFmtId="0" fontId="2" fillId="0" borderId="15" xfId="0" applyFont="1" applyBorder="1" applyAlignment="1">
      <alignment horizontal="left"/>
    </xf>
    <xf numFmtId="0" fontId="0" fillId="0" borderId="7" xfId="0" applyBorder="1" applyAlignment="1">
      <alignment horizontal="left"/>
    </xf>
    <xf numFmtId="0" fontId="2" fillId="0" borderId="5" xfId="0" applyFont="1" applyBorder="1" applyAlignment="1">
      <alignment horizontal="left"/>
    </xf>
    <xf numFmtId="164" fontId="0" fillId="0" borderId="0" xfId="0" applyNumberFormat="1" applyAlignment="1">
      <alignment horizontal="center"/>
    </xf>
    <xf numFmtId="0" fontId="2" fillId="2" borderId="16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2" fillId="0" borderId="5" xfId="0" applyFont="1" applyBorder="1" applyAlignment="1">
      <alignment horizontal="left" wrapText="1"/>
    </xf>
    <xf numFmtId="164" fontId="0" fillId="0" borderId="0" xfId="0" applyNumberFormat="1" applyAlignment="1">
      <alignment horizontal="center" vertical="center"/>
    </xf>
    <xf numFmtId="0" fontId="0" fillId="0" borderId="7" xfId="0" applyBorder="1" applyAlignment="1">
      <alignment horizontal="left" vertical="center"/>
    </xf>
    <xf numFmtId="0" fontId="3" fillId="0" borderId="0" xfId="0" applyFont="1" applyAlignment="1">
      <alignment horizontal="left"/>
    </xf>
    <xf numFmtId="0" fontId="4" fillId="0" borderId="0" xfId="0" applyFon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64" fontId="0" fillId="0" borderId="17" xfId="0" applyNumberFormat="1" applyBorder="1" applyAlignment="1">
      <alignment horizontal="center"/>
    </xf>
    <xf numFmtId="0" fontId="0" fillId="0" borderId="11" xfId="0" applyBorder="1" applyAlignment="1">
      <alignment horizontal="left"/>
    </xf>
    <xf numFmtId="11" fontId="5" fillId="0" borderId="0" xfId="0" applyNumberFormat="1" applyFont="1" applyAlignment="1">
      <alignment horizontal="center"/>
    </xf>
    <xf numFmtId="11" fontId="0" fillId="0" borderId="0" xfId="0" applyNumberFormat="1" applyAlignment="1">
      <alignment horizontal="center"/>
    </xf>
    <xf numFmtId="11" fontId="5" fillId="3" borderId="7" xfId="0" applyNumberFormat="1" applyFont="1" applyFill="1" applyBorder="1" applyAlignment="1">
      <alignment horizontal="center"/>
    </xf>
    <xf numFmtId="0" fontId="0" fillId="0" borderId="21" xfId="0" applyBorder="1"/>
    <xf numFmtId="0" fontId="0" fillId="0" borderId="21" xfId="0" applyBorder="1" applyAlignment="1">
      <alignment horizontal="center"/>
    </xf>
    <xf numFmtId="11" fontId="0" fillId="0" borderId="21" xfId="0" applyNumberFormat="1" applyBorder="1" applyAlignment="1">
      <alignment horizontal="center"/>
    </xf>
    <xf numFmtId="11" fontId="5" fillId="0" borderId="21" xfId="0" applyNumberFormat="1" applyFont="1" applyBorder="1" applyAlignment="1">
      <alignment horizontal="center"/>
    </xf>
    <xf numFmtId="11" fontId="0" fillId="3" borderId="22" xfId="0" applyNumberFormat="1" applyFill="1" applyBorder="1" applyAlignment="1">
      <alignment horizontal="center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center" vertical="center" wrapText="1"/>
    </xf>
    <xf numFmtId="11" fontId="0" fillId="0" borderId="0" xfId="0" applyNumberFormat="1" applyAlignment="1">
      <alignment horizontal="center" vertical="center" wrapText="1"/>
    </xf>
    <xf numFmtId="11" fontId="5" fillId="0" borderId="0" xfId="0" applyNumberFormat="1" applyFont="1" applyAlignment="1">
      <alignment horizontal="center" vertical="center" wrapText="1"/>
    </xf>
    <xf numFmtId="11" fontId="5" fillId="3" borderId="7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5" fillId="0" borderId="0" xfId="0" applyFont="1" applyAlignment="1">
      <alignment horizontal="center"/>
    </xf>
    <xf numFmtId="2" fontId="0" fillId="3" borderId="0" xfId="0" applyNumberFormat="1" applyFill="1" applyAlignment="1">
      <alignment horizontal="center" vertical="center" wrapText="1"/>
    </xf>
    <xf numFmtId="2" fontId="0" fillId="3" borderId="7" xfId="0" applyNumberFormat="1" applyFill="1" applyBorder="1" applyAlignment="1">
      <alignment horizontal="center" vertical="center" wrapText="1"/>
    </xf>
    <xf numFmtId="0" fontId="0" fillId="0" borderId="17" xfId="0" applyBorder="1" applyAlignment="1">
      <alignment horizontal="left"/>
    </xf>
    <xf numFmtId="0" fontId="5" fillId="0" borderId="17" xfId="0" applyFont="1" applyBorder="1" applyAlignment="1">
      <alignment horizontal="center"/>
    </xf>
    <xf numFmtId="11" fontId="0" fillId="0" borderId="17" xfId="0" applyNumberFormat="1" applyBorder="1" applyAlignment="1">
      <alignment horizontal="center"/>
    </xf>
    <xf numFmtId="2" fontId="0" fillId="3" borderId="17" xfId="0" applyNumberFormat="1" applyFill="1" applyBorder="1" applyAlignment="1">
      <alignment horizontal="center" vertical="center" wrapText="1"/>
    </xf>
    <xf numFmtId="2" fontId="0" fillId="3" borderId="11" xfId="0" applyNumberFormat="1" applyFill="1" applyBorder="1" applyAlignment="1">
      <alignment horizontal="center" vertical="center" wrapText="1"/>
    </xf>
    <xf numFmtId="0" fontId="2" fillId="0" borderId="0" xfId="0" applyFont="1"/>
    <xf numFmtId="0" fontId="0" fillId="0" borderId="17" xfId="0" applyBorder="1"/>
    <xf numFmtId="0" fontId="0" fillId="3" borderId="0" xfId="0" applyFill="1" applyAlignment="1">
      <alignment horizontal="center"/>
    </xf>
    <xf numFmtId="11" fontId="0" fillId="0" borderId="7" xfId="0" applyNumberFormat="1" applyBorder="1" applyAlignment="1">
      <alignment horizontal="center"/>
    </xf>
    <xf numFmtId="11" fontId="0" fillId="0" borderId="0" xfId="0" applyNumberFormat="1"/>
    <xf numFmtId="11" fontId="0" fillId="3" borderId="0" xfId="0" applyNumberFormat="1" applyFill="1" applyAlignment="1">
      <alignment horizontal="center"/>
    </xf>
    <xf numFmtId="11" fontId="0" fillId="0" borderId="7" xfId="0" applyNumberFormat="1" applyBorder="1" applyAlignment="1">
      <alignment horizontal="center" vertical="center"/>
    </xf>
    <xf numFmtId="0" fontId="0" fillId="3" borderId="7" xfId="0" applyFill="1" applyBorder="1"/>
    <xf numFmtId="0" fontId="0" fillId="3" borderId="17" xfId="0" applyFill="1" applyBorder="1" applyAlignment="1">
      <alignment horizontal="center"/>
    </xf>
    <xf numFmtId="165" fontId="0" fillId="0" borderId="0" xfId="0" applyNumberFormat="1"/>
    <xf numFmtId="11" fontId="1" fillId="3" borderId="11" xfId="0" applyNumberFormat="1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/>
    </xf>
    <xf numFmtId="0" fontId="0" fillId="3" borderId="0" xfId="0" applyFill="1"/>
    <xf numFmtId="164" fontId="0" fillId="3" borderId="0" xfId="0" applyNumberFormat="1" applyFill="1" applyAlignment="1">
      <alignment horizontal="center"/>
    </xf>
    <xf numFmtId="0" fontId="0" fillId="3" borderId="7" xfId="0" applyFill="1" applyBorder="1" applyAlignment="1">
      <alignment horizontal="center"/>
    </xf>
    <xf numFmtId="11" fontId="5" fillId="3" borderId="0" xfId="0" applyNumberFormat="1" applyFont="1" applyFill="1" applyAlignment="1">
      <alignment horizontal="center"/>
    </xf>
    <xf numFmtId="11" fontId="5" fillId="0" borderId="7" xfId="0" applyNumberFormat="1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164" fontId="5" fillId="3" borderId="0" xfId="0" applyNumberFormat="1" applyFont="1" applyFill="1" applyAlignment="1">
      <alignment horizontal="center" vertical="center" wrapText="1"/>
    </xf>
    <xf numFmtId="0" fontId="2" fillId="0" borderId="12" xfId="0" applyFont="1" applyBorder="1" applyAlignment="1">
      <alignment horizontal="center"/>
    </xf>
    <xf numFmtId="0" fontId="5" fillId="3" borderId="17" xfId="0" applyFont="1" applyFill="1" applyBorder="1" applyAlignment="1">
      <alignment horizontal="center"/>
    </xf>
    <xf numFmtId="0" fontId="2" fillId="0" borderId="15" xfId="0" applyFont="1" applyBorder="1"/>
    <xf numFmtId="0" fontId="6" fillId="0" borderId="9" xfId="0" applyFont="1" applyBorder="1" applyAlignment="1">
      <alignment horizontal="center"/>
    </xf>
    <xf numFmtId="0" fontId="0" fillId="0" borderId="17" xfId="0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0" fillId="0" borderId="26" xfId="0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28" xfId="0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6" fillId="2" borderId="10" xfId="0" applyFont="1" applyFill="1" applyBorder="1" applyAlignment="1">
      <alignment horizontal="center"/>
    </xf>
    <xf numFmtId="11" fontId="5" fillId="0" borderId="15" xfId="0" applyNumberFormat="1" applyFont="1" applyBorder="1" applyAlignment="1">
      <alignment horizontal="center" vertical="center" wrapText="1"/>
    </xf>
    <xf numFmtId="11" fontId="0" fillId="0" borderId="15" xfId="0" applyNumberFormat="1" applyBorder="1" applyAlignment="1">
      <alignment vertical="center" wrapText="1"/>
    </xf>
    <xf numFmtId="0" fontId="0" fillId="4" borderId="19" xfId="0" applyFill="1" applyBorder="1"/>
    <xf numFmtId="0" fontId="0" fillId="4" borderId="9" xfId="0" applyFill="1" applyBorder="1"/>
    <xf numFmtId="0" fontId="0" fillId="0" borderId="15" xfId="0" applyBorder="1"/>
    <xf numFmtId="0" fontId="0" fillId="0" borderId="28" xfId="0" applyBorder="1"/>
    <xf numFmtId="0" fontId="2" fillId="0" borderId="29" xfId="0" applyFont="1" applyBorder="1"/>
    <xf numFmtId="0" fontId="2" fillId="0" borderId="19" xfId="0" applyFont="1" applyBorder="1"/>
    <xf numFmtId="0" fontId="0" fillId="0" borderId="26" xfId="0" applyBorder="1"/>
    <xf numFmtId="166" fontId="0" fillId="0" borderId="0" xfId="0" applyNumberFormat="1"/>
    <xf numFmtId="0" fontId="0" fillId="5" borderId="0" xfId="0" applyFill="1"/>
    <xf numFmtId="2" fontId="0" fillId="0" borderId="0" xfId="0" applyNumberFormat="1"/>
    <xf numFmtId="0" fontId="8" fillId="0" borderId="0" xfId="0" applyFont="1"/>
    <xf numFmtId="0" fontId="11" fillId="0" borderId="0" xfId="0" applyFont="1"/>
    <xf numFmtId="0" fontId="2" fillId="7" borderId="2" xfId="0" applyFont="1" applyFill="1" applyBorder="1" applyAlignment="1">
      <alignment horizontal="center"/>
    </xf>
    <xf numFmtId="0" fontId="2" fillId="7" borderId="3" xfId="0" applyFont="1" applyFill="1" applyBorder="1" applyAlignment="1">
      <alignment horizontal="center"/>
    </xf>
    <xf numFmtId="0" fontId="2" fillId="7" borderId="4" xfId="0" applyFont="1" applyFill="1" applyBorder="1" applyAlignment="1">
      <alignment horizontal="center"/>
    </xf>
    <xf numFmtId="0" fontId="0" fillId="7" borderId="19" xfId="0" applyFill="1" applyBorder="1"/>
    <xf numFmtId="0" fontId="2" fillId="7" borderId="30" xfId="0" applyFont="1" applyFill="1" applyBorder="1" applyAlignment="1">
      <alignment horizontal="center"/>
    </xf>
    <xf numFmtId="0" fontId="2" fillId="7" borderId="26" xfId="0" applyFont="1" applyFill="1" applyBorder="1" applyAlignment="1">
      <alignment horizontal="center"/>
    </xf>
    <xf numFmtId="0" fontId="12" fillId="0" borderId="0" xfId="0" applyFont="1"/>
    <xf numFmtId="0" fontId="13" fillId="0" borderId="0" xfId="0" applyFont="1"/>
    <xf numFmtId="0" fontId="12" fillId="11" borderId="18" xfId="0" applyFont="1" applyFill="1" applyBorder="1"/>
    <xf numFmtId="0" fontId="13" fillId="7" borderId="2" xfId="0" applyFont="1" applyFill="1" applyBorder="1"/>
    <xf numFmtId="0" fontId="13" fillId="7" borderId="3" xfId="0" applyFont="1" applyFill="1" applyBorder="1"/>
    <xf numFmtId="0" fontId="14" fillId="0" borderId="0" xfId="0" applyFont="1"/>
    <xf numFmtId="0" fontId="0" fillId="0" borderId="30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0" borderId="29" xfId="0" applyBorder="1"/>
    <xf numFmtId="0" fontId="0" fillId="0" borderId="33" xfId="0" applyBorder="1" applyAlignment="1">
      <alignment horizontal="center"/>
    </xf>
    <xf numFmtId="0" fontId="0" fillId="0" borderId="10" xfId="0" applyBorder="1" applyAlignment="1">
      <alignment horizontal="center"/>
    </xf>
    <xf numFmtId="0" fontId="5" fillId="0" borderId="10" xfId="0" applyFont="1" applyBorder="1" applyAlignment="1">
      <alignment horizontal="center"/>
    </xf>
    <xf numFmtId="2" fontId="0" fillId="0" borderId="36" xfId="0" applyNumberFormat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17" xfId="0" applyFont="1" applyBorder="1" applyAlignment="1">
      <alignment horizontal="center"/>
    </xf>
    <xf numFmtId="0" fontId="0" fillId="0" borderId="34" xfId="0" applyBorder="1"/>
    <xf numFmtId="0" fontId="0" fillId="0" borderId="30" xfId="0" applyBorder="1"/>
    <xf numFmtId="0" fontId="2" fillId="0" borderId="5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18" fillId="0" borderId="0" xfId="0" applyFont="1" applyAlignment="1">
      <alignment horizontal="left"/>
    </xf>
    <xf numFmtId="0" fontId="19" fillId="0" borderId="0" xfId="0" applyFont="1"/>
    <xf numFmtId="0" fontId="5" fillId="0" borderId="0" xfId="0" applyFont="1"/>
    <xf numFmtId="0" fontId="2" fillId="2" borderId="0" xfId="0" applyFont="1" applyFill="1" applyAlignment="1">
      <alignment horizontal="center" vertical="center"/>
    </xf>
    <xf numFmtId="0" fontId="2" fillId="2" borderId="39" xfId="0" applyFont="1" applyFill="1" applyBorder="1" applyAlignment="1">
      <alignment horizontal="center" vertical="center"/>
    </xf>
    <xf numFmtId="0" fontId="0" fillId="0" borderId="40" xfId="0" applyBorder="1"/>
    <xf numFmtId="0" fontId="0" fillId="0" borderId="41" xfId="0" applyBorder="1"/>
    <xf numFmtId="0" fontId="2" fillId="2" borderId="21" xfId="0" applyFont="1" applyFill="1" applyBorder="1" applyAlignment="1">
      <alignment horizontal="center" vertical="center"/>
    </xf>
    <xf numFmtId="0" fontId="13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2" fillId="0" borderId="34" xfId="0" applyFont="1" applyBorder="1" applyAlignment="1">
      <alignment horizontal="left"/>
    </xf>
    <xf numFmtId="0" fontId="2" fillId="0" borderId="30" xfId="0" applyFont="1" applyBorder="1" applyAlignment="1">
      <alignment horizontal="left"/>
    </xf>
    <xf numFmtId="0" fontId="0" fillId="13" borderId="14" xfId="0" applyFill="1" applyBorder="1"/>
    <xf numFmtId="11" fontId="0" fillId="3" borderId="17" xfId="0" applyNumberFormat="1" applyFill="1" applyBorder="1" applyAlignment="1">
      <alignment horizontal="center"/>
    </xf>
    <xf numFmtId="0" fontId="2" fillId="2" borderId="37" xfId="0" applyFont="1" applyFill="1" applyBorder="1" applyAlignment="1">
      <alignment horizontal="center"/>
    </xf>
    <xf numFmtId="0" fontId="2" fillId="0" borderId="34" xfId="0" applyFont="1" applyBorder="1"/>
    <xf numFmtId="0" fontId="2" fillId="0" borderId="29" xfId="0" applyFont="1" applyBorder="1" applyAlignment="1">
      <alignment horizontal="left"/>
    </xf>
    <xf numFmtId="0" fontId="2" fillId="2" borderId="45" xfId="0" applyFont="1" applyFill="1" applyBorder="1" applyAlignment="1">
      <alignment horizontal="center"/>
    </xf>
    <xf numFmtId="0" fontId="2" fillId="2" borderId="27" xfId="0" applyFont="1" applyFill="1" applyBorder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3" borderId="0" xfId="0" applyNumberFormat="1" applyFill="1" applyAlignment="1">
      <alignment horizontal="center"/>
    </xf>
    <xf numFmtId="2" fontId="0" fillId="0" borderId="17" xfId="0" applyNumberFormat="1" applyBorder="1" applyAlignment="1">
      <alignment horizontal="center"/>
    </xf>
    <xf numFmtId="0" fontId="20" fillId="0" borderId="0" xfId="0" applyFont="1" applyAlignment="1">
      <alignment wrapText="1"/>
    </xf>
    <xf numFmtId="0" fontId="2" fillId="0" borderId="11" xfId="0" applyFont="1" applyBorder="1"/>
    <xf numFmtId="11" fontId="5" fillId="3" borderId="0" xfId="0" applyNumberFormat="1" applyFont="1" applyFill="1" applyAlignment="1">
      <alignment horizontal="center" vertical="center" wrapText="1"/>
    </xf>
    <xf numFmtId="11" fontId="5" fillId="3" borderId="17" xfId="0" applyNumberFormat="1" applyFont="1" applyFill="1" applyBorder="1" applyAlignment="1">
      <alignment horizontal="center"/>
    </xf>
    <xf numFmtId="0" fontId="2" fillId="16" borderId="4" xfId="0" applyFont="1" applyFill="1" applyBorder="1" applyAlignment="1">
      <alignment horizontal="center"/>
    </xf>
    <xf numFmtId="0" fontId="2" fillId="8" borderId="3" xfId="0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2" fillId="8" borderId="17" xfId="0" applyFont="1" applyFill="1" applyBorder="1" applyAlignment="1">
      <alignment horizontal="center"/>
    </xf>
    <xf numFmtId="0" fontId="2" fillId="8" borderId="11" xfId="0" applyFont="1" applyFill="1" applyBorder="1" applyAlignment="1">
      <alignment horizontal="center"/>
    </xf>
    <xf numFmtId="0" fontId="2" fillId="8" borderId="46" xfId="0" applyFont="1" applyFill="1" applyBorder="1" applyAlignment="1">
      <alignment horizontal="center"/>
    </xf>
    <xf numFmtId="0" fontId="16" fillId="12" borderId="18" xfId="0" applyFont="1" applyFill="1" applyBorder="1"/>
    <xf numFmtId="0" fontId="0" fillId="12" borderId="2" xfId="0" applyFill="1" applyBorder="1"/>
    <xf numFmtId="0" fontId="0" fillId="12" borderId="3" xfId="0" applyFill="1" applyBorder="1"/>
    <xf numFmtId="0" fontId="0" fillId="8" borderId="33" xfId="0" applyFill="1" applyBorder="1"/>
    <xf numFmtId="0" fontId="2" fillId="8" borderId="29" xfId="0" applyFont="1" applyFill="1" applyBorder="1" applyAlignment="1">
      <alignment horizontal="center"/>
    </xf>
    <xf numFmtId="0" fontId="2" fillId="14" borderId="42" xfId="0" applyFont="1" applyFill="1" applyBorder="1" applyAlignment="1">
      <alignment horizontal="left" vertical="top"/>
    </xf>
    <xf numFmtId="0" fontId="2" fillId="14" borderId="13" xfId="0" applyFont="1" applyFill="1" applyBorder="1" applyAlignment="1">
      <alignment horizontal="left" vertical="top"/>
    </xf>
    <xf numFmtId="0" fontId="2" fillId="14" borderId="14" xfId="0" applyFont="1" applyFill="1" applyBorder="1" applyAlignment="1">
      <alignment horizontal="left" vertical="top"/>
    </xf>
    <xf numFmtId="0" fontId="0" fillId="14" borderId="13" xfId="0" applyFill="1" applyBorder="1"/>
    <xf numFmtId="0" fontId="2" fillId="14" borderId="13" xfId="0" applyFont="1" applyFill="1" applyBorder="1"/>
    <xf numFmtId="0" fontId="0" fillId="14" borderId="14" xfId="0" applyFill="1" applyBorder="1"/>
    <xf numFmtId="0" fontId="2" fillId="8" borderId="23" xfId="0" applyFont="1" applyFill="1" applyBorder="1" applyAlignment="1">
      <alignment horizontal="center"/>
    </xf>
    <xf numFmtId="0" fontId="2" fillId="8" borderId="24" xfId="0" applyFont="1" applyFill="1" applyBorder="1" applyAlignment="1">
      <alignment horizontal="center"/>
    </xf>
    <xf numFmtId="0" fontId="2" fillId="8" borderId="25" xfId="0" applyFont="1" applyFill="1" applyBorder="1" applyAlignment="1">
      <alignment horizontal="center"/>
    </xf>
    <xf numFmtId="0" fontId="2" fillId="8" borderId="18" xfId="0" applyFont="1" applyFill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8" borderId="43" xfId="0" applyFont="1" applyFill="1" applyBorder="1" applyAlignment="1">
      <alignment horizontal="center"/>
    </xf>
    <xf numFmtId="0" fontId="2" fillId="8" borderId="39" xfId="0" applyFont="1" applyFill="1" applyBorder="1" applyAlignment="1">
      <alignment horizontal="center"/>
    </xf>
    <xf numFmtId="0" fontId="6" fillId="8" borderId="44" xfId="0" applyFont="1" applyFill="1" applyBorder="1" applyAlignment="1">
      <alignment horizontal="center"/>
    </xf>
    <xf numFmtId="0" fontId="0" fillId="0" borderId="15" xfId="0" applyBorder="1" applyAlignment="1">
      <alignment horizontal="left"/>
    </xf>
    <xf numFmtId="0" fontId="2" fillId="14" borderId="42" xfId="0" applyFont="1" applyFill="1" applyBorder="1"/>
    <xf numFmtId="0" fontId="0" fillId="8" borderId="9" xfId="0" applyFill="1" applyBorder="1"/>
    <xf numFmtId="0" fontId="5" fillId="0" borderId="15" xfId="0" applyFont="1" applyBorder="1"/>
    <xf numFmtId="0" fontId="5" fillId="0" borderId="7" xfId="0" applyFont="1" applyBorder="1" applyAlignment="1">
      <alignment horizontal="center"/>
    </xf>
    <xf numFmtId="0" fontId="0" fillId="0" borderId="29" xfId="0" applyBorder="1" applyAlignment="1">
      <alignment horizontal="left"/>
    </xf>
    <xf numFmtId="0" fontId="5" fillId="0" borderId="11" xfId="0" applyFont="1" applyBorder="1" applyAlignment="1">
      <alignment horizontal="center"/>
    </xf>
    <xf numFmtId="0" fontId="17" fillId="0" borderId="7" xfId="1" applyBorder="1" applyAlignment="1">
      <alignment horizontal="left"/>
    </xf>
    <xf numFmtId="0" fontId="5" fillId="0" borderId="15" xfId="0" applyFont="1" applyBorder="1" applyAlignment="1">
      <alignment horizontal="left"/>
    </xf>
    <xf numFmtId="11" fontId="5" fillId="0" borderId="0" xfId="0" applyNumberFormat="1" applyFont="1"/>
    <xf numFmtId="0" fontId="5" fillId="0" borderId="7" xfId="0" applyFont="1" applyBorder="1" applyAlignment="1">
      <alignment horizontal="left"/>
    </xf>
    <xf numFmtId="0" fontId="5" fillId="0" borderId="29" xfId="0" applyFont="1" applyBorder="1" applyAlignment="1">
      <alignment horizontal="left"/>
    </xf>
    <xf numFmtId="11" fontId="5" fillId="0" borderId="17" xfId="0" applyNumberFormat="1" applyFont="1" applyBorder="1" applyAlignment="1">
      <alignment horizontal="center"/>
    </xf>
    <xf numFmtId="0" fontId="5" fillId="0" borderId="17" xfId="0" applyFont="1" applyBorder="1"/>
    <xf numFmtId="0" fontId="5" fillId="0" borderId="11" xfId="0" applyFont="1" applyBorder="1" applyAlignment="1">
      <alignment horizontal="left"/>
    </xf>
    <xf numFmtId="0" fontId="13" fillId="0" borderId="7" xfId="0" applyFont="1" applyBorder="1" applyAlignment="1">
      <alignment horizontal="center"/>
    </xf>
    <xf numFmtId="0" fontId="2" fillId="5" borderId="0" xfId="0" applyFont="1" applyFill="1"/>
    <xf numFmtId="164" fontId="2" fillId="5" borderId="0" xfId="0" applyNumberFormat="1" applyFont="1" applyFill="1" applyAlignment="1">
      <alignment horizontal="center"/>
    </xf>
    <xf numFmtId="0" fontId="2" fillId="4" borderId="19" xfId="0" applyFont="1" applyFill="1" applyBorder="1" applyAlignment="1">
      <alignment horizontal="center"/>
    </xf>
    <xf numFmtId="0" fontId="2" fillId="4" borderId="9" xfId="0" applyFont="1" applyFill="1" applyBorder="1" applyAlignment="1">
      <alignment horizontal="center"/>
    </xf>
    <xf numFmtId="0" fontId="6" fillId="4" borderId="9" xfId="0" applyFont="1" applyFill="1" applyBorder="1" applyAlignment="1">
      <alignment horizontal="center"/>
    </xf>
    <xf numFmtId="0" fontId="5" fillId="0" borderId="7" xfId="0" applyFont="1" applyBorder="1"/>
    <xf numFmtId="0" fontId="5" fillId="0" borderId="29" xfId="0" applyFont="1" applyBorder="1"/>
    <xf numFmtId="0" fontId="0" fillId="0" borderId="0" xfId="0" quotePrefix="1" applyAlignment="1">
      <alignment horizontal="center"/>
    </xf>
    <xf numFmtId="0" fontId="5" fillId="0" borderId="11" xfId="0" applyFont="1" applyBorder="1"/>
    <xf numFmtId="0" fontId="2" fillId="0" borderId="7" xfId="0" applyFont="1" applyBorder="1"/>
    <xf numFmtId="0" fontId="2" fillId="2" borderId="49" xfId="0" applyFont="1" applyFill="1" applyBorder="1" applyAlignment="1">
      <alignment horizontal="center"/>
    </xf>
    <xf numFmtId="0" fontId="8" fillId="15" borderId="18" xfId="0" applyFont="1" applyFill="1" applyBorder="1"/>
    <xf numFmtId="0" fontId="8" fillId="15" borderId="2" xfId="0" applyFont="1" applyFill="1" applyBorder="1"/>
    <xf numFmtId="0" fontId="8" fillId="15" borderId="3" xfId="0" applyFont="1" applyFill="1" applyBorder="1"/>
    <xf numFmtId="0" fontId="8" fillId="15" borderId="32" xfId="0" applyFont="1" applyFill="1" applyBorder="1" applyAlignment="1">
      <alignment horizontal="center"/>
    </xf>
    <xf numFmtId="0" fontId="8" fillId="15" borderId="6" xfId="0" applyFont="1" applyFill="1" applyBorder="1" applyAlignment="1">
      <alignment horizontal="center"/>
    </xf>
    <xf numFmtId="0" fontId="8" fillId="15" borderId="35" xfId="0" applyFont="1" applyFill="1" applyBorder="1" applyAlignment="1">
      <alignment horizontal="center"/>
    </xf>
    <xf numFmtId="0" fontId="8" fillId="15" borderId="18" xfId="0" applyFont="1" applyFill="1" applyBorder="1" applyAlignment="1">
      <alignment horizontal="center"/>
    </xf>
    <xf numFmtId="0" fontId="8" fillId="15" borderId="2" xfId="0" applyFont="1" applyFill="1" applyBorder="1" applyAlignment="1">
      <alignment horizontal="center"/>
    </xf>
    <xf numFmtId="0" fontId="8" fillId="15" borderId="2" xfId="0" applyFont="1" applyFill="1" applyBorder="1" applyAlignment="1">
      <alignment horizontal="center" wrapText="1"/>
    </xf>
    <xf numFmtId="0" fontId="0" fillId="0" borderId="29" xfId="0" applyBorder="1" applyAlignment="1">
      <alignment horizontal="center"/>
    </xf>
    <xf numFmtId="0" fontId="12" fillId="0" borderId="0" xfId="0" applyFont="1" applyAlignment="1">
      <alignment horizontal="center"/>
    </xf>
    <xf numFmtId="2" fontId="0" fillId="0" borderId="11" xfId="0" applyNumberFormat="1" applyBorder="1" applyAlignment="1">
      <alignment horizontal="center"/>
    </xf>
    <xf numFmtId="0" fontId="6" fillId="4" borderId="9" xfId="0" applyFont="1" applyFill="1" applyBorder="1"/>
    <xf numFmtId="0" fontId="2" fillId="0" borderId="33" xfId="0" applyFont="1" applyBorder="1" applyAlignment="1">
      <alignment horizontal="center"/>
    </xf>
    <xf numFmtId="0" fontId="8" fillId="15" borderId="3" xfId="0" applyFont="1" applyFill="1" applyBorder="1" applyAlignment="1">
      <alignment horizontal="center" wrapText="1"/>
    </xf>
    <xf numFmtId="0" fontId="2" fillId="0" borderId="16" xfId="0" applyFont="1" applyBorder="1" applyAlignment="1">
      <alignment horizontal="center"/>
    </xf>
    <xf numFmtId="0" fontId="0" fillId="3" borderId="26" xfId="0" applyFill="1" applyBorder="1"/>
    <xf numFmtId="0" fontId="0" fillId="3" borderId="11" xfId="0" applyFill="1" applyBorder="1"/>
    <xf numFmtId="11" fontId="0" fillId="17" borderId="0" xfId="0" applyNumberFormat="1" applyFill="1" applyAlignment="1">
      <alignment horizontal="center"/>
    </xf>
    <xf numFmtId="0" fontId="0" fillId="14" borderId="51" xfId="0" applyFill="1" applyBorder="1"/>
    <xf numFmtId="0" fontId="0" fillId="3" borderId="53" xfId="0" applyFill="1" applyBorder="1" applyAlignment="1">
      <alignment horizontal="center"/>
    </xf>
    <xf numFmtId="0" fontId="0" fillId="3" borderId="53" xfId="0" applyFill="1" applyBorder="1"/>
    <xf numFmtId="11" fontId="0" fillId="0" borderId="53" xfId="0" applyNumberFormat="1" applyBorder="1"/>
    <xf numFmtId="0" fontId="5" fillId="3" borderId="21" xfId="0" applyFont="1" applyFill="1" applyBorder="1" applyAlignment="1">
      <alignment horizontal="center"/>
    </xf>
    <xf numFmtId="0" fontId="0" fillId="3" borderId="54" xfId="0" applyFill="1" applyBorder="1"/>
    <xf numFmtId="0" fontId="2" fillId="8" borderId="50" xfId="0" applyFont="1" applyFill="1" applyBorder="1" applyAlignment="1">
      <alignment horizontal="center"/>
    </xf>
    <xf numFmtId="164" fontId="5" fillId="0" borderId="0" xfId="0" applyNumberFormat="1" applyFont="1" applyAlignment="1">
      <alignment horizontal="center" vertical="center" wrapText="1"/>
    </xf>
    <xf numFmtId="0" fontId="0" fillId="14" borderId="52" xfId="0" applyFill="1" applyBorder="1"/>
    <xf numFmtId="0" fontId="0" fillId="0" borderId="53" xfId="0" applyBorder="1"/>
    <xf numFmtId="164" fontId="5" fillId="17" borderId="0" xfId="0" applyNumberFormat="1" applyFont="1" applyFill="1" applyAlignment="1">
      <alignment horizontal="center" vertical="center" wrapText="1"/>
    </xf>
    <xf numFmtId="11" fontId="0" fillId="3" borderId="0" xfId="0" applyNumberFormat="1" applyFill="1"/>
    <xf numFmtId="11" fontId="0" fillId="3" borderId="17" xfId="0" applyNumberFormat="1" applyFill="1" applyBorder="1"/>
    <xf numFmtId="0" fontId="2" fillId="8" borderId="24" xfId="0" applyFont="1" applyFill="1" applyBorder="1" applyAlignment="1">
      <alignment horizontal="center" vertical="center"/>
    </xf>
    <xf numFmtId="0" fontId="2" fillId="8" borderId="17" xfId="0" applyFont="1" applyFill="1" applyBorder="1" applyAlignment="1">
      <alignment horizontal="center" vertical="center"/>
    </xf>
    <xf numFmtId="0" fontId="0" fillId="14" borderId="26" xfId="0" applyFill="1" applyBorder="1"/>
    <xf numFmtId="11" fontId="0" fillId="0" borderId="7" xfId="0" applyNumberFormat="1" applyBorder="1"/>
    <xf numFmtId="165" fontId="0" fillId="0" borderId="7" xfId="0" applyNumberFormat="1" applyBorder="1" applyAlignment="1">
      <alignment horizontal="center"/>
    </xf>
    <xf numFmtId="165" fontId="5" fillId="0" borderId="7" xfId="0" applyNumberFormat="1" applyFont="1" applyBorder="1" applyAlignment="1">
      <alignment horizontal="center"/>
    </xf>
    <xf numFmtId="165" fontId="5" fillId="0" borderId="22" xfId="0" applyNumberFormat="1" applyFont="1" applyBorder="1" applyAlignment="1">
      <alignment horizontal="center"/>
    </xf>
    <xf numFmtId="165" fontId="2" fillId="0" borderId="11" xfId="0" applyNumberFormat="1" applyFont="1" applyBorder="1" applyAlignment="1">
      <alignment horizontal="center"/>
    </xf>
    <xf numFmtId="165" fontId="0" fillId="0" borderId="22" xfId="0" applyNumberFormat="1" applyBorder="1" applyAlignment="1">
      <alignment horizontal="center"/>
    </xf>
    <xf numFmtId="11" fontId="5" fillId="17" borderId="0" xfId="0" applyNumberFormat="1" applyFont="1" applyFill="1" applyAlignment="1">
      <alignment horizontal="center"/>
    </xf>
    <xf numFmtId="0" fontId="0" fillId="0" borderId="38" xfId="0" applyBorder="1"/>
    <xf numFmtId="0" fontId="2" fillId="19" borderId="56" xfId="0" applyFont="1" applyFill="1" applyBorder="1" applyAlignment="1">
      <alignment horizontal="center" vertical="center"/>
    </xf>
    <xf numFmtId="0" fontId="2" fillId="19" borderId="17" xfId="0" applyFont="1" applyFill="1" applyBorder="1" applyAlignment="1">
      <alignment horizontal="center"/>
    </xf>
    <xf numFmtId="0" fontId="2" fillId="19" borderId="11" xfId="0" applyFont="1" applyFill="1" applyBorder="1" applyAlignment="1">
      <alignment horizontal="center"/>
    </xf>
    <xf numFmtId="11" fontId="0" fillId="0" borderId="38" xfId="0" applyNumberFormat="1" applyBorder="1"/>
    <xf numFmtId="0" fontId="2" fillId="19" borderId="17" xfId="0" applyFont="1" applyFill="1" applyBorder="1" applyAlignment="1">
      <alignment horizontal="center" vertical="center"/>
    </xf>
    <xf numFmtId="0" fontId="0" fillId="0" borderId="56" xfId="0" applyBorder="1"/>
    <xf numFmtId="11" fontId="0" fillId="0" borderId="17" xfId="0" applyNumberFormat="1" applyBorder="1"/>
    <xf numFmtId="0" fontId="2" fillId="12" borderId="18" xfId="0" applyFont="1" applyFill="1" applyBorder="1"/>
    <xf numFmtId="0" fontId="0" fillId="0" borderId="0" xfId="0" applyAlignment="1">
      <alignment vertical="center"/>
    </xf>
    <xf numFmtId="0" fontId="17" fillId="0" borderId="0" xfId="1"/>
    <xf numFmtId="2" fontId="0" fillId="0" borderId="34" xfId="0" applyNumberFormat="1" applyBorder="1" applyAlignment="1">
      <alignment horizontal="center"/>
    </xf>
    <xf numFmtId="2" fontId="0" fillId="3" borderId="30" xfId="0" applyNumberFormat="1" applyFill="1" applyBorder="1" applyAlignment="1">
      <alignment horizontal="center"/>
    </xf>
    <xf numFmtId="2" fontId="0" fillId="17" borderId="30" xfId="0" applyNumberFormat="1" applyFill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17" borderId="0" xfId="0" applyNumberFormat="1" applyFill="1" applyAlignment="1">
      <alignment horizontal="center"/>
    </xf>
    <xf numFmtId="2" fontId="0" fillId="3" borderId="15" xfId="0" applyNumberFormat="1" applyFill="1" applyBorder="1" applyAlignment="1">
      <alignment horizontal="center"/>
    </xf>
    <xf numFmtId="2" fontId="0" fillId="17" borderId="15" xfId="0" applyNumberFormat="1" applyFill="1" applyBorder="1" applyAlignment="1">
      <alignment horizontal="center"/>
    </xf>
    <xf numFmtId="2" fontId="0" fillId="3" borderId="29" xfId="0" applyNumberFormat="1" applyFill="1" applyBorder="1" applyAlignment="1">
      <alignment horizontal="center"/>
    </xf>
    <xf numFmtId="2" fontId="0" fillId="3" borderId="17" xfId="0" applyNumberFormat="1" applyFill="1" applyBorder="1" applyAlignment="1">
      <alignment horizontal="center"/>
    </xf>
    <xf numFmtId="0" fontId="0" fillId="20" borderId="2" xfId="0" applyFill="1" applyBorder="1"/>
    <xf numFmtId="0" fontId="0" fillId="20" borderId="3" xfId="0" applyFill="1" applyBorder="1"/>
    <xf numFmtId="0" fontId="2" fillId="20" borderId="42" xfId="0" applyFont="1" applyFill="1" applyBorder="1" applyAlignment="1">
      <alignment horizontal="left"/>
    </xf>
    <xf numFmtId="0" fontId="0" fillId="20" borderId="13" xfId="0" applyFill="1" applyBorder="1" applyAlignment="1">
      <alignment horizontal="left"/>
    </xf>
    <xf numFmtId="0" fontId="0" fillId="20" borderId="14" xfId="0" applyFill="1" applyBorder="1" applyAlignment="1">
      <alignment horizontal="left"/>
    </xf>
    <xf numFmtId="0" fontId="2" fillId="20" borderId="13" xfId="0" applyFont="1" applyFill="1" applyBorder="1" applyAlignment="1">
      <alignment horizontal="left"/>
    </xf>
    <xf numFmtId="0" fontId="0" fillId="20" borderId="13" xfId="0" applyFill="1" applyBorder="1"/>
    <xf numFmtId="0" fontId="0" fillId="20" borderId="14" xfId="0" applyFill="1" applyBorder="1"/>
    <xf numFmtId="0" fontId="18" fillId="20" borderId="13" xfId="0" applyFont="1" applyFill="1" applyBorder="1" applyAlignment="1">
      <alignment horizontal="left"/>
    </xf>
    <xf numFmtId="0" fontId="19" fillId="20" borderId="13" xfId="0" applyFont="1" applyFill="1" applyBorder="1"/>
    <xf numFmtId="0" fontId="19" fillId="20" borderId="14" xfId="0" applyFont="1" applyFill="1" applyBorder="1"/>
    <xf numFmtId="0" fontId="12" fillId="20" borderId="42" xfId="0" applyFont="1" applyFill="1" applyBorder="1" applyAlignment="1">
      <alignment horizontal="left"/>
    </xf>
    <xf numFmtId="0" fontId="8" fillId="20" borderId="42" xfId="0" applyFont="1" applyFill="1" applyBorder="1" applyAlignment="1">
      <alignment horizontal="left"/>
    </xf>
    <xf numFmtId="0" fontId="0" fillId="20" borderId="13" xfId="0" applyFill="1" applyBorder="1" applyAlignment="1">
      <alignment horizontal="center"/>
    </xf>
    <xf numFmtId="0" fontId="0" fillId="20" borderId="52" xfId="0" applyFill="1" applyBorder="1"/>
    <xf numFmtId="0" fontId="12" fillId="20" borderId="42" xfId="0" applyFont="1" applyFill="1" applyBorder="1"/>
    <xf numFmtId="0" fontId="2" fillId="21" borderId="29" xfId="0" applyFont="1" applyFill="1" applyBorder="1" applyAlignment="1">
      <alignment horizontal="center"/>
    </xf>
    <xf numFmtId="0" fontId="2" fillId="21" borderId="17" xfId="0" applyFont="1" applyFill="1" applyBorder="1" applyAlignment="1">
      <alignment horizontal="center"/>
    </xf>
    <xf numFmtId="0" fontId="2" fillId="21" borderId="11" xfId="0" applyFont="1" applyFill="1" applyBorder="1" applyAlignment="1">
      <alignment horizontal="center"/>
    </xf>
    <xf numFmtId="0" fontId="2" fillId="21" borderId="4" xfId="0" applyFont="1" applyFill="1" applyBorder="1"/>
    <xf numFmtId="0" fontId="2" fillId="21" borderId="43" xfId="0" applyFont="1" applyFill="1" applyBorder="1" applyAlignment="1">
      <alignment horizontal="center"/>
    </xf>
    <xf numFmtId="0" fontId="2" fillId="21" borderId="39" xfId="0" applyFont="1" applyFill="1" applyBorder="1" applyAlignment="1">
      <alignment horizontal="center"/>
    </xf>
    <xf numFmtId="0" fontId="2" fillId="21" borderId="44" xfId="0" applyFont="1" applyFill="1" applyBorder="1" applyAlignment="1">
      <alignment horizontal="center"/>
    </xf>
    <xf numFmtId="0" fontId="12" fillId="22" borderId="29" xfId="0" applyFont="1" applyFill="1" applyBorder="1" applyAlignment="1">
      <alignment horizontal="center"/>
    </xf>
    <xf numFmtId="0" fontId="12" fillId="22" borderId="17" xfId="0" applyFont="1" applyFill="1" applyBorder="1" applyAlignment="1">
      <alignment horizontal="center"/>
    </xf>
    <xf numFmtId="0" fontId="8" fillId="22" borderId="17" xfId="0" applyFont="1" applyFill="1" applyBorder="1" applyAlignment="1">
      <alignment horizontal="center"/>
    </xf>
    <xf numFmtId="0" fontId="9" fillId="22" borderId="11" xfId="0" applyFont="1" applyFill="1" applyBorder="1" applyAlignment="1">
      <alignment horizontal="center"/>
    </xf>
    <xf numFmtId="0" fontId="2" fillId="21" borderId="55" xfId="0" applyFont="1" applyFill="1" applyBorder="1" applyAlignment="1">
      <alignment horizontal="center"/>
    </xf>
    <xf numFmtId="0" fontId="9" fillId="22" borderId="29" xfId="0" applyFont="1" applyFill="1" applyBorder="1" applyAlignment="1">
      <alignment horizontal="center"/>
    </xf>
    <xf numFmtId="0" fontId="2" fillId="21" borderId="17" xfId="0" applyFont="1" applyFill="1" applyBorder="1" applyAlignment="1">
      <alignment horizontal="center" vertical="center"/>
    </xf>
    <xf numFmtId="0" fontId="2" fillId="21" borderId="11" xfId="0" applyFont="1" applyFill="1" applyBorder="1" applyAlignment="1">
      <alignment horizontal="center" vertical="center"/>
    </xf>
    <xf numFmtId="0" fontId="2" fillId="21" borderId="18" xfId="0" applyFont="1" applyFill="1" applyBorder="1" applyAlignment="1">
      <alignment horizontal="center"/>
    </xf>
    <xf numFmtId="0" fontId="2" fillId="21" borderId="3" xfId="0" applyFont="1" applyFill="1" applyBorder="1" applyAlignment="1">
      <alignment horizontal="center"/>
    </xf>
    <xf numFmtId="0" fontId="2" fillId="18" borderId="42" xfId="0" applyFont="1" applyFill="1" applyBorder="1"/>
    <xf numFmtId="0" fontId="0" fillId="18" borderId="14" xfId="0" applyFill="1" applyBorder="1"/>
    <xf numFmtId="0" fontId="2" fillId="19" borderId="29" xfId="0" applyFont="1" applyFill="1" applyBorder="1" applyAlignment="1">
      <alignment horizontal="center"/>
    </xf>
    <xf numFmtId="0" fontId="0" fillId="7" borderId="1" xfId="0" applyFill="1" applyBorder="1"/>
    <xf numFmtId="0" fontId="0" fillId="20" borderId="19" xfId="0" applyFill="1" applyBorder="1"/>
    <xf numFmtId="0" fontId="2" fillId="20" borderId="30" xfId="0" applyFont="1" applyFill="1" applyBorder="1" applyAlignment="1">
      <alignment horizontal="center"/>
    </xf>
    <xf numFmtId="0" fontId="2" fillId="20" borderId="26" xfId="0" applyFont="1" applyFill="1" applyBorder="1" applyAlignment="1">
      <alignment horizontal="center"/>
    </xf>
    <xf numFmtId="0" fontId="2" fillId="20" borderId="4" xfId="0" applyFont="1" applyFill="1" applyBorder="1" applyAlignment="1">
      <alignment horizontal="center"/>
    </xf>
    <xf numFmtId="0" fontId="0" fillId="20" borderId="26" xfId="0" applyFill="1" applyBorder="1"/>
    <xf numFmtId="0" fontId="8" fillId="20" borderId="42" xfId="0" applyFont="1" applyFill="1" applyBorder="1"/>
    <xf numFmtId="0" fontId="8" fillId="22" borderId="29" xfId="0" applyFont="1" applyFill="1" applyBorder="1" applyAlignment="1">
      <alignment horizontal="center"/>
    </xf>
    <xf numFmtId="0" fontId="8" fillId="22" borderId="17" xfId="0" applyFont="1" applyFill="1" applyBorder="1" applyAlignment="1">
      <alignment horizontal="center" vertical="center"/>
    </xf>
    <xf numFmtId="0" fontId="8" fillId="22" borderId="11" xfId="0" applyFont="1" applyFill="1" applyBorder="1" applyAlignment="1">
      <alignment horizontal="center"/>
    </xf>
    <xf numFmtId="0" fontId="0" fillId="21" borderId="17" xfId="0" applyFill="1" applyBorder="1" applyAlignment="1">
      <alignment horizontal="center"/>
    </xf>
    <xf numFmtId="0" fontId="12" fillId="22" borderId="0" xfId="0" applyFont="1" applyFill="1" applyAlignment="1">
      <alignment horizontal="center"/>
    </xf>
    <xf numFmtId="0" fontId="2" fillId="21" borderId="0" xfId="0" applyFont="1" applyFill="1" applyAlignment="1">
      <alignment horizontal="center"/>
    </xf>
    <xf numFmtId="0" fontId="2" fillId="21" borderId="0" xfId="0" applyFont="1" applyFill="1" applyAlignment="1">
      <alignment horizontal="center" vertical="center"/>
    </xf>
    <xf numFmtId="0" fontId="9" fillId="22" borderId="7" xfId="0" applyFont="1" applyFill="1" applyBorder="1" applyAlignment="1">
      <alignment horizontal="center"/>
    </xf>
    <xf numFmtId="0" fontId="2" fillId="18" borderId="42" xfId="0" applyFont="1" applyFill="1" applyBorder="1" applyAlignment="1">
      <alignment horizontal="center"/>
    </xf>
    <xf numFmtId="0" fontId="0" fillId="18" borderId="13" xfId="0" applyFill="1" applyBorder="1"/>
    <xf numFmtId="0" fontId="0" fillId="19" borderId="58" xfId="0" applyFill="1" applyBorder="1"/>
    <xf numFmtId="0" fontId="2" fillId="19" borderId="9" xfId="0" applyFont="1" applyFill="1" applyBorder="1"/>
    <xf numFmtId="0" fontId="12" fillId="22" borderId="18" xfId="0" applyFont="1" applyFill="1" applyBorder="1" applyAlignment="1">
      <alignment horizontal="center"/>
    </xf>
    <xf numFmtId="0" fontId="12" fillId="22" borderId="30" xfId="0" applyFont="1" applyFill="1" applyBorder="1" applyAlignment="1">
      <alignment horizontal="center"/>
    </xf>
    <xf numFmtId="0" fontId="12" fillId="22" borderId="2" xfId="0" applyFont="1" applyFill="1" applyBorder="1" applyAlignment="1">
      <alignment horizontal="center"/>
    </xf>
    <xf numFmtId="0" fontId="12" fillId="22" borderId="3" xfId="0" applyFont="1" applyFill="1" applyBorder="1" applyAlignment="1">
      <alignment horizontal="center"/>
    </xf>
    <xf numFmtId="0" fontId="2" fillId="10" borderId="9" xfId="0" applyFont="1" applyFill="1" applyBorder="1" applyAlignment="1">
      <alignment horizontal="center"/>
    </xf>
    <xf numFmtId="0" fontId="15" fillId="20" borderId="13" xfId="0" applyFont="1" applyFill="1" applyBorder="1"/>
    <xf numFmtId="164" fontId="0" fillId="17" borderId="0" xfId="0" applyNumberFormat="1" applyFill="1" applyAlignment="1">
      <alignment horizontal="center"/>
    </xf>
    <xf numFmtId="0" fontId="12" fillId="22" borderId="9" xfId="0" applyFont="1" applyFill="1" applyBorder="1" applyAlignment="1">
      <alignment horizontal="center"/>
    </xf>
    <xf numFmtId="0" fontId="8" fillId="22" borderId="12" xfId="0" applyFont="1" applyFill="1" applyBorder="1" applyAlignment="1">
      <alignment horizontal="center"/>
    </xf>
    <xf numFmtId="0" fontId="2" fillId="20" borderId="42" xfId="0" applyFont="1" applyFill="1" applyBorder="1"/>
    <xf numFmtId="0" fontId="2" fillId="20" borderId="13" xfId="0" applyFont="1" applyFill="1" applyBorder="1"/>
    <xf numFmtId="0" fontId="2" fillId="21" borderId="9" xfId="0" applyFont="1" applyFill="1" applyBorder="1" applyAlignment="1">
      <alignment horizontal="center"/>
    </xf>
    <xf numFmtId="0" fontId="2" fillId="21" borderId="59" xfId="0" applyFont="1" applyFill="1" applyBorder="1" applyAlignment="1">
      <alignment horizontal="center"/>
    </xf>
    <xf numFmtId="0" fontId="2" fillId="21" borderId="27" xfId="0" applyFont="1" applyFill="1" applyBorder="1" applyAlignment="1">
      <alignment horizontal="center"/>
    </xf>
    <xf numFmtId="0" fontId="2" fillId="21" borderId="56" xfId="0" applyFont="1" applyFill="1" applyBorder="1" applyAlignment="1">
      <alignment horizontal="center"/>
    </xf>
    <xf numFmtId="0" fontId="2" fillId="21" borderId="41" xfId="0" applyFont="1" applyFill="1" applyBorder="1" applyAlignment="1">
      <alignment horizontal="center"/>
    </xf>
    <xf numFmtId="0" fontId="0" fillId="0" borderId="38" xfId="0" applyBorder="1" applyAlignment="1">
      <alignment horizontal="left"/>
    </xf>
    <xf numFmtId="0" fontId="12" fillId="22" borderId="43" xfId="0" applyFont="1" applyFill="1" applyBorder="1" applyAlignment="1">
      <alignment horizontal="center"/>
    </xf>
    <xf numFmtId="11" fontId="0" fillId="0" borderId="60" xfId="0" applyNumberFormat="1" applyBorder="1"/>
    <xf numFmtId="0" fontId="0" fillId="0" borderId="48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61" xfId="0" applyBorder="1"/>
    <xf numFmtId="0" fontId="0" fillId="0" borderId="60" xfId="0" applyBorder="1"/>
    <xf numFmtId="11" fontId="0" fillId="0" borderId="34" xfId="0" applyNumberFormat="1" applyBorder="1" applyAlignment="1">
      <alignment horizontal="center"/>
    </xf>
    <xf numFmtId="0" fontId="0" fillId="0" borderId="61" xfId="0" applyBorder="1" applyAlignment="1">
      <alignment horizontal="center"/>
    </xf>
    <xf numFmtId="11" fontId="0" fillId="0" borderId="15" xfId="0" applyNumberFormat="1" applyBorder="1" applyAlignment="1">
      <alignment horizontal="center"/>
    </xf>
    <xf numFmtId="0" fontId="0" fillId="0" borderId="53" xfId="0" applyBorder="1" applyAlignment="1">
      <alignment horizontal="center"/>
    </xf>
    <xf numFmtId="11" fontId="0" fillId="0" borderId="53" xfId="0" applyNumberFormat="1" applyBorder="1" applyAlignment="1">
      <alignment horizontal="center"/>
    </xf>
    <xf numFmtId="11" fontId="0" fillId="0" borderId="29" xfId="0" applyNumberFormat="1" applyBorder="1" applyAlignment="1">
      <alignment horizontal="center"/>
    </xf>
    <xf numFmtId="0" fontId="0" fillId="0" borderId="59" xfId="0" applyBorder="1" applyAlignment="1">
      <alignment horizontal="center"/>
    </xf>
    <xf numFmtId="0" fontId="0" fillId="0" borderId="59" xfId="0" applyBorder="1"/>
    <xf numFmtId="11" fontId="0" fillId="0" borderId="60" xfId="0" applyNumberFormat="1" applyBorder="1" applyAlignment="1">
      <alignment horizontal="center"/>
    </xf>
    <xf numFmtId="0" fontId="0" fillId="0" borderId="60" xfId="0" applyBorder="1" applyAlignment="1">
      <alignment horizontal="center"/>
    </xf>
    <xf numFmtId="11" fontId="0" fillId="0" borderId="38" xfId="0" applyNumberFormat="1" applyBorder="1" applyAlignment="1">
      <alignment horizontal="center"/>
    </xf>
    <xf numFmtId="0" fontId="0" fillId="0" borderId="56" xfId="0" applyBorder="1" applyAlignment="1">
      <alignment horizontal="center"/>
    </xf>
    <xf numFmtId="11" fontId="0" fillId="0" borderId="59" xfId="0" applyNumberFormat="1" applyBorder="1" applyAlignment="1">
      <alignment horizontal="center"/>
    </xf>
    <xf numFmtId="0" fontId="2" fillId="0" borderId="15" xfId="0" applyFont="1" applyBorder="1" applyAlignment="1">
      <alignment horizontal="center"/>
    </xf>
    <xf numFmtId="11" fontId="0" fillId="0" borderId="56" xfId="0" applyNumberFormat="1" applyBorder="1" applyAlignment="1">
      <alignment horizontal="center"/>
    </xf>
    <xf numFmtId="11" fontId="0" fillId="0" borderId="30" xfId="0" applyNumberFormat="1" applyBorder="1" applyAlignment="1">
      <alignment horizontal="center"/>
    </xf>
    <xf numFmtId="11" fontId="0" fillId="0" borderId="56" xfId="0" applyNumberFormat="1" applyBorder="1"/>
    <xf numFmtId="11" fontId="0" fillId="0" borderId="59" xfId="0" applyNumberFormat="1" applyBorder="1"/>
    <xf numFmtId="11" fontId="0" fillId="0" borderId="11" xfId="0" applyNumberFormat="1" applyBorder="1"/>
    <xf numFmtId="164" fontId="0" fillId="0" borderId="53" xfId="0" applyNumberFormat="1" applyBorder="1"/>
    <xf numFmtId="164" fontId="0" fillId="0" borderId="0" xfId="0" applyNumberFormat="1"/>
    <xf numFmtId="164" fontId="0" fillId="0" borderId="59" xfId="0" applyNumberFormat="1" applyBorder="1"/>
    <xf numFmtId="0" fontId="0" fillId="5" borderId="0" xfId="0" applyFill="1" applyAlignment="1">
      <alignment horizontal="center"/>
    </xf>
    <xf numFmtId="0" fontId="0" fillId="0" borderId="0" xfId="0"/>
    <xf numFmtId="0" fontId="2" fillId="8" borderId="31" xfId="0" applyFont="1" applyFill="1" applyBorder="1" applyAlignment="1">
      <alignment horizontal="center"/>
    </xf>
    <xf numFmtId="0" fontId="0" fillId="0" borderId="13" xfId="0" applyBorder="1"/>
    <xf numFmtId="0" fontId="0" fillId="0" borderId="14" xfId="0" applyBorder="1"/>
    <xf numFmtId="0" fontId="2" fillId="4" borderId="9" xfId="0" applyFont="1" applyFill="1" applyBorder="1" applyAlignment="1">
      <alignment horizontal="center" vertical="center"/>
    </xf>
    <xf numFmtId="0" fontId="0" fillId="0" borderId="5" xfId="0" applyBorder="1"/>
    <xf numFmtId="0" fontId="0" fillId="0" borderId="9" xfId="0" applyBorder="1"/>
    <xf numFmtId="0" fontId="10" fillId="6" borderId="0" xfId="0" applyFont="1" applyFill="1"/>
    <xf numFmtId="0" fontId="2" fillId="4" borderId="33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14" borderId="42" xfId="0" applyFont="1" applyFill="1" applyBorder="1" applyAlignment="1">
      <alignment horizontal="left"/>
    </xf>
    <xf numFmtId="11" fontId="0" fillId="0" borderId="7" xfId="0" applyNumberFormat="1" applyBorder="1" applyAlignment="1">
      <alignment horizontal="center" vertical="center"/>
    </xf>
    <xf numFmtId="0" fontId="0" fillId="0" borderId="7" xfId="0" applyBorder="1"/>
    <xf numFmtId="0" fontId="16" fillId="20" borderId="18" xfId="0" applyFont="1" applyFill="1" applyBorder="1" applyAlignment="1">
      <alignment horizontal="left"/>
    </xf>
    <xf numFmtId="0" fontId="0" fillId="20" borderId="2" xfId="0" applyFill="1" applyBorder="1"/>
    <xf numFmtId="0" fontId="2" fillId="8" borderId="47" xfId="0" applyFont="1" applyFill="1" applyBorder="1" applyAlignment="1">
      <alignment horizontal="center"/>
    </xf>
    <xf numFmtId="0" fontId="0" fillId="0" borderId="24" xfId="0" applyBorder="1"/>
    <xf numFmtId="0" fontId="0" fillId="0" borderId="25" xfId="0" applyBorder="1"/>
    <xf numFmtId="11" fontId="0" fillId="0" borderId="15" xfId="0" applyNumberFormat="1" applyBorder="1" applyAlignment="1">
      <alignment horizontal="center" vertical="center" wrapText="1"/>
    </xf>
    <xf numFmtId="0" fontId="0" fillId="0" borderId="15" xfId="0" applyBorder="1"/>
    <xf numFmtId="0" fontId="2" fillId="14" borderId="48" xfId="0" applyFont="1" applyFill="1" applyBorder="1" applyAlignment="1">
      <alignment horizontal="left"/>
    </xf>
    <xf numFmtId="0" fontId="0" fillId="0" borderId="30" xfId="0" applyBorder="1"/>
    <xf numFmtId="0" fontId="0" fillId="0" borderId="26" xfId="0" applyBorder="1"/>
    <xf numFmtId="0" fontId="2" fillId="4" borderId="32" xfId="0" applyFont="1" applyFill="1" applyBorder="1" applyAlignment="1">
      <alignment horizontal="center" vertical="center"/>
    </xf>
    <xf numFmtId="0" fontId="0" fillId="0" borderId="20" xfId="0" applyBorder="1"/>
    <xf numFmtId="0" fontId="2" fillId="4" borderId="1" xfId="0" applyFont="1" applyFill="1" applyBorder="1" applyAlignment="1">
      <alignment horizontal="center" vertical="center"/>
    </xf>
    <xf numFmtId="0" fontId="2" fillId="19" borderId="21" xfId="0" applyFont="1" applyFill="1" applyBorder="1" applyAlignment="1">
      <alignment horizontal="center"/>
    </xf>
    <xf numFmtId="0" fontId="2" fillId="19" borderId="54" xfId="0" applyFont="1" applyFill="1" applyBorder="1" applyAlignment="1">
      <alignment horizontal="center"/>
    </xf>
    <xf numFmtId="0" fontId="2" fillId="19" borderId="57" xfId="0" applyFont="1" applyFill="1" applyBorder="1" applyAlignment="1">
      <alignment horizontal="center"/>
    </xf>
    <xf numFmtId="0" fontId="2" fillId="19" borderId="22" xfId="0" applyFont="1" applyFill="1" applyBorder="1" applyAlignment="1">
      <alignment horizontal="center"/>
    </xf>
    <xf numFmtId="0" fontId="2" fillId="10" borderId="9" xfId="0" applyFont="1" applyFill="1" applyBorder="1" applyAlignment="1">
      <alignment horizontal="center" vertical="center"/>
    </xf>
    <xf numFmtId="0" fontId="2" fillId="4" borderId="20" xfId="0" applyFont="1" applyFill="1" applyBorder="1" applyAlignment="1">
      <alignment horizontal="center" vertical="center"/>
    </xf>
    <xf numFmtId="0" fontId="10" fillId="9" borderId="0" xfId="0" applyFont="1" applyFill="1"/>
    <xf numFmtId="11" fontId="0" fillId="0" borderId="22" xfId="0" applyNumberFormat="1" applyBorder="1" applyAlignment="1">
      <alignment horizontal="center" vertical="center"/>
    </xf>
    <xf numFmtId="0" fontId="0" fillId="0" borderId="22" xfId="0" applyBorder="1"/>
    <xf numFmtId="0" fontId="2" fillId="0" borderId="17" xfId="0" applyFont="1" applyBorder="1" applyAlignment="1">
      <alignment horizontal="center"/>
    </xf>
    <xf numFmtId="0" fontId="0" fillId="0" borderId="17" xfId="0" applyBorder="1"/>
    <xf numFmtId="0" fontId="11" fillId="6" borderId="0" xfId="0" applyFont="1" applyFill="1"/>
    <xf numFmtId="0" fontId="2" fillId="20" borderId="18" xfId="0" applyFont="1" applyFill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B4C6E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ysClr val="windowText" lastClr="000000"/>
                </a:solidFill>
              </a:rPr>
              <a:t>FLOWN Mass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FLOWN!$A$63</c:f>
              <c:strCache>
                <c:ptCount val="1"/>
                <c:pt idx="0">
                  <c:v>Refrigerator/Freezer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FLOWN!$B$62:$E$62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FLOWN!$B$63:$E$63</c:f>
              <c:numCache>
                <c:formatCode>General</c:formatCode>
                <c:ptCount val="4"/>
                <c:pt idx="0">
                  <c:v>412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191-4A2B-BA2F-7434CC4E992B}"/>
            </c:ext>
          </c:extLst>
        </c:ser>
        <c:ser>
          <c:idx val="1"/>
          <c:order val="1"/>
          <c:tx>
            <c:strRef>
              <c:f>FLOWN!$A$64</c:f>
              <c:strCache>
                <c:ptCount val="1"/>
                <c:pt idx="0">
                  <c:v>Injection Pens (packaged)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FLOWN!$B$62:$E$62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FLOWN!$B$64:$E$64</c:f>
              <c:numCache>
                <c:formatCode>0.000</c:formatCode>
                <c:ptCount val="4"/>
                <c:pt idx="1">
                  <c:v>66.816000000000003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191-4A2B-BA2F-7434CC4E992B}"/>
            </c:ext>
          </c:extLst>
        </c:ser>
        <c:ser>
          <c:idx val="2"/>
          <c:order val="2"/>
          <c:tx>
            <c:strRef>
              <c:f>FLOWN!$A$65</c:f>
              <c:strCache>
                <c:ptCount val="1"/>
                <c:pt idx="0">
                  <c:v>Used Injection Pens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FLOWN!$B$62:$E$62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FLOWN!$B$65:$E$65</c:f>
              <c:numCache>
                <c:formatCode>General</c:formatCode>
                <c:ptCount val="4"/>
                <c:pt idx="3" formatCode="0.000">
                  <c:v>26.88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5191-4A2B-BA2F-7434CC4E992B}"/>
            </c:ext>
          </c:extLst>
        </c:ser>
        <c:ser>
          <c:idx val="3"/>
          <c:order val="3"/>
          <c:tx>
            <c:strRef>
              <c:f>FLOWN!$A$66</c:f>
              <c:strCache>
                <c:ptCount val="1"/>
                <c:pt idx="0">
                  <c:v>Waste Packaging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FLOWN!$B$62:$E$62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FLOWN!$B$66:$E$66</c:f>
              <c:numCache>
                <c:formatCode>General</c:formatCode>
                <c:ptCount val="4"/>
                <c:pt idx="3" formatCode="0.000">
                  <c:v>39.936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5191-4A2B-BA2F-7434CC4E99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100"/>
        <c:axId val="312382031"/>
        <c:axId val="312385871"/>
      </c:barChart>
      <c:catAx>
        <c:axId val="312382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2385871"/>
        <c:crosses val="autoZero"/>
        <c:auto val="1"/>
        <c:lblAlgn val="ctr"/>
        <c:lblOffset val="100"/>
        <c:noMultiLvlLbl val="0"/>
      </c:catAx>
      <c:valAx>
        <c:axId val="31238587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kern="1200" baseline="0">
                    <a:solidFill>
                      <a:sysClr val="windowText" lastClr="000000"/>
                    </a:solidFill>
                  </a:rPr>
                  <a:t>Mass (kg/CM/Mission)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" sourceLinked="0"/>
        <c:majorTickMark val="out"/>
        <c:minorTickMark val="none"/>
        <c:tickLblPos val="nextTo"/>
        <c:spPr>
          <a:noFill/>
          <a:ln w="952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2382031"/>
        <c:crosses val="autoZero"/>
        <c:crossBetween val="between"/>
      </c:valAx>
      <c:spPr>
        <a:ln>
          <a:solidFill>
            <a:schemeClr val="tx1"/>
          </a:solidFill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/>
      </a:solidFill>
      <a:round/>
    </a:ln>
    <a:effectLst/>
  </c:spPr>
  <c:txPr>
    <a:bodyPr/>
    <a:lstStyle/>
    <a:p>
      <a:pPr>
        <a:defRPr sz="1000" b="1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chemeClr val="tx1"/>
                </a:solidFill>
              </a:rPr>
              <a:t>FLOWN Volume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FLOWN!$A$63</c:f>
              <c:strCache>
                <c:ptCount val="1"/>
                <c:pt idx="0">
                  <c:v>Refrigerator/Freezer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FLOWN!$F$62:$I$62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FLOWN!$F$63:$I$63</c:f>
              <c:numCache>
                <c:formatCode>General</c:formatCode>
                <c:ptCount val="4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88C-44CC-B575-80F181E638A9}"/>
            </c:ext>
          </c:extLst>
        </c:ser>
        <c:ser>
          <c:idx val="1"/>
          <c:order val="1"/>
          <c:tx>
            <c:strRef>
              <c:f>FLOWN!$A$64</c:f>
              <c:strCache>
                <c:ptCount val="1"/>
                <c:pt idx="0">
                  <c:v>Injection Pens (packaged)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FLOWN!$F$62:$I$62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FLOWN!$F$64:$I$64</c:f>
              <c:numCache>
                <c:formatCode>0.000</c:formatCode>
                <c:ptCount val="4"/>
                <c:pt idx="1">
                  <c:v>0.37755648000000003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88C-44CC-B575-80F181E638A9}"/>
            </c:ext>
          </c:extLst>
        </c:ser>
        <c:ser>
          <c:idx val="2"/>
          <c:order val="2"/>
          <c:tx>
            <c:strRef>
              <c:f>FLOWN!$A$65</c:f>
              <c:strCache>
                <c:ptCount val="1"/>
                <c:pt idx="0">
                  <c:v>Used Injection Pens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FLOWN!$F$62:$I$62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FLOWN!$F$65:$I$65</c:f>
              <c:numCache>
                <c:formatCode>General</c:formatCode>
                <c:ptCount val="4"/>
                <c:pt idx="3" formatCode="0.000">
                  <c:v>2.0136424243200002E-2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88C-44CC-B575-80F181E638A9}"/>
            </c:ext>
          </c:extLst>
        </c:ser>
        <c:ser>
          <c:idx val="3"/>
          <c:order val="3"/>
          <c:tx>
            <c:strRef>
              <c:f>FLOWN!$A$66</c:f>
              <c:strCache>
                <c:ptCount val="1"/>
                <c:pt idx="0">
                  <c:v>Waste Packaging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FLOWN!$F$62:$I$62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FLOWN!$F$66:$I$66</c:f>
              <c:numCache>
                <c:formatCode>General</c:formatCode>
                <c:ptCount val="4"/>
                <c:pt idx="3" formatCode="0.000">
                  <c:v>0.11326738636799999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988C-44CC-B575-80F181E638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100"/>
        <c:axId val="312382031"/>
        <c:axId val="312385871"/>
      </c:barChart>
      <c:catAx>
        <c:axId val="312382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2385871"/>
        <c:crosses val="autoZero"/>
        <c:auto val="1"/>
        <c:lblAlgn val="ctr"/>
        <c:lblOffset val="100"/>
        <c:noMultiLvlLbl val="0"/>
      </c:catAx>
      <c:valAx>
        <c:axId val="31238587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kern="1200" baseline="0">
                    <a:solidFill>
                      <a:schemeClr val="tx1"/>
                    </a:solidFill>
                  </a:rPr>
                  <a:t>Volume (m</a:t>
                </a:r>
                <a:r>
                  <a:rPr lang="en-US" sz="1000" b="1" i="0" u="none" strike="noStrike" kern="1200" baseline="30000">
                    <a:solidFill>
                      <a:schemeClr val="tx1"/>
                    </a:solidFill>
                  </a:rPr>
                  <a:t>3</a:t>
                </a:r>
                <a:r>
                  <a:rPr lang="en-US" sz="1000" b="1" i="0" u="none" strike="noStrike" kern="1200" baseline="0">
                    <a:solidFill>
                      <a:schemeClr val="tx1"/>
                    </a:solidFill>
                  </a:rPr>
                  <a:t>/CM/Mission)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" sourceLinked="0"/>
        <c:majorTickMark val="out"/>
        <c:minorTickMark val="none"/>
        <c:tickLblPos val="nextTo"/>
        <c:spPr>
          <a:noFill/>
          <a:ln w="952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2382031"/>
        <c:crosses val="autoZero"/>
        <c:crossBetween val="between"/>
      </c:valAx>
      <c:spPr>
        <a:ln>
          <a:solidFill>
            <a:schemeClr val="tx1"/>
          </a:solidFill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/>
      </a:solidFill>
      <a:round/>
    </a:ln>
    <a:effectLst/>
  </c:spPr>
  <c:txPr>
    <a:bodyPr/>
    <a:lstStyle/>
    <a:p>
      <a:pPr>
        <a:defRPr sz="1000" b="1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chemeClr val="tx1"/>
                </a:solidFill>
              </a:rPr>
              <a:t>FLOWN Power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FLOWN!$A$63</c:f>
              <c:strCache>
                <c:ptCount val="1"/>
                <c:pt idx="0">
                  <c:v>Refrigerator/Freezer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FLOWN!$J$62:$M$62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FLOWN!$J$63:$M$63</c:f>
              <c:numCache>
                <c:formatCode>General</c:formatCode>
                <c:ptCount val="4"/>
                <c:pt idx="0">
                  <c:v>0.20499999999999999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88C-44CC-B575-80F181E638A9}"/>
            </c:ext>
          </c:extLst>
        </c:ser>
        <c:ser>
          <c:idx val="1"/>
          <c:order val="1"/>
          <c:tx>
            <c:strRef>
              <c:f>FLOWN!$A$64</c:f>
              <c:strCache>
                <c:ptCount val="1"/>
                <c:pt idx="0">
                  <c:v>Injection Pens (packaged)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FLOWN!$J$62:$M$62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FLOWN!$J$64:$M$64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3-988C-44CC-B575-80F181E638A9}"/>
            </c:ext>
          </c:extLst>
        </c:ser>
        <c:ser>
          <c:idx val="2"/>
          <c:order val="2"/>
          <c:tx>
            <c:strRef>
              <c:f>FLOWN!$A$65</c:f>
              <c:strCache>
                <c:ptCount val="1"/>
                <c:pt idx="0">
                  <c:v>Used Injection Pens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FLOWN!$J$62:$M$62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FLOWN!$J$65:$M$65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5-988C-44CC-B575-80F181E638A9}"/>
            </c:ext>
          </c:extLst>
        </c:ser>
        <c:ser>
          <c:idx val="3"/>
          <c:order val="3"/>
          <c:tx>
            <c:strRef>
              <c:f>FLOWN!$A$66</c:f>
              <c:strCache>
                <c:ptCount val="1"/>
                <c:pt idx="0">
                  <c:v>Waste Packaging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FLOWN!$J$62:$M$62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FLOWN!$J$66:$M$66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7-988C-44CC-B575-80F181E638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100"/>
        <c:axId val="312382031"/>
        <c:axId val="312385871"/>
      </c:barChart>
      <c:catAx>
        <c:axId val="312382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2385871"/>
        <c:crosses val="autoZero"/>
        <c:auto val="1"/>
        <c:lblAlgn val="ctr"/>
        <c:lblOffset val="100"/>
        <c:noMultiLvlLbl val="0"/>
      </c:catAx>
      <c:valAx>
        <c:axId val="31238587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kern="1200" baseline="0">
                    <a:solidFill>
                      <a:schemeClr val="tx1"/>
                    </a:solidFill>
                  </a:rPr>
                  <a:t>Power (kW/CM/Mission)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0" sourceLinked="0"/>
        <c:majorTickMark val="out"/>
        <c:minorTickMark val="none"/>
        <c:tickLblPos val="nextTo"/>
        <c:spPr>
          <a:noFill/>
          <a:ln w="952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2382031"/>
        <c:crosses val="autoZero"/>
        <c:crossBetween val="between"/>
      </c:valAx>
      <c:spPr>
        <a:ln>
          <a:solidFill>
            <a:schemeClr val="tx1"/>
          </a:solidFill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/>
      </a:solidFill>
      <a:round/>
    </a:ln>
    <a:effectLst/>
  </c:spPr>
  <c:txPr>
    <a:bodyPr/>
    <a:lstStyle/>
    <a:p>
      <a:pPr>
        <a:defRPr sz="1000" b="1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400"/>
              <a:t>TRANSGENIC</a:t>
            </a:r>
            <a:r>
              <a:rPr lang="en-US" sz="1400" baseline="0"/>
              <a:t> - LETTUCE Mass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'TRANSGENIC-LETTUCE'!$A$87</c:f>
              <c:strCache>
                <c:ptCount val="1"/>
                <c:pt idx="0">
                  <c:v>Harvesting collection container</c:v>
                </c:pt>
              </c:strCache>
            </c:strRef>
          </c:tx>
          <c:spPr>
            <a:solidFill>
              <a:schemeClr val="accent2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'TRANSGENIC-LETTUCE'!$B$86:$E$86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'TRANSGENIC-LETTUCE'!$B$87:$E$87</c:f>
              <c:numCache>
                <c:formatCode>General</c:formatCode>
                <c:ptCount val="4"/>
                <c:pt idx="0" formatCode="0.00E+00">
                  <c:v>4.1476269599999997E-2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A0CC-446E-A2CD-D541C0C6B9D0}"/>
            </c:ext>
          </c:extLst>
        </c:ser>
        <c:ser>
          <c:idx val="1"/>
          <c:order val="1"/>
          <c:tx>
            <c:strRef>
              <c:f>'TRANSGENIC-LETTUCE'!$A$88</c:f>
              <c:strCache>
                <c:ptCount val="1"/>
                <c:pt idx="0">
                  <c:v>Harvesting tools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'TRANSGENIC-LETTUCE'!$B$86:$E$86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'TRANSGENIC-LETTUCE'!$B$88:$E$88</c:f>
              <c:numCache>
                <c:formatCode>General</c:formatCode>
                <c:ptCount val="4"/>
                <c:pt idx="0" formatCode="0.00E+00">
                  <c:v>3.4018333333333338E-2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A0CC-446E-A2CD-D541C0C6B9D0}"/>
            </c:ext>
          </c:extLst>
        </c:ser>
        <c:ser>
          <c:idx val="2"/>
          <c:order val="2"/>
          <c:tx>
            <c:strRef>
              <c:f>'TRANSGENIC-LETTUCE'!$A$89</c:f>
              <c:strCache>
                <c:ptCount val="1"/>
                <c:pt idx="0">
                  <c:v>Refrigerator/Freezer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'TRANSGENIC-LETTUCE'!$B$86:$E$86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'TRANSGENIC-LETTUCE'!$B$89:$E$89</c:f>
              <c:numCache>
                <c:formatCode>General</c:formatCode>
                <c:ptCount val="4"/>
                <c:pt idx="0" formatCode="0.00E+00">
                  <c:v>1.1493125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A0CC-446E-A2CD-D541C0C6B9D0}"/>
            </c:ext>
          </c:extLst>
        </c:ser>
        <c:ser>
          <c:idx val="3"/>
          <c:order val="3"/>
          <c:tx>
            <c:strRef>
              <c:f>'TRANSGENIC-LETTUCE'!$A$90</c:f>
              <c:strCache>
                <c:ptCount val="1"/>
                <c:pt idx="0">
                  <c:v>Lighting panels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'TRANSGENIC-LETTUCE'!$B$86:$E$86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'TRANSGENIC-LETTUCE'!$B$90:$E$90</c:f>
              <c:numCache>
                <c:formatCode>General</c:formatCode>
                <c:ptCount val="4"/>
                <c:pt idx="0" formatCode="0.00E+00">
                  <c:v>1.944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A0CC-446E-A2CD-D541C0C6B9D0}"/>
            </c:ext>
          </c:extLst>
        </c:ser>
        <c:ser>
          <c:idx val="4"/>
          <c:order val="4"/>
          <c:tx>
            <c:strRef>
              <c:f>'TRANSGENIC-LETTUCE'!$A$91</c:f>
              <c:strCache>
                <c:ptCount val="1"/>
                <c:pt idx="0">
                  <c:v>Plant growth chamber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'TRANSGENIC-LETTUCE'!$B$86:$E$86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'TRANSGENIC-LETTUCE'!$B$91:$E$91</c:f>
              <c:numCache>
                <c:formatCode>General</c:formatCode>
                <c:ptCount val="4"/>
                <c:pt idx="0" formatCode="0.00E+00">
                  <c:v>58.499999999999993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A0CC-446E-A2CD-D541C0C6B9D0}"/>
            </c:ext>
          </c:extLst>
        </c:ser>
        <c:ser>
          <c:idx val="5"/>
          <c:order val="5"/>
          <c:tx>
            <c:strRef>
              <c:f>'TRANSGENIC-LETTUCE'!$A$92</c:f>
              <c:strCache>
                <c:ptCount val="1"/>
                <c:pt idx="0">
                  <c:v>Lettuce seeds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'TRANSGENIC-LETTUCE'!$B$86:$E$86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'TRANSGENIC-LETTUCE'!$B$92:$E$92</c:f>
              <c:numCache>
                <c:formatCode>0.00E+00</c:formatCode>
                <c:ptCount val="4"/>
                <c:pt idx="1">
                  <c:v>3.4744000000000002E-4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A0CC-446E-A2CD-D541C0C6B9D0}"/>
            </c:ext>
          </c:extLst>
        </c:ser>
        <c:ser>
          <c:idx val="6"/>
          <c:order val="6"/>
          <c:tx>
            <c:strRef>
              <c:f>'TRANSGENIC-LETTUCE'!$A$93</c:f>
              <c:strCache>
                <c:ptCount val="1"/>
                <c:pt idx="0">
                  <c:v>Water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'TRANSGENIC-LETTUCE'!$B$86:$E$86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'TRANSGENIC-LETTUCE'!$B$93:$E$93</c:f>
              <c:numCache>
                <c:formatCode>0.00E+00</c:formatCode>
                <c:ptCount val="4"/>
                <c:pt idx="1">
                  <c:v>1245.1366666666668</c:v>
                </c:pt>
                <c:pt idx="2">
                  <c:v>1112.8045250000002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A0CC-446E-A2CD-D541C0C6B9D0}"/>
            </c:ext>
          </c:extLst>
        </c:ser>
        <c:ser>
          <c:idx val="7"/>
          <c:order val="7"/>
          <c:tx>
            <c:strRef>
              <c:f>'TRANSGENIC-LETTUCE'!$A$94</c:f>
              <c:strCache>
                <c:ptCount val="1"/>
                <c:pt idx="0">
                  <c:v>Plant nutrients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'TRANSGENIC-LETTUCE'!$B$86:$E$86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'TRANSGENIC-LETTUCE'!$B$94:$E$94</c:f>
              <c:numCache>
                <c:formatCode>0.00E+00</c:formatCode>
                <c:ptCount val="4"/>
                <c:pt idx="1">
                  <c:v>47.79332581333334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A0CC-446E-A2CD-D541C0C6B9D0}"/>
            </c:ext>
          </c:extLst>
        </c:ser>
        <c:ser>
          <c:idx val="8"/>
          <c:order val="8"/>
          <c:tx>
            <c:strRef>
              <c:f>'TRANSGENIC-LETTUCE'!$A$95</c:f>
              <c:strCache>
                <c:ptCount val="1"/>
                <c:pt idx="0">
                  <c:v>Carbon dioxide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'TRANSGENIC-LETTUCE'!$B$86:$E$86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'TRANSGENIC-LETTUCE'!$B$95:$E$95</c:f>
              <c:numCache>
                <c:formatCode>0.00E+00</c:formatCode>
                <c:ptCount val="4"/>
                <c:pt idx="1">
                  <c:v>5.3678333333333326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A0CC-446E-A2CD-D541C0C6B9D0}"/>
            </c:ext>
          </c:extLst>
        </c:ser>
        <c:ser>
          <c:idx val="9"/>
          <c:order val="9"/>
          <c:tx>
            <c:strRef>
              <c:f>'TRANSGENIC-LETTUCE'!$A$96</c:f>
              <c:strCache>
                <c:ptCount val="1"/>
                <c:pt idx="0">
                  <c:v>PTH-Fc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strRef>
              <c:f>'TRANSGENIC-LETTUCE'!$B$86:$E$86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'TRANSGENIC-LETTUCE'!$B$96:$E$96</c:f>
              <c:numCache>
                <c:formatCode>General</c:formatCode>
                <c:ptCount val="4"/>
                <c:pt idx="2" formatCode="0.00E+00">
                  <c:v>4.2999999999999994E-4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A0CC-446E-A2CD-D541C0C6B9D0}"/>
            </c:ext>
          </c:extLst>
        </c:ser>
        <c:ser>
          <c:idx val="10"/>
          <c:order val="10"/>
          <c:tx>
            <c:strRef>
              <c:f>'TRANSGENIC-LETTUCE'!$A$97</c:f>
              <c:strCache>
                <c:ptCount val="1"/>
                <c:pt idx="0">
                  <c:v>Plant biomass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</c:spPr>
          <c:invertIfNegative val="0"/>
          <c:cat>
            <c:strRef>
              <c:f>'TRANSGENIC-LETTUCE'!$B$86:$E$86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'TRANSGENIC-LETTUCE'!$B$97:$E$97</c:f>
              <c:numCache>
                <c:formatCode>General</c:formatCode>
                <c:ptCount val="4"/>
                <c:pt idx="2" formatCode="0.00E+00">
                  <c:v>6.5893916666666694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A0CC-446E-A2CD-D541C0C6B9D0}"/>
            </c:ext>
          </c:extLst>
        </c:ser>
        <c:ser>
          <c:idx val="11"/>
          <c:order val="11"/>
          <c:tx>
            <c:strRef>
              <c:f>'TRANSGENIC-LETTUCE'!$A$98</c:f>
              <c:strCache>
                <c:ptCount val="1"/>
                <c:pt idx="0">
                  <c:v>Calories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'TRANSGENIC-LETTUCE'!$B$86:$E$86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'TRANSGENIC-LETTUCE'!$B$98:$E$98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27-A0CC-446E-A2CD-D541C0C6B9D0}"/>
            </c:ext>
          </c:extLst>
        </c:ser>
        <c:ser>
          <c:idx val="12"/>
          <c:order val="12"/>
          <c:tx>
            <c:strRef>
              <c:f>'TRANSGENIC-LETTUCE'!$A$99</c:f>
              <c:strCache>
                <c:ptCount val="1"/>
                <c:pt idx="0">
                  <c:v>Macronutrients</c:v>
                </c:pt>
              </c:strCache>
            </c:strRef>
          </c:tx>
          <c:spPr>
            <a:solidFill>
              <a:schemeClr val="accent5"/>
            </a:solidFill>
          </c:spPr>
          <c:invertIfNegative val="0"/>
          <c:cat>
            <c:strRef>
              <c:f>'TRANSGENIC-LETTUCE'!$B$86:$E$86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'TRANSGENIC-LETTUCE'!$B$99:$E$99</c:f>
              <c:numCache>
                <c:formatCode>General</c:formatCode>
                <c:ptCount val="4"/>
                <c:pt idx="2" formatCode="0.00E+00">
                  <c:v>3.0442989499999995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9-A0CC-446E-A2CD-D541C0C6B9D0}"/>
            </c:ext>
          </c:extLst>
        </c:ser>
        <c:ser>
          <c:idx val="13"/>
          <c:order val="13"/>
          <c:tx>
            <c:strRef>
              <c:f>'TRANSGENIC-LETTUCE'!$A$100</c:f>
              <c:strCache>
                <c:ptCount val="1"/>
                <c:pt idx="0">
                  <c:v>Micronutrients</c:v>
                </c:pt>
              </c:strCache>
            </c:strRef>
          </c:tx>
          <c:invertIfNegative val="0"/>
          <c:cat>
            <c:strRef>
              <c:f>'TRANSGENIC-LETTUCE'!$B$86:$E$86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'TRANSGENIC-LETTUCE'!$B$100:$E$100</c:f>
              <c:numCache>
                <c:formatCode>General</c:formatCode>
                <c:ptCount val="4"/>
                <c:pt idx="2" formatCode="0.00E+00">
                  <c:v>0.12845986107208329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B-A0CC-446E-A2CD-D541C0C6B9D0}"/>
            </c:ext>
          </c:extLst>
        </c:ser>
        <c:ser>
          <c:idx val="14"/>
          <c:order val="14"/>
          <c:tx>
            <c:strRef>
              <c:f>'TRANSGENIC-LETTUCE'!$A$101</c:f>
              <c:strCache>
                <c:ptCount val="1"/>
                <c:pt idx="0">
                  <c:v>Oxygen</c:v>
                </c:pt>
              </c:strCache>
            </c:strRef>
          </c:tx>
          <c:invertIfNegative val="0"/>
          <c:cat>
            <c:strRef>
              <c:f>'TRANSGENIC-LETTUCE'!$B$86:$E$86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'TRANSGENIC-LETTUCE'!$B$101:$E$101</c:f>
              <c:numCache>
                <c:formatCode>General</c:formatCode>
                <c:ptCount val="4"/>
                <c:pt idx="2" formatCode="0.00E+00">
                  <c:v>3.9029666666666665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D-A0CC-446E-A2CD-D541C0C6B9D0}"/>
            </c:ext>
          </c:extLst>
        </c:ser>
        <c:ser>
          <c:idx val="15"/>
          <c:order val="15"/>
          <c:tx>
            <c:strRef>
              <c:f>'TRANSGENIC-LETTUCE'!$A$102</c:f>
              <c:strCache>
                <c:ptCount val="1"/>
                <c:pt idx="0">
                  <c:v>Biomass Waste</c:v>
                </c:pt>
              </c:strCache>
            </c:strRef>
          </c:tx>
          <c:invertIfNegative val="0"/>
          <c:cat>
            <c:strRef>
              <c:f>'TRANSGENIC-LETTUCE'!$B$86:$E$86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'TRANSGENIC-LETTUCE'!$B$102:$E$102</c:f>
              <c:numCache>
                <c:formatCode>General</c:formatCode>
                <c:ptCount val="4"/>
                <c:pt idx="3" formatCode="0.00E+00">
                  <c:v>3.6621666666666668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F-A0CC-446E-A2CD-D541C0C6B9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100"/>
        <c:axId val="312382031"/>
        <c:axId val="312385871"/>
      </c:barChart>
      <c:catAx>
        <c:axId val="312382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2385871"/>
        <c:crosses val="autoZero"/>
        <c:auto val="1"/>
        <c:lblAlgn val="ctr"/>
        <c:lblOffset val="100"/>
        <c:noMultiLvlLbl val="0"/>
      </c:catAx>
      <c:valAx>
        <c:axId val="31238587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kern="1200" baseline="0">
                    <a:solidFill>
                      <a:sysClr val="windowText" lastClr="000000"/>
                    </a:solidFill>
                  </a:rPr>
                  <a:t>Mass (kg/CM/Mission)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" sourceLinked="0"/>
        <c:majorTickMark val="out"/>
        <c:minorTickMark val="none"/>
        <c:tickLblPos val="nextTo"/>
        <c:spPr>
          <a:noFill/>
          <a:ln w="952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2382031"/>
        <c:crosses val="autoZero"/>
        <c:crossBetween val="between"/>
      </c:valAx>
      <c:spPr>
        <a:ln>
          <a:solidFill>
            <a:schemeClr val="tx1"/>
          </a:solidFill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/>
      </a:solidFill>
      <a:round/>
    </a:ln>
    <a:effectLst/>
  </c:spPr>
  <c:txPr>
    <a:bodyPr/>
    <a:lstStyle/>
    <a:p>
      <a:pPr>
        <a:defRPr sz="1000" b="1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ysClr val="windowText" lastClr="000000"/>
                </a:solidFill>
              </a:rPr>
              <a:t>TRANSGENIC - LETTUCE Volume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'TRANSGENIC-LETTUCE'!$A$87</c:f>
              <c:strCache>
                <c:ptCount val="1"/>
                <c:pt idx="0">
                  <c:v>Harvesting collection container</c:v>
                </c:pt>
              </c:strCache>
            </c:strRef>
          </c:tx>
          <c:spPr>
            <a:solidFill>
              <a:schemeClr val="accent2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'TRANSGENIC-LETTUCE'!$F$86:$I$86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'TRANSGENIC-LETTUCE'!$F$87:$I$87</c:f>
              <c:numCache>
                <c:formatCode>General</c:formatCode>
                <c:ptCount val="4"/>
                <c:pt idx="0" formatCode="0.00E+00">
                  <c:v>2.23757919E-5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24B2-4E57-A3D5-0448A95223CA}"/>
            </c:ext>
          </c:extLst>
        </c:ser>
        <c:ser>
          <c:idx val="1"/>
          <c:order val="1"/>
          <c:tx>
            <c:strRef>
              <c:f>'TRANSGENIC-LETTUCE'!$A$88</c:f>
              <c:strCache>
                <c:ptCount val="1"/>
                <c:pt idx="0">
                  <c:v>Harvesting tools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'TRANSGENIC-LETTUCE'!$F$86:$I$86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'TRANSGENIC-LETTUCE'!$F$88:$I$88</c:f>
              <c:numCache>
                <c:formatCode>General</c:formatCode>
                <c:ptCount val="4"/>
                <c:pt idx="0" formatCode="0.00E+00">
                  <c:v>1.0735999999999999E-4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24B2-4E57-A3D5-0448A95223CA}"/>
            </c:ext>
          </c:extLst>
        </c:ser>
        <c:ser>
          <c:idx val="2"/>
          <c:order val="2"/>
          <c:tx>
            <c:strRef>
              <c:f>'TRANSGENIC-LETTUCE'!$A$89</c:f>
              <c:strCache>
                <c:ptCount val="1"/>
                <c:pt idx="0">
                  <c:v>Refrigerator/Freezer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'TRANSGENIC-LETTUCE'!$F$86:$I$86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'TRANSGENIC-LETTUCE'!$F$89:$I$89</c:f>
              <c:numCache>
                <c:formatCode>General</c:formatCode>
                <c:ptCount val="4"/>
                <c:pt idx="0" formatCode="0.00E+00">
                  <c:v>6.0223975000000003E-3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24B2-4E57-A3D5-0448A95223CA}"/>
            </c:ext>
          </c:extLst>
        </c:ser>
        <c:ser>
          <c:idx val="3"/>
          <c:order val="3"/>
          <c:tx>
            <c:strRef>
              <c:f>'TRANSGENIC-LETTUCE'!$A$90</c:f>
              <c:strCache>
                <c:ptCount val="1"/>
                <c:pt idx="0">
                  <c:v>Lighting panels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'TRANSGENIC-LETTUCE'!$F$86:$I$86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'TRANSGENIC-LETTUCE'!$F$90:$I$90</c:f>
              <c:numCache>
                <c:formatCode>General</c:formatCode>
                <c:ptCount val="4"/>
                <c:pt idx="0" formatCode="0.00E+00">
                  <c:v>7.1999999999999994E-4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24B2-4E57-A3D5-0448A95223CA}"/>
            </c:ext>
          </c:extLst>
        </c:ser>
        <c:ser>
          <c:idx val="4"/>
          <c:order val="4"/>
          <c:tx>
            <c:strRef>
              <c:f>'TRANSGENIC-LETTUCE'!$A$91</c:f>
              <c:strCache>
                <c:ptCount val="1"/>
                <c:pt idx="0">
                  <c:v>Plant growth chamber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'TRANSGENIC-LETTUCE'!$F$86:$I$86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'TRANSGENIC-LETTUCE'!$F$91:$I$91</c:f>
              <c:numCache>
                <c:formatCode>General</c:formatCode>
                <c:ptCount val="4"/>
                <c:pt idx="0" formatCode="0.00E+00">
                  <c:v>0.65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24B2-4E57-A3D5-0448A95223CA}"/>
            </c:ext>
          </c:extLst>
        </c:ser>
        <c:ser>
          <c:idx val="5"/>
          <c:order val="5"/>
          <c:tx>
            <c:strRef>
              <c:f>'TRANSGENIC-LETTUCE'!$A$92</c:f>
              <c:strCache>
                <c:ptCount val="1"/>
                <c:pt idx="0">
                  <c:v>Lettuce seeds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'TRANSGENIC-LETTUCE'!$F$86:$I$86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'TRANSGENIC-LETTUCE'!$F$92:$I$92</c:f>
              <c:numCache>
                <c:formatCode>0.00E+00</c:formatCode>
                <c:ptCount val="4"/>
                <c:pt idx="1">
                  <c:v>1.1979249600000001E-6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24B2-4E57-A3D5-0448A95223CA}"/>
            </c:ext>
          </c:extLst>
        </c:ser>
        <c:ser>
          <c:idx val="6"/>
          <c:order val="6"/>
          <c:tx>
            <c:strRef>
              <c:f>'TRANSGENIC-LETTUCE'!$A$93</c:f>
              <c:strCache>
                <c:ptCount val="1"/>
                <c:pt idx="0">
                  <c:v>Water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'TRANSGENIC-LETTUCE'!$F$86:$I$86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'TRANSGENIC-LETTUCE'!$F$93:$I$93</c:f>
              <c:numCache>
                <c:formatCode>0.00E+00</c:formatCode>
                <c:ptCount val="4"/>
                <c:pt idx="1">
                  <c:v>1.2451366666666668</c:v>
                </c:pt>
                <c:pt idx="2">
                  <c:v>1.1128045250000003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24B2-4E57-A3D5-0448A95223CA}"/>
            </c:ext>
          </c:extLst>
        </c:ser>
        <c:ser>
          <c:idx val="7"/>
          <c:order val="7"/>
          <c:tx>
            <c:strRef>
              <c:f>'TRANSGENIC-LETTUCE'!$A$94</c:f>
              <c:strCache>
                <c:ptCount val="1"/>
                <c:pt idx="0">
                  <c:v>Plant nutrients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'TRANSGENIC-LETTUCE'!$F$86:$I$86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'TRANSGENIC-LETTUCE'!$F$94:$I$94</c:f>
              <c:numCache>
                <c:formatCode>0.00E+00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1F-24B2-4E57-A3D5-0448A95223CA}"/>
            </c:ext>
          </c:extLst>
        </c:ser>
        <c:ser>
          <c:idx val="8"/>
          <c:order val="8"/>
          <c:tx>
            <c:strRef>
              <c:f>'TRANSGENIC-LETTUCE'!$A$95</c:f>
              <c:strCache>
                <c:ptCount val="1"/>
                <c:pt idx="0">
                  <c:v>Carbon dioxide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'TRANSGENIC-LETTUCE'!$F$86:$I$86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'TRANSGENIC-LETTUCE'!$F$95:$I$95</c:f>
              <c:numCache>
                <c:formatCode>0.00E+00</c:formatCode>
                <c:ptCount val="4"/>
                <c:pt idx="1">
                  <c:v>2.9493589743589741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24B2-4E57-A3D5-0448A95223CA}"/>
            </c:ext>
          </c:extLst>
        </c:ser>
        <c:ser>
          <c:idx val="9"/>
          <c:order val="9"/>
          <c:tx>
            <c:strRef>
              <c:f>'TRANSGENIC-LETTUCE'!$A$96</c:f>
              <c:strCache>
                <c:ptCount val="1"/>
                <c:pt idx="0">
                  <c:v>PTH-Fc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strRef>
              <c:f>'TRANSGENIC-LETTUCE'!$F$86:$I$86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'TRANSGENIC-LETTUCE'!$F$96:$I$96</c:f>
              <c:numCache>
                <c:formatCode>General</c:formatCode>
                <c:ptCount val="4"/>
                <c:pt idx="2" formatCode="0.00E+0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24B2-4E57-A3D5-0448A95223CA}"/>
            </c:ext>
          </c:extLst>
        </c:ser>
        <c:ser>
          <c:idx val="10"/>
          <c:order val="10"/>
          <c:tx>
            <c:strRef>
              <c:f>'TRANSGENIC-LETTUCE'!$A$97</c:f>
              <c:strCache>
                <c:ptCount val="1"/>
                <c:pt idx="0">
                  <c:v>Plant biomass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</c:spPr>
          <c:invertIfNegative val="0"/>
          <c:cat>
            <c:strRef>
              <c:f>'TRANSGENIC-LETTUCE'!$F$86:$I$86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'TRANSGENIC-LETTUCE'!$F$97:$I$97</c:f>
              <c:numCache>
                <c:formatCode>General</c:formatCode>
                <c:ptCount val="4"/>
                <c:pt idx="2" formatCode="0.00E+00">
                  <c:v>1.7905955615942035E-2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24B2-4E57-A3D5-0448A95223CA}"/>
            </c:ext>
          </c:extLst>
        </c:ser>
        <c:ser>
          <c:idx val="11"/>
          <c:order val="11"/>
          <c:tx>
            <c:strRef>
              <c:f>'TRANSGENIC-LETTUCE'!$A$98</c:f>
              <c:strCache>
                <c:ptCount val="1"/>
                <c:pt idx="0">
                  <c:v>Calories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'TRANSGENIC-LETTUCE'!$F$86:$I$86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'TRANSGENIC-LETTUCE'!$F$98:$I$98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27-24B2-4E57-A3D5-0448A95223CA}"/>
            </c:ext>
          </c:extLst>
        </c:ser>
        <c:ser>
          <c:idx val="12"/>
          <c:order val="12"/>
          <c:tx>
            <c:strRef>
              <c:f>'TRANSGENIC-LETTUCE'!$A$99</c:f>
              <c:strCache>
                <c:ptCount val="1"/>
                <c:pt idx="0">
                  <c:v>Macronutrients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</c:spPr>
          <c:invertIfNegative val="0"/>
          <c:cat>
            <c:strRef>
              <c:f>'TRANSGENIC-LETTUCE'!$F$86:$I$86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'TRANSGENIC-LETTUCE'!$F$99:$I$99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29-24B2-4E57-A3D5-0448A95223CA}"/>
            </c:ext>
          </c:extLst>
        </c:ser>
        <c:ser>
          <c:idx val="13"/>
          <c:order val="13"/>
          <c:tx>
            <c:strRef>
              <c:f>'TRANSGENIC-LETTUCE'!$A$100</c:f>
              <c:strCache>
                <c:ptCount val="1"/>
                <c:pt idx="0">
                  <c:v>Micronutrients</c:v>
                </c:pt>
              </c:strCache>
            </c:strRef>
          </c:tx>
          <c:spPr>
            <a:solidFill>
              <a:schemeClr val="accent6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'TRANSGENIC-LETTUCE'!$F$86:$I$86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'TRANSGENIC-LETTUCE'!$F$100:$I$100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2B-24B2-4E57-A3D5-0448A95223CA}"/>
            </c:ext>
          </c:extLst>
        </c:ser>
        <c:ser>
          <c:idx val="14"/>
          <c:order val="14"/>
          <c:tx>
            <c:strRef>
              <c:f>'TRANSGENIC-LETTUCE'!$A$101</c:f>
              <c:strCache>
                <c:ptCount val="1"/>
                <c:pt idx="0">
                  <c:v>Oxygen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'TRANSGENIC-LETTUCE'!$F$86:$I$86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'TRANSGENIC-LETTUCE'!$F$101:$I$101</c:f>
              <c:numCache>
                <c:formatCode>General</c:formatCode>
                <c:ptCount val="4"/>
                <c:pt idx="2" formatCode="0.00E+00">
                  <c:v>3.0022820512820507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D-24B2-4E57-A3D5-0448A95223CA}"/>
            </c:ext>
          </c:extLst>
        </c:ser>
        <c:ser>
          <c:idx val="15"/>
          <c:order val="15"/>
          <c:tx>
            <c:strRef>
              <c:f>'TRANSGENIC-LETTUCE'!$A$102</c:f>
              <c:strCache>
                <c:ptCount val="1"/>
                <c:pt idx="0">
                  <c:v>Biomass Waste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'TRANSGENIC-LETTUCE'!$F$86:$I$86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'TRANSGENIC-LETTUCE'!$F$102:$I$102</c:f>
              <c:numCache>
                <c:formatCode>General</c:formatCode>
                <c:ptCount val="4"/>
                <c:pt idx="3" formatCode="0.00E+00">
                  <c:v>6.1036111111111117E-2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F-24B2-4E57-A3D5-0448A95223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100"/>
        <c:axId val="312382031"/>
        <c:axId val="312385871"/>
      </c:barChart>
      <c:catAx>
        <c:axId val="312382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2385871"/>
        <c:crosses val="autoZero"/>
        <c:auto val="1"/>
        <c:lblAlgn val="ctr"/>
        <c:lblOffset val="100"/>
        <c:noMultiLvlLbl val="0"/>
      </c:catAx>
      <c:valAx>
        <c:axId val="31238587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kern="1200" baseline="0">
                    <a:solidFill>
                      <a:sysClr val="windowText" lastClr="000000"/>
                    </a:solidFill>
                  </a:rPr>
                  <a:t>Volume (m</a:t>
                </a:r>
                <a:r>
                  <a:rPr lang="en-US" sz="1000" b="1" i="0" u="none" strike="noStrike" kern="1200" baseline="30000">
                    <a:solidFill>
                      <a:sysClr val="windowText" lastClr="000000"/>
                    </a:solidFill>
                  </a:rPr>
                  <a:t>3</a:t>
                </a:r>
                <a:r>
                  <a:rPr lang="en-US" sz="1000" b="1" i="0" u="none" strike="noStrike" kern="1200" baseline="0">
                    <a:solidFill>
                      <a:sysClr val="windowText" lastClr="000000"/>
                    </a:solidFill>
                  </a:rPr>
                  <a:t>/CM/Mission)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" sourceLinked="0"/>
        <c:majorTickMark val="out"/>
        <c:minorTickMark val="none"/>
        <c:tickLblPos val="nextTo"/>
        <c:spPr>
          <a:noFill/>
          <a:ln w="952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2382031"/>
        <c:crosses val="autoZero"/>
        <c:crossBetween val="between"/>
      </c:valAx>
      <c:spPr>
        <a:ln>
          <a:solidFill>
            <a:schemeClr val="tx1"/>
          </a:solidFill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/>
      </a:solidFill>
      <a:round/>
    </a:ln>
    <a:effectLst/>
  </c:spPr>
  <c:txPr>
    <a:bodyPr/>
    <a:lstStyle/>
    <a:p>
      <a:pPr>
        <a:defRPr sz="1000" b="1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ysClr val="windowText" lastClr="000000"/>
                </a:solidFill>
              </a:rPr>
              <a:t>TRANSGENIC - LETTUCE Power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'TRANSGENIC-LETTUCE'!$A$87</c:f>
              <c:strCache>
                <c:ptCount val="1"/>
                <c:pt idx="0">
                  <c:v>Harvesting collection container</c:v>
                </c:pt>
              </c:strCache>
            </c:strRef>
          </c:tx>
          <c:spPr>
            <a:solidFill>
              <a:schemeClr val="accent2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'TRANSGENIC-LETTUCE'!$J$86:$M$86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'TRANSGENIC-LETTUCE'!$J$87:$M$87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11-C84F-4F32-82F3-6732FFF050E3}"/>
            </c:ext>
          </c:extLst>
        </c:ser>
        <c:ser>
          <c:idx val="1"/>
          <c:order val="1"/>
          <c:tx>
            <c:strRef>
              <c:f>'TRANSGENIC-LETTUCE'!$A$88</c:f>
              <c:strCache>
                <c:ptCount val="1"/>
                <c:pt idx="0">
                  <c:v>Harvesting tools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'TRANSGENIC-LETTUCE'!$J$86:$M$86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'TRANSGENIC-LETTUCE'!$J$88:$M$88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13-C84F-4F32-82F3-6732FFF050E3}"/>
            </c:ext>
          </c:extLst>
        </c:ser>
        <c:ser>
          <c:idx val="2"/>
          <c:order val="2"/>
          <c:tx>
            <c:strRef>
              <c:f>'TRANSGENIC-LETTUCE'!$A$89</c:f>
              <c:strCache>
                <c:ptCount val="1"/>
                <c:pt idx="0">
                  <c:v>Refrigerator/Freezer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'TRANSGENIC-LETTUCE'!$J$86:$M$86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'TRANSGENIC-LETTUCE'!$J$89:$M$89</c:f>
              <c:numCache>
                <c:formatCode>General</c:formatCode>
                <c:ptCount val="4"/>
                <c:pt idx="0" formatCode="0.00E+00">
                  <c:v>5.056975E-4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C84F-4F32-82F3-6732FFF050E3}"/>
            </c:ext>
          </c:extLst>
        </c:ser>
        <c:ser>
          <c:idx val="3"/>
          <c:order val="3"/>
          <c:tx>
            <c:strRef>
              <c:f>'TRANSGENIC-LETTUCE'!$A$90</c:f>
              <c:strCache>
                <c:ptCount val="1"/>
                <c:pt idx="0">
                  <c:v>Lighting panels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'TRANSGENIC-LETTUCE'!$J$86:$M$86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'TRANSGENIC-LETTUCE'!$J$90:$M$90</c:f>
              <c:numCache>
                <c:formatCode>General</c:formatCode>
                <c:ptCount val="4"/>
                <c:pt idx="0" formatCode="0.00E+00">
                  <c:v>0.40560000000000002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C84F-4F32-82F3-6732FFF050E3}"/>
            </c:ext>
          </c:extLst>
        </c:ser>
        <c:ser>
          <c:idx val="4"/>
          <c:order val="4"/>
          <c:tx>
            <c:strRef>
              <c:f>'TRANSGENIC-LETTUCE'!$A$91</c:f>
              <c:strCache>
                <c:ptCount val="1"/>
                <c:pt idx="0">
                  <c:v>Plant growth chamber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'TRANSGENIC-LETTUCE'!$J$86:$M$86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'TRANSGENIC-LETTUCE'!$J$91:$M$91</c:f>
              <c:numCache>
                <c:formatCode>General</c:formatCode>
                <c:ptCount val="4"/>
                <c:pt idx="0" formatCode="0.00E+00">
                  <c:v>0.35416666666666669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C84F-4F32-82F3-6732FFF050E3}"/>
            </c:ext>
          </c:extLst>
        </c:ser>
        <c:ser>
          <c:idx val="5"/>
          <c:order val="5"/>
          <c:tx>
            <c:strRef>
              <c:f>'TRANSGENIC-LETTUCE'!$A$92</c:f>
              <c:strCache>
                <c:ptCount val="1"/>
                <c:pt idx="0">
                  <c:v>Lettuce seeds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'TRANSGENIC-LETTUCE'!$J$86:$M$86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'TRANSGENIC-LETTUCE'!$J$92:$M$92</c:f>
              <c:numCache>
                <c:formatCode>0.00E+00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1B-C84F-4F32-82F3-6732FFF050E3}"/>
            </c:ext>
          </c:extLst>
        </c:ser>
        <c:ser>
          <c:idx val="6"/>
          <c:order val="6"/>
          <c:tx>
            <c:strRef>
              <c:f>'TRANSGENIC-LETTUCE'!$A$93</c:f>
              <c:strCache>
                <c:ptCount val="1"/>
                <c:pt idx="0">
                  <c:v>Water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'TRANSGENIC-LETTUCE'!$J$86:$M$86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'TRANSGENIC-LETTUCE'!$J$93:$M$93</c:f>
              <c:numCache>
                <c:formatCode>0.00E+00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1D-C84F-4F32-82F3-6732FFF050E3}"/>
            </c:ext>
          </c:extLst>
        </c:ser>
        <c:ser>
          <c:idx val="7"/>
          <c:order val="7"/>
          <c:tx>
            <c:strRef>
              <c:f>'TRANSGENIC-LETTUCE'!$A$94</c:f>
              <c:strCache>
                <c:ptCount val="1"/>
                <c:pt idx="0">
                  <c:v>Plant nutrients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'TRANSGENIC-LETTUCE'!$J$86:$M$86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'TRANSGENIC-LETTUCE'!$J$94:$M$94</c:f>
              <c:numCache>
                <c:formatCode>0.00E+00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1F-C84F-4F32-82F3-6732FFF050E3}"/>
            </c:ext>
          </c:extLst>
        </c:ser>
        <c:ser>
          <c:idx val="8"/>
          <c:order val="8"/>
          <c:tx>
            <c:strRef>
              <c:f>'TRANSGENIC-LETTUCE'!$A$95</c:f>
              <c:strCache>
                <c:ptCount val="1"/>
                <c:pt idx="0">
                  <c:v>Carbon dioxide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'TRANSGENIC-LETTUCE'!$J$86:$M$86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'TRANSGENIC-LETTUCE'!$J$95:$M$95</c:f>
              <c:numCache>
                <c:formatCode>0.00E+00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21-C84F-4F32-82F3-6732FFF050E3}"/>
            </c:ext>
          </c:extLst>
        </c:ser>
        <c:ser>
          <c:idx val="9"/>
          <c:order val="9"/>
          <c:tx>
            <c:strRef>
              <c:f>'TRANSGENIC-LETTUCE'!$A$96</c:f>
              <c:strCache>
                <c:ptCount val="1"/>
                <c:pt idx="0">
                  <c:v>PTH-Fc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strRef>
              <c:f>'TRANSGENIC-LETTUCE'!$J$86:$M$86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'TRANSGENIC-LETTUCE'!$J$96:$M$96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23-C84F-4F32-82F3-6732FFF050E3}"/>
            </c:ext>
          </c:extLst>
        </c:ser>
        <c:ser>
          <c:idx val="10"/>
          <c:order val="10"/>
          <c:tx>
            <c:strRef>
              <c:f>'TRANSGENIC-LETTUCE'!$A$97</c:f>
              <c:strCache>
                <c:ptCount val="1"/>
                <c:pt idx="0">
                  <c:v>Plant biomass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</c:spPr>
          <c:invertIfNegative val="0"/>
          <c:cat>
            <c:strRef>
              <c:f>'TRANSGENIC-LETTUCE'!$J$86:$M$86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'TRANSGENIC-LETTUCE'!$J$97:$M$97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25-C84F-4F32-82F3-6732FFF050E3}"/>
            </c:ext>
          </c:extLst>
        </c:ser>
        <c:ser>
          <c:idx val="11"/>
          <c:order val="11"/>
          <c:tx>
            <c:strRef>
              <c:f>'TRANSGENIC-LETTUCE'!$A$98</c:f>
              <c:strCache>
                <c:ptCount val="1"/>
                <c:pt idx="0">
                  <c:v>Calories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'TRANSGENIC-LETTUCE'!$J$86:$M$86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'TRANSGENIC-LETTUCE'!$J$98:$M$98</c:f>
              <c:numCache>
                <c:formatCode>General</c:formatCode>
                <c:ptCount val="4"/>
                <c:pt idx="2" formatCode="0.00E+00">
                  <c:v>7.7495081095678986E-2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7-C84F-4F32-82F3-6732FFF050E3}"/>
            </c:ext>
          </c:extLst>
        </c:ser>
        <c:ser>
          <c:idx val="12"/>
          <c:order val="12"/>
          <c:tx>
            <c:strRef>
              <c:f>'TRANSGENIC-LETTUCE'!$A$99</c:f>
              <c:strCache>
                <c:ptCount val="1"/>
                <c:pt idx="0">
                  <c:v>Macronutrients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</c:spPr>
          <c:invertIfNegative val="0"/>
          <c:cat>
            <c:strRef>
              <c:f>'TRANSGENIC-LETTUCE'!$J$86:$M$86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'TRANSGENIC-LETTUCE'!$J$99:$M$99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29-C84F-4F32-82F3-6732FFF050E3}"/>
            </c:ext>
          </c:extLst>
        </c:ser>
        <c:ser>
          <c:idx val="13"/>
          <c:order val="13"/>
          <c:tx>
            <c:strRef>
              <c:f>'TRANSGENIC-LETTUCE'!$A$100</c:f>
              <c:strCache>
                <c:ptCount val="1"/>
                <c:pt idx="0">
                  <c:v>Micronutrients</c:v>
                </c:pt>
              </c:strCache>
            </c:strRef>
          </c:tx>
          <c:spPr>
            <a:solidFill>
              <a:schemeClr val="accent6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'TRANSGENIC-LETTUCE'!$J$86:$M$86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'TRANSGENIC-LETTUCE'!$J$100:$M$100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2B-C84F-4F32-82F3-6732FFF050E3}"/>
            </c:ext>
          </c:extLst>
        </c:ser>
        <c:ser>
          <c:idx val="14"/>
          <c:order val="14"/>
          <c:tx>
            <c:strRef>
              <c:f>'TRANSGENIC-LETTUCE'!$A$101</c:f>
              <c:strCache>
                <c:ptCount val="1"/>
                <c:pt idx="0">
                  <c:v>Oxygen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'TRANSGENIC-LETTUCE'!$J$86:$M$86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'TRANSGENIC-LETTUCE'!$J$101:$M$101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2D-C84F-4F32-82F3-6732FFF050E3}"/>
            </c:ext>
          </c:extLst>
        </c:ser>
        <c:ser>
          <c:idx val="15"/>
          <c:order val="15"/>
          <c:tx>
            <c:strRef>
              <c:f>'TRANSGENIC-LETTUCE'!$A$102</c:f>
              <c:strCache>
                <c:ptCount val="1"/>
                <c:pt idx="0">
                  <c:v>Biomass Waste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'TRANSGENIC-LETTUCE'!$J$86:$M$86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'TRANSGENIC-LETTUCE'!$J$102:$M$102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2F-C84F-4F32-82F3-6732FFF050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100"/>
        <c:axId val="312382031"/>
        <c:axId val="312385871"/>
      </c:barChart>
      <c:catAx>
        <c:axId val="312382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2385871"/>
        <c:crosses val="autoZero"/>
        <c:auto val="1"/>
        <c:lblAlgn val="ctr"/>
        <c:lblOffset val="100"/>
        <c:noMultiLvlLbl val="0"/>
      </c:catAx>
      <c:valAx>
        <c:axId val="31238587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kern="1200" baseline="0">
                    <a:solidFill>
                      <a:sysClr val="windowText" lastClr="000000"/>
                    </a:solidFill>
                  </a:rPr>
                  <a:t>Power (kW/CM/Mission)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" sourceLinked="0"/>
        <c:majorTickMark val="out"/>
        <c:minorTickMark val="none"/>
        <c:tickLblPos val="nextTo"/>
        <c:spPr>
          <a:noFill/>
          <a:ln w="952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2382031"/>
        <c:crosses val="autoZero"/>
        <c:crossBetween val="between"/>
      </c:valAx>
      <c:spPr>
        <a:ln>
          <a:solidFill>
            <a:schemeClr val="tx1"/>
          </a:solidFill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/>
      </a:solidFill>
      <a:round/>
    </a:ln>
    <a:effectLst/>
  </c:spPr>
  <c:txPr>
    <a:bodyPr/>
    <a:lstStyle/>
    <a:p>
      <a:pPr>
        <a:defRPr sz="1000" b="1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ysClr val="windowText" lastClr="000000"/>
                </a:solidFill>
              </a:rPr>
              <a:t>TRANSGENIC - LETTUCE Crew Time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'TRANSGENIC-LETTUCE'!$A$87</c:f>
              <c:strCache>
                <c:ptCount val="1"/>
                <c:pt idx="0">
                  <c:v>Harvesting collection container</c:v>
                </c:pt>
              </c:strCache>
            </c:strRef>
          </c:tx>
          <c:spPr>
            <a:solidFill>
              <a:schemeClr val="accent2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'TRANSGENIC-LETTUCE'!$N$86:$O$86</c:f>
              <c:strCache>
                <c:ptCount val="2"/>
                <c:pt idx="0">
                  <c:v>System</c:v>
                </c:pt>
                <c:pt idx="1">
                  <c:v>Process Operations</c:v>
                </c:pt>
              </c:strCache>
            </c:strRef>
          </c:cat>
          <c:val>
            <c:numRef>
              <c:f>'TRANSGENIC-LETTUCE'!$N$87:$O$87</c:f>
              <c:numCache>
                <c:formatCode>General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01-DC44-4B92-B2C6-023F7EB4F6C4}"/>
            </c:ext>
          </c:extLst>
        </c:ser>
        <c:ser>
          <c:idx val="1"/>
          <c:order val="1"/>
          <c:tx>
            <c:strRef>
              <c:f>'TRANSGENIC-LETTUCE'!$A$88</c:f>
              <c:strCache>
                <c:ptCount val="1"/>
                <c:pt idx="0">
                  <c:v>Harvesting tools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'TRANSGENIC-LETTUCE'!$N$86:$O$86</c:f>
              <c:strCache>
                <c:ptCount val="2"/>
                <c:pt idx="0">
                  <c:v>System</c:v>
                </c:pt>
                <c:pt idx="1">
                  <c:v>Process Operations</c:v>
                </c:pt>
              </c:strCache>
            </c:strRef>
          </c:cat>
          <c:val>
            <c:numRef>
              <c:f>'TRANSGENIC-LETTUCE'!$N$88:$O$88</c:f>
              <c:numCache>
                <c:formatCode>General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03-DC44-4B92-B2C6-023F7EB4F6C4}"/>
            </c:ext>
          </c:extLst>
        </c:ser>
        <c:ser>
          <c:idx val="2"/>
          <c:order val="2"/>
          <c:tx>
            <c:strRef>
              <c:f>'TRANSGENIC-LETTUCE'!$A$89</c:f>
              <c:strCache>
                <c:ptCount val="1"/>
                <c:pt idx="0">
                  <c:v>Refrigerator/Freezer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'TRANSGENIC-LETTUCE'!$N$86:$O$86</c:f>
              <c:strCache>
                <c:ptCount val="2"/>
                <c:pt idx="0">
                  <c:v>System</c:v>
                </c:pt>
                <c:pt idx="1">
                  <c:v>Process Operations</c:v>
                </c:pt>
              </c:strCache>
            </c:strRef>
          </c:cat>
          <c:val>
            <c:numRef>
              <c:f>'TRANSGENIC-LETTUCE'!$N$89:$O$89</c:f>
              <c:numCache>
                <c:formatCode>General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05-DC44-4B92-B2C6-023F7EB4F6C4}"/>
            </c:ext>
          </c:extLst>
        </c:ser>
        <c:ser>
          <c:idx val="3"/>
          <c:order val="3"/>
          <c:tx>
            <c:strRef>
              <c:f>'TRANSGENIC-LETTUCE'!$A$90</c:f>
              <c:strCache>
                <c:ptCount val="1"/>
                <c:pt idx="0">
                  <c:v>Lighting panels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'TRANSGENIC-LETTUCE'!$N$86:$O$86</c:f>
              <c:strCache>
                <c:ptCount val="2"/>
                <c:pt idx="0">
                  <c:v>System</c:v>
                </c:pt>
                <c:pt idx="1">
                  <c:v>Process Operations</c:v>
                </c:pt>
              </c:strCache>
            </c:strRef>
          </c:cat>
          <c:val>
            <c:numRef>
              <c:f>'TRANSGENIC-LETTUCE'!$N$90:$O$90</c:f>
              <c:numCache>
                <c:formatCode>General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07-DC44-4B92-B2C6-023F7EB4F6C4}"/>
            </c:ext>
          </c:extLst>
        </c:ser>
        <c:ser>
          <c:idx val="4"/>
          <c:order val="4"/>
          <c:tx>
            <c:strRef>
              <c:f>'TRANSGENIC-LETTUCE'!$A$91</c:f>
              <c:strCache>
                <c:ptCount val="1"/>
                <c:pt idx="0">
                  <c:v>Plant growth chamber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'TRANSGENIC-LETTUCE'!$N$86:$O$86</c:f>
              <c:strCache>
                <c:ptCount val="2"/>
                <c:pt idx="0">
                  <c:v>System</c:v>
                </c:pt>
                <c:pt idx="1">
                  <c:v>Process Operations</c:v>
                </c:pt>
              </c:strCache>
            </c:strRef>
          </c:cat>
          <c:val>
            <c:numRef>
              <c:f>'TRANSGENIC-LETTUCE'!$N$91:$O$91</c:f>
              <c:numCache>
                <c:formatCode>General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09-DC44-4B92-B2C6-023F7EB4F6C4}"/>
            </c:ext>
          </c:extLst>
        </c:ser>
        <c:ser>
          <c:idx val="5"/>
          <c:order val="5"/>
          <c:tx>
            <c:strRef>
              <c:f>'TRANSGENIC-LETTUCE'!$A$92</c:f>
              <c:strCache>
                <c:ptCount val="1"/>
                <c:pt idx="0">
                  <c:v>Lettuce seeds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'TRANSGENIC-LETTUCE'!$N$86:$O$86</c:f>
              <c:strCache>
                <c:ptCount val="2"/>
                <c:pt idx="0">
                  <c:v>System</c:v>
                </c:pt>
                <c:pt idx="1">
                  <c:v>Process Operations</c:v>
                </c:pt>
              </c:strCache>
            </c:strRef>
          </c:cat>
          <c:val>
            <c:numRef>
              <c:f>'TRANSGENIC-LETTUCE'!$N$92:$O$92</c:f>
              <c:numCache>
                <c:formatCode>0.00E+00</c:formatCode>
                <c:ptCount val="2"/>
                <c:pt idx="1">
                  <c:v>0.86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DC44-4B92-B2C6-023F7EB4F6C4}"/>
            </c:ext>
          </c:extLst>
        </c:ser>
        <c:ser>
          <c:idx val="6"/>
          <c:order val="6"/>
          <c:tx>
            <c:strRef>
              <c:f>'TRANSGENIC-LETTUCE'!$A$93</c:f>
              <c:strCache>
                <c:ptCount val="1"/>
                <c:pt idx="0">
                  <c:v>Water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'TRANSGENIC-LETTUCE'!$N$86:$O$86</c:f>
              <c:strCache>
                <c:ptCount val="2"/>
                <c:pt idx="0">
                  <c:v>System</c:v>
                </c:pt>
                <c:pt idx="1">
                  <c:v>Process Operations</c:v>
                </c:pt>
              </c:strCache>
            </c:strRef>
          </c:cat>
          <c:val>
            <c:numRef>
              <c:f>'TRANSGENIC-LETTUCE'!$N$93:$O$93</c:f>
              <c:numCache>
                <c:formatCode>0.00E+00</c:formatCode>
                <c:ptCount val="2"/>
                <c:pt idx="1">
                  <c:v>0.98958904109589063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DC44-4B92-B2C6-023F7EB4F6C4}"/>
            </c:ext>
          </c:extLst>
        </c:ser>
        <c:ser>
          <c:idx val="7"/>
          <c:order val="7"/>
          <c:tx>
            <c:strRef>
              <c:f>'TRANSGENIC-LETTUCE'!$A$94</c:f>
              <c:strCache>
                <c:ptCount val="1"/>
                <c:pt idx="0">
                  <c:v>Plant nutrients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'TRANSGENIC-LETTUCE'!$N$86:$O$86</c:f>
              <c:strCache>
                <c:ptCount val="2"/>
                <c:pt idx="0">
                  <c:v>System</c:v>
                </c:pt>
                <c:pt idx="1">
                  <c:v>Process Operations</c:v>
                </c:pt>
              </c:strCache>
            </c:strRef>
          </c:cat>
          <c:val>
            <c:numRef>
              <c:f>'TRANSGENIC-LETTUCE'!$N$94:$O$94</c:f>
              <c:numCache>
                <c:formatCode>0.00E+00</c:formatCode>
                <c:ptCount val="2"/>
                <c:pt idx="1">
                  <c:v>2.0237233333333338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DC44-4B92-B2C6-023F7EB4F6C4}"/>
            </c:ext>
          </c:extLst>
        </c:ser>
        <c:ser>
          <c:idx val="8"/>
          <c:order val="8"/>
          <c:tx>
            <c:strRef>
              <c:f>'TRANSGENIC-LETTUCE'!$A$95</c:f>
              <c:strCache>
                <c:ptCount val="1"/>
                <c:pt idx="0">
                  <c:v>Carbon dioxide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'TRANSGENIC-LETTUCE'!$N$86:$O$86</c:f>
              <c:strCache>
                <c:ptCount val="2"/>
                <c:pt idx="0">
                  <c:v>System</c:v>
                </c:pt>
                <c:pt idx="1">
                  <c:v>Process Operations</c:v>
                </c:pt>
              </c:strCache>
            </c:strRef>
          </c:cat>
          <c:val>
            <c:numRef>
              <c:f>'TRANSGENIC-LETTUCE'!$N$95:$O$95</c:f>
              <c:numCache>
                <c:formatCode>0.00E+00</c:formatCode>
                <c:ptCount val="2"/>
                <c:pt idx="1">
                  <c:v>32.0565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DC44-4B92-B2C6-023F7EB4F6C4}"/>
            </c:ext>
          </c:extLst>
        </c:ser>
        <c:ser>
          <c:idx val="9"/>
          <c:order val="9"/>
          <c:tx>
            <c:strRef>
              <c:f>'TRANSGENIC-LETTUCE'!$A$96</c:f>
              <c:strCache>
                <c:ptCount val="1"/>
                <c:pt idx="0">
                  <c:v>PTH-Fc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strRef>
              <c:f>'TRANSGENIC-LETTUCE'!$N$86:$O$86</c:f>
              <c:strCache>
                <c:ptCount val="2"/>
                <c:pt idx="0">
                  <c:v>System</c:v>
                </c:pt>
                <c:pt idx="1">
                  <c:v>Process Operations</c:v>
                </c:pt>
              </c:strCache>
            </c:strRef>
          </c:cat>
          <c:val>
            <c:numRef>
              <c:f>'TRANSGENIC-LETTUCE'!$N$96:$O$96</c:f>
              <c:numCache>
                <c:formatCode>0.00E+00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13-DC44-4B92-B2C6-023F7EB4F6C4}"/>
            </c:ext>
          </c:extLst>
        </c:ser>
        <c:ser>
          <c:idx val="10"/>
          <c:order val="10"/>
          <c:tx>
            <c:strRef>
              <c:f>'TRANSGENIC-LETTUCE'!$A$97</c:f>
              <c:strCache>
                <c:ptCount val="1"/>
                <c:pt idx="0">
                  <c:v>Plant biomass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</c:spPr>
          <c:invertIfNegative val="0"/>
          <c:cat>
            <c:strRef>
              <c:f>'TRANSGENIC-LETTUCE'!$N$86:$O$86</c:f>
              <c:strCache>
                <c:ptCount val="2"/>
                <c:pt idx="0">
                  <c:v>System</c:v>
                </c:pt>
                <c:pt idx="1">
                  <c:v>Process Operations</c:v>
                </c:pt>
              </c:strCache>
            </c:strRef>
          </c:cat>
          <c:val>
            <c:numRef>
              <c:f>'TRANSGENIC-LETTUCE'!$N$97:$O$97</c:f>
              <c:numCache>
                <c:formatCode>0.00E+00</c:formatCode>
                <c:ptCount val="2"/>
                <c:pt idx="1">
                  <c:v>1.7782291666666665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DC44-4B92-B2C6-023F7EB4F6C4}"/>
            </c:ext>
          </c:extLst>
        </c:ser>
        <c:ser>
          <c:idx val="11"/>
          <c:order val="11"/>
          <c:tx>
            <c:strRef>
              <c:f>'TRANSGENIC-LETTUCE'!$A$98</c:f>
              <c:strCache>
                <c:ptCount val="1"/>
                <c:pt idx="0">
                  <c:v>Calories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'TRANSGENIC-LETTUCE'!$N$86:$O$86</c:f>
              <c:strCache>
                <c:ptCount val="2"/>
                <c:pt idx="0">
                  <c:v>System</c:v>
                </c:pt>
                <c:pt idx="1">
                  <c:v>Process Operations</c:v>
                </c:pt>
              </c:strCache>
            </c:strRef>
          </c:cat>
          <c:val>
            <c:numRef>
              <c:f>'TRANSGENIC-LETTUCE'!$N$98:$O$98</c:f>
              <c:numCache>
                <c:formatCode>General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17-DC44-4B92-B2C6-023F7EB4F6C4}"/>
            </c:ext>
          </c:extLst>
        </c:ser>
        <c:ser>
          <c:idx val="12"/>
          <c:order val="12"/>
          <c:tx>
            <c:strRef>
              <c:f>'TRANSGENIC-LETTUCE'!$A$99</c:f>
              <c:strCache>
                <c:ptCount val="1"/>
                <c:pt idx="0">
                  <c:v>Macronutrients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</c:spPr>
          <c:invertIfNegative val="0"/>
          <c:cat>
            <c:strRef>
              <c:f>'TRANSGENIC-LETTUCE'!$N$86:$O$86</c:f>
              <c:strCache>
                <c:ptCount val="2"/>
                <c:pt idx="0">
                  <c:v>System</c:v>
                </c:pt>
                <c:pt idx="1">
                  <c:v>Process Operations</c:v>
                </c:pt>
              </c:strCache>
            </c:strRef>
          </c:cat>
          <c:val>
            <c:numRef>
              <c:f>'TRANSGENIC-LETTUCE'!$N$99:$O$99</c:f>
              <c:numCache>
                <c:formatCode>General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19-DC44-4B92-B2C6-023F7EB4F6C4}"/>
            </c:ext>
          </c:extLst>
        </c:ser>
        <c:ser>
          <c:idx val="13"/>
          <c:order val="13"/>
          <c:tx>
            <c:strRef>
              <c:f>'TRANSGENIC-LETTUCE'!$A$100</c:f>
              <c:strCache>
                <c:ptCount val="1"/>
                <c:pt idx="0">
                  <c:v>Micronutrients</c:v>
                </c:pt>
              </c:strCache>
            </c:strRef>
          </c:tx>
          <c:spPr>
            <a:solidFill>
              <a:schemeClr val="accent6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'TRANSGENIC-LETTUCE'!$N$86:$O$86</c:f>
              <c:strCache>
                <c:ptCount val="2"/>
                <c:pt idx="0">
                  <c:v>System</c:v>
                </c:pt>
                <c:pt idx="1">
                  <c:v>Process Operations</c:v>
                </c:pt>
              </c:strCache>
            </c:strRef>
          </c:cat>
          <c:val>
            <c:numRef>
              <c:f>'TRANSGENIC-LETTUCE'!$N$100:$O$100</c:f>
              <c:numCache>
                <c:formatCode>General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1B-DC44-4B92-B2C6-023F7EB4F6C4}"/>
            </c:ext>
          </c:extLst>
        </c:ser>
        <c:ser>
          <c:idx val="14"/>
          <c:order val="14"/>
          <c:tx>
            <c:strRef>
              <c:f>'TRANSGENIC-LETTUCE'!$A$101</c:f>
              <c:strCache>
                <c:ptCount val="1"/>
                <c:pt idx="0">
                  <c:v>Oxygen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'TRANSGENIC-LETTUCE'!$N$86:$O$86</c:f>
              <c:strCache>
                <c:ptCount val="2"/>
                <c:pt idx="0">
                  <c:v>System</c:v>
                </c:pt>
                <c:pt idx="1">
                  <c:v>Process Operations</c:v>
                </c:pt>
              </c:strCache>
            </c:strRef>
          </c:cat>
          <c:val>
            <c:numRef>
              <c:f>'TRANSGENIC-LETTUCE'!$N$101:$O$101</c:f>
              <c:numCache>
                <c:formatCode>General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1D-DC44-4B92-B2C6-023F7EB4F6C4}"/>
            </c:ext>
          </c:extLst>
        </c:ser>
        <c:ser>
          <c:idx val="15"/>
          <c:order val="15"/>
          <c:tx>
            <c:strRef>
              <c:f>'TRANSGENIC-LETTUCE'!$A$102</c:f>
              <c:strCache>
                <c:ptCount val="1"/>
                <c:pt idx="0">
                  <c:v>Biomass Waste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'TRANSGENIC-LETTUCE'!$N$86:$O$86</c:f>
              <c:strCache>
                <c:ptCount val="2"/>
                <c:pt idx="0">
                  <c:v>System</c:v>
                </c:pt>
                <c:pt idx="1">
                  <c:v>Process Operations</c:v>
                </c:pt>
              </c:strCache>
            </c:strRef>
          </c:cat>
          <c:val>
            <c:numRef>
              <c:f>'TRANSGENIC-LETTUCE'!$N$102:$O$102</c:f>
              <c:numCache>
                <c:formatCode>General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1F-DC44-4B92-B2C6-023F7EB4F6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100"/>
        <c:axId val="312382031"/>
        <c:axId val="312385871"/>
      </c:barChart>
      <c:catAx>
        <c:axId val="312382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2385871"/>
        <c:crosses val="autoZero"/>
        <c:auto val="1"/>
        <c:lblAlgn val="ctr"/>
        <c:lblOffset val="100"/>
        <c:noMultiLvlLbl val="0"/>
      </c:catAx>
      <c:valAx>
        <c:axId val="31238587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kern="1200" baseline="0">
                    <a:solidFill>
                      <a:sysClr val="windowText" lastClr="000000"/>
                    </a:solidFill>
                  </a:rPr>
                  <a:t>Crewtime (CM-hr/CM/Mission)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" sourceLinked="0"/>
        <c:majorTickMark val="out"/>
        <c:minorTickMark val="none"/>
        <c:tickLblPos val="nextTo"/>
        <c:spPr>
          <a:noFill/>
          <a:ln w="952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2382031"/>
        <c:crosses val="autoZero"/>
        <c:crossBetween val="between"/>
      </c:valAx>
      <c:spPr>
        <a:ln>
          <a:solidFill>
            <a:schemeClr val="tx1"/>
          </a:solidFill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/>
      </a:solidFill>
      <a:round/>
    </a:ln>
    <a:effectLst/>
  </c:spPr>
  <c:txPr>
    <a:bodyPr/>
    <a:lstStyle/>
    <a:p>
      <a:pPr>
        <a:defRPr sz="1000" b="1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ysClr val="windowText" lastClr="000000"/>
                </a:solidFill>
              </a:rPr>
              <a:t>TRANSGENIC - TOBACCO Mass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'TRANSGENIC-TOBACCO'!$A$81</c:f>
              <c:strCache>
                <c:ptCount val="1"/>
                <c:pt idx="0">
                  <c:v>Harvesting collection container</c:v>
                </c:pt>
              </c:strCache>
            </c:strRef>
          </c:tx>
          <c:spPr>
            <a:solidFill>
              <a:schemeClr val="accent2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'TRANSGENIC-TOBACCO'!$B$80:$E$80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'TRANSGENIC-TOBACCO'!$B$81:$E$81</c:f>
              <c:numCache>
                <c:formatCode>General</c:formatCode>
                <c:ptCount val="4"/>
                <c:pt idx="0" formatCode="0.00E+00">
                  <c:v>1.3825423199999999E-2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C4CE-46B7-8AD9-210FC2E8AC07}"/>
            </c:ext>
          </c:extLst>
        </c:ser>
        <c:ser>
          <c:idx val="1"/>
          <c:order val="1"/>
          <c:tx>
            <c:strRef>
              <c:f>'TRANSGENIC-TOBACCO'!$A$82</c:f>
              <c:strCache>
                <c:ptCount val="1"/>
                <c:pt idx="0">
                  <c:v>Harvesting tools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'TRANSGENIC-TOBACCO'!$B$80:$E$80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'TRANSGENIC-TOBACCO'!$B$82:$E$82</c:f>
              <c:numCache>
                <c:formatCode>General</c:formatCode>
                <c:ptCount val="4"/>
                <c:pt idx="0" formatCode="0.00E+00">
                  <c:v>3.4018333333333338E-2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C4CE-46B7-8AD9-210FC2E8AC07}"/>
            </c:ext>
          </c:extLst>
        </c:ser>
        <c:ser>
          <c:idx val="2"/>
          <c:order val="2"/>
          <c:tx>
            <c:strRef>
              <c:f>'TRANSGENIC-TOBACCO'!$A$83</c:f>
              <c:strCache>
                <c:ptCount val="1"/>
                <c:pt idx="0">
                  <c:v>Refrigerator/Freezer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'TRANSGENIC-TOBACCO'!$B$80:$E$80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'TRANSGENIC-TOBACCO'!$B$83:$E$83</c:f>
              <c:numCache>
                <c:formatCode>General</c:formatCode>
                <c:ptCount val="4"/>
                <c:pt idx="0" formatCode="0.00E+00">
                  <c:v>0.13111888111888109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C4CE-46B7-8AD9-210FC2E8AC07}"/>
            </c:ext>
          </c:extLst>
        </c:ser>
        <c:ser>
          <c:idx val="3"/>
          <c:order val="3"/>
          <c:tx>
            <c:strRef>
              <c:f>'TRANSGENIC-TOBACCO'!$A$84</c:f>
              <c:strCache>
                <c:ptCount val="1"/>
                <c:pt idx="0">
                  <c:v>Lighting panels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'TRANSGENIC-TOBACCO'!$B$80:$E$80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'TRANSGENIC-TOBACCO'!$B$84:$E$84</c:f>
              <c:numCache>
                <c:formatCode>General</c:formatCode>
                <c:ptCount val="4"/>
                <c:pt idx="0" formatCode="0.00E+00">
                  <c:v>0.97199999999999998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C4CE-46B7-8AD9-210FC2E8AC07}"/>
            </c:ext>
          </c:extLst>
        </c:ser>
        <c:ser>
          <c:idx val="4"/>
          <c:order val="4"/>
          <c:tx>
            <c:strRef>
              <c:f>'TRANSGENIC-TOBACCO'!$A$85</c:f>
              <c:strCache>
                <c:ptCount val="1"/>
                <c:pt idx="0">
                  <c:v>Plant growth chamber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'TRANSGENIC-TOBACCO'!$B$80:$E$80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'TRANSGENIC-TOBACCO'!$B$85:$E$85</c:f>
              <c:numCache>
                <c:formatCode>General</c:formatCode>
                <c:ptCount val="4"/>
                <c:pt idx="0" formatCode="0.00E+00">
                  <c:v>29.34710999999999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C4CE-46B7-8AD9-210FC2E8AC07}"/>
            </c:ext>
          </c:extLst>
        </c:ser>
        <c:ser>
          <c:idx val="5"/>
          <c:order val="5"/>
          <c:tx>
            <c:strRef>
              <c:f>'TRANSGENIC-TOBACCO'!$A$86</c:f>
              <c:strCache>
                <c:ptCount val="1"/>
                <c:pt idx="0">
                  <c:v>N. benthamiana seeds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'TRANSGENIC-TOBACCO'!$B$80:$E$80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'TRANSGENIC-TOBACCO'!$B$86:$E$86</c:f>
              <c:numCache>
                <c:formatCode>0.00E+00</c:formatCode>
                <c:ptCount val="4"/>
                <c:pt idx="1">
                  <c:v>1.3275648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4CE-46B7-8AD9-210FC2E8AC07}"/>
            </c:ext>
          </c:extLst>
        </c:ser>
        <c:ser>
          <c:idx val="6"/>
          <c:order val="6"/>
          <c:tx>
            <c:strRef>
              <c:f>'TRANSGENIC-TOBACCO'!$A$87</c:f>
              <c:strCache>
                <c:ptCount val="1"/>
                <c:pt idx="0">
                  <c:v>Water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'TRANSGENIC-TOBACCO'!$B$80:$E$80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'TRANSGENIC-TOBACCO'!$B$87:$E$87</c:f>
              <c:numCache>
                <c:formatCode>0.00E+00</c:formatCode>
                <c:ptCount val="4"/>
                <c:pt idx="1">
                  <c:v>606.06043366247161</c:v>
                </c:pt>
                <c:pt idx="2">
                  <c:v>512.78280043964162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C4CE-46B7-8AD9-210FC2E8AC07}"/>
            </c:ext>
          </c:extLst>
        </c:ser>
        <c:ser>
          <c:idx val="7"/>
          <c:order val="7"/>
          <c:tx>
            <c:strRef>
              <c:f>'TRANSGENIC-TOBACCO'!$A$88</c:f>
              <c:strCache>
                <c:ptCount val="1"/>
                <c:pt idx="0">
                  <c:v>Plant nutrients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'TRANSGENIC-TOBACCO'!$B$80:$E$80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'TRANSGENIC-TOBACCO'!$B$88:$E$88</c:f>
              <c:numCache>
                <c:formatCode>0.00E+00</c:formatCode>
                <c:ptCount val="4"/>
                <c:pt idx="1">
                  <c:v>23.263023685700311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C4CE-46B7-8AD9-210FC2E8AC07}"/>
            </c:ext>
          </c:extLst>
        </c:ser>
        <c:ser>
          <c:idx val="8"/>
          <c:order val="8"/>
          <c:tx>
            <c:strRef>
              <c:f>'TRANSGENIC-TOBACCO'!$A$89</c:f>
              <c:strCache>
                <c:ptCount val="1"/>
                <c:pt idx="0">
                  <c:v>Carbon dioxide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'TRANSGENIC-TOBACCO'!$B$80:$E$80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'TRANSGENIC-TOBACCO'!$B$89:$E$89</c:f>
              <c:numCache>
                <c:formatCode>0.00E+00</c:formatCode>
                <c:ptCount val="4"/>
                <c:pt idx="1">
                  <c:v>2.6127504593829354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C4CE-46B7-8AD9-210FC2E8AC07}"/>
            </c:ext>
          </c:extLst>
        </c:ser>
        <c:ser>
          <c:idx val="9"/>
          <c:order val="9"/>
          <c:tx>
            <c:strRef>
              <c:f>'TRANSGENIC-TOBACCO'!$A$90</c:f>
              <c:strCache>
                <c:ptCount val="1"/>
                <c:pt idx="0">
                  <c:v>PTH-Fc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strRef>
              <c:f>'TRANSGENIC-TOBACCO'!$B$80:$E$80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'TRANSGENIC-TOBACCO'!$B$90:$E$90</c:f>
              <c:numCache>
                <c:formatCode>General</c:formatCode>
                <c:ptCount val="4"/>
                <c:pt idx="2" formatCode="0.00E+00">
                  <c:v>4.3000000000000004E-4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C4CE-46B7-8AD9-210FC2E8AC07}"/>
            </c:ext>
          </c:extLst>
        </c:ser>
        <c:ser>
          <c:idx val="10"/>
          <c:order val="10"/>
          <c:tx>
            <c:strRef>
              <c:f>'TRANSGENIC-TOBACCO'!$A$91</c:f>
              <c:strCache>
                <c:ptCount val="1"/>
                <c:pt idx="0">
                  <c:v>Plant biomass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</c:spPr>
          <c:invertIfNegative val="0"/>
          <c:cat>
            <c:strRef>
              <c:f>'TRANSGENIC-TOBACCO'!$B$80:$E$80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'TRANSGENIC-TOBACCO'!$B$91:$E$91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22-C4CE-46B7-8AD9-210FC2E8AC07}"/>
            </c:ext>
          </c:extLst>
        </c:ser>
        <c:ser>
          <c:idx val="11"/>
          <c:order val="11"/>
          <c:tx>
            <c:strRef>
              <c:f>'TRANSGENIC-TOBACCO'!$A$92</c:f>
              <c:strCache>
                <c:ptCount val="1"/>
                <c:pt idx="0">
                  <c:v>Oxygen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'TRANSGENIC-TOBACCO'!$B$80:$E$80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'TRANSGENIC-TOBACCO'!$B$92:$E$92</c:f>
              <c:numCache>
                <c:formatCode>General</c:formatCode>
                <c:ptCount val="4"/>
                <c:pt idx="2" formatCode="0.00E+00">
                  <c:v>1.8997381844859098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C4CE-46B7-8AD9-210FC2E8AC07}"/>
            </c:ext>
          </c:extLst>
        </c:ser>
        <c:ser>
          <c:idx val="12"/>
          <c:order val="12"/>
          <c:tx>
            <c:strRef>
              <c:f>'TRANSGENIC-TOBACCO'!$A$93</c:f>
              <c:strCache>
                <c:ptCount val="1"/>
                <c:pt idx="0">
                  <c:v>Biomass Waste</c:v>
                </c:pt>
              </c:strCache>
            </c:strRef>
          </c:tx>
          <c:spPr>
            <a:solidFill>
              <a:schemeClr val="accent5"/>
            </a:solidFill>
          </c:spPr>
          <c:invertIfNegative val="0"/>
          <c:cat>
            <c:strRef>
              <c:f>'TRANSGENIC-TOBACCO'!$B$80:$E$80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'TRANSGENIC-TOBACCO'!$B$93:$E$93</c:f>
              <c:numCache>
                <c:formatCode>General</c:formatCode>
                <c:ptCount val="4"/>
                <c:pt idx="3" formatCode="0.00E+00">
                  <c:v>1.7825306872425635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C4CE-46B7-8AD9-210FC2E8AC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100"/>
        <c:axId val="312382031"/>
        <c:axId val="312385871"/>
      </c:barChart>
      <c:catAx>
        <c:axId val="312382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2385871"/>
        <c:crosses val="autoZero"/>
        <c:auto val="1"/>
        <c:lblAlgn val="ctr"/>
        <c:lblOffset val="100"/>
        <c:noMultiLvlLbl val="0"/>
      </c:catAx>
      <c:valAx>
        <c:axId val="31238587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kern="1200" baseline="0">
                    <a:solidFill>
                      <a:sysClr val="windowText" lastClr="000000"/>
                    </a:solidFill>
                  </a:rPr>
                  <a:t>Mass (kg/CM/Mission)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" sourceLinked="0"/>
        <c:majorTickMark val="out"/>
        <c:minorTickMark val="none"/>
        <c:tickLblPos val="nextTo"/>
        <c:spPr>
          <a:noFill/>
          <a:ln w="952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2382031"/>
        <c:crosses val="autoZero"/>
        <c:crossBetween val="between"/>
      </c:valAx>
      <c:spPr>
        <a:ln>
          <a:solidFill>
            <a:schemeClr val="tx1"/>
          </a:solidFill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/>
      </a:solidFill>
      <a:round/>
    </a:ln>
    <a:effectLst/>
  </c:spPr>
  <c:txPr>
    <a:bodyPr/>
    <a:lstStyle/>
    <a:p>
      <a:pPr>
        <a:defRPr sz="1000" b="1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ysClr val="windowText" lastClr="000000"/>
                </a:solidFill>
              </a:rPr>
              <a:t>TRANSGENIC - TOBACCO Volume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'TRANSGENIC-TOBACCO'!$A$81</c:f>
              <c:strCache>
                <c:ptCount val="1"/>
                <c:pt idx="0">
                  <c:v>Harvesting collection container</c:v>
                </c:pt>
              </c:strCache>
            </c:strRef>
          </c:tx>
          <c:spPr>
            <a:solidFill>
              <a:schemeClr val="accent2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'TRANSGENIC-TOBACCO'!$F$80:$I$80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'TRANSGENIC-TOBACCO'!$F$81:$I$81</c:f>
              <c:numCache>
                <c:formatCode>General</c:formatCode>
                <c:ptCount val="4"/>
                <c:pt idx="0" formatCode="0.00E+00">
                  <c:v>7.4585973E-6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2341-44BE-BA6D-DCD5B31E68E0}"/>
            </c:ext>
          </c:extLst>
        </c:ser>
        <c:ser>
          <c:idx val="1"/>
          <c:order val="1"/>
          <c:tx>
            <c:strRef>
              <c:f>'TRANSGENIC-TOBACCO'!$A$82</c:f>
              <c:strCache>
                <c:ptCount val="1"/>
                <c:pt idx="0">
                  <c:v>Harvesting tools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'TRANSGENIC-TOBACCO'!$F$80:$I$80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'TRANSGENIC-TOBACCO'!$F$82:$I$82</c:f>
              <c:numCache>
                <c:formatCode>General</c:formatCode>
                <c:ptCount val="4"/>
                <c:pt idx="0" formatCode="0.00E+00">
                  <c:v>1.0735999999999999E-4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2341-44BE-BA6D-DCD5B31E68E0}"/>
            </c:ext>
          </c:extLst>
        </c:ser>
        <c:ser>
          <c:idx val="2"/>
          <c:order val="2"/>
          <c:tx>
            <c:strRef>
              <c:f>'TRANSGENIC-TOBACCO'!$A$83</c:f>
              <c:strCache>
                <c:ptCount val="1"/>
                <c:pt idx="0">
                  <c:v>Refrigerator/Freezer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'TRANSGENIC-TOBACCO'!$F$80:$I$80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'TRANSGENIC-TOBACCO'!$F$83:$I$83</c:f>
              <c:numCache>
                <c:formatCode>General</c:formatCode>
                <c:ptCount val="4"/>
                <c:pt idx="0" formatCode="0.00E+00">
                  <c:v>6.8706293706293701E-4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2341-44BE-BA6D-DCD5B31E68E0}"/>
            </c:ext>
          </c:extLst>
        </c:ser>
        <c:ser>
          <c:idx val="3"/>
          <c:order val="3"/>
          <c:tx>
            <c:strRef>
              <c:f>'TRANSGENIC-TOBACCO'!$A$84</c:f>
              <c:strCache>
                <c:ptCount val="1"/>
                <c:pt idx="0">
                  <c:v>Lighting panels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'TRANSGENIC-TOBACCO'!$F$80:$I$80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'TRANSGENIC-TOBACCO'!$F$84:$I$84</c:f>
              <c:numCache>
                <c:formatCode>General</c:formatCode>
                <c:ptCount val="4"/>
                <c:pt idx="0" formatCode="0.00E+00">
                  <c:v>3.5999999999999997E-4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2341-44BE-BA6D-DCD5B31E68E0}"/>
            </c:ext>
          </c:extLst>
        </c:ser>
        <c:ser>
          <c:idx val="4"/>
          <c:order val="4"/>
          <c:tx>
            <c:strRef>
              <c:f>'TRANSGENIC-TOBACCO'!$A$85</c:f>
              <c:strCache>
                <c:ptCount val="1"/>
                <c:pt idx="0">
                  <c:v>Plant growth chamber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'TRANSGENIC-TOBACCO'!$F$80:$I$80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'TRANSGENIC-TOBACCO'!$F$85:$I$85</c:f>
              <c:numCache>
                <c:formatCode>General</c:formatCode>
                <c:ptCount val="4"/>
                <c:pt idx="0" formatCode="0.00E+00">
                  <c:v>0.32607899999999995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2341-44BE-BA6D-DCD5B31E68E0}"/>
            </c:ext>
          </c:extLst>
        </c:ser>
        <c:ser>
          <c:idx val="5"/>
          <c:order val="5"/>
          <c:tx>
            <c:strRef>
              <c:f>'TRANSGENIC-TOBACCO'!$A$86</c:f>
              <c:strCache>
                <c:ptCount val="1"/>
                <c:pt idx="0">
                  <c:v>N. benthamiana seeds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'TRANSGENIC-TOBACCO'!$F$80:$I$80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'TRANSGENIC-TOBACCO'!$F$86:$I$86</c:f>
              <c:numCache>
                <c:formatCode>0.00E+00</c:formatCode>
                <c:ptCount val="4"/>
                <c:pt idx="1">
                  <c:v>4.1033127046699689E-9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2341-44BE-BA6D-DCD5B31E68E0}"/>
            </c:ext>
          </c:extLst>
        </c:ser>
        <c:ser>
          <c:idx val="6"/>
          <c:order val="6"/>
          <c:tx>
            <c:strRef>
              <c:f>'TRANSGENIC-TOBACCO'!$A$87</c:f>
              <c:strCache>
                <c:ptCount val="1"/>
                <c:pt idx="0">
                  <c:v>Water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'TRANSGENIC-TOBACCO'!$F$80:$I$80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'TRANSGENIC-TOBACCO'!$F$87:$I$87</c:f>
              <c:numCache>
                <c:formatCode>0.00E+00</c:formatCode>
                <c:ptCount val="4"/>
                <c:pt idx="1">
                  <c:v>0.60606043366247164</c:v>
                </c:pt>
                <c:pt idx="2">
                  <c:v>0.51278280043964153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2341-44BE-BA6D-DCD5B31E68E0}"/>
            </c:ext>
          </c:extLst>
        </c:ser>
        <c:ser>
          <c:idx val="7"/>
          <c:order val="7"/>
          <c:tx>
            <c:strRef>
              <c:f>'TRANSGENIC-TOBACCO'!$A$88</c:f>
              <c:strCache>
                <c:ptCount val="1"/>
                <c:pt idx="0">
                  <c:v>Plant nutrients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'TRANSGENIC-TOBACCO'!$F$80:$I$80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'TRANSGENIC-TOBACCO'!$F$88:$I$88</c:f>
              <c:numCache>
                <c:formatCode>0.00E+00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1C-2341-44BE-BA6D-DCD5B31E68E0}"/>
            </c:ext>
          </c:extLst>
        </c:ser>
        <c:ser>
          <c:idx val="8"/>
          <c:order val="8"/>
          <c:tx>
            <c:strRef>
              <c:f>'TRANSGENIC-TOBACCO'!$A$89</c:f>
              <c:strCache>
                <c:ptCount val="1"/>
                <c:pt idx="0">
                  <c:v>Carbon dioxide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'TRANSGENIC-TOBACCO'!$F$80:$I$80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'TRANSGENIC-TOBACCO'!$F$89:$I$89</c:f>
              <c:numCache>
                <c:formatCode>0.00E+00</c:formatCode>
                <c:ptCount val="4"/>
                <c:pt idx="1">
                  <c:v>1.4355771754851292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2341-44BE-BA6D-DCD5B31E68E0}"/>
            </c:ext>
          </c:extLst>
        </c:ser>
        <c:ser>
          <c:idx val="9"/>
          <c:order val="9"/>
          <c:tx>
            <c:strRef>
              <c:f>'TRANSGENIC-TOBACCO'!$A$90</c:f>
              <c:strCache>
                <c:ptCount val="1"/>
                <c:pt idx="0">
                  <c:v>PTH-Fc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strRef>
              <c:f>'TRANSGENIC-TOBACCO'!$F$80:$I$80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'TRANSGENIC-TOBACCO'!$F$90:$I$90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20-2341-44BE-BA6D-DCD5B31E68E0}"/>
            </c:ext>
          </c:extLst>
        </c:ser>
        <c:ser>
          <c:idx val="10"/>
          <c:order val="10"/>
          <c:tx>
            <c:strRef>
              <c:f>'TRANSGENIC-TOBACCO'!$A$91</c:f>
              <c:strCache>
                <c:ptCount val="1"/>
                <c:pt idx="0">
                  <c:v>Plant biomass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</c:spPr>
          <c:invertIfNegative val="0"/>
          <c:cat>
            <c:strRef>
              <c:f>'TRANSGENIC-TOBACCO'!$F$80:$I$80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'TRANSGENIC-TOBACCO'!$F$91:$I$91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22-2341-44BE-BA6D-DCD5B31E68E0}"/>
            </c:ext>
          </c:extLst>
        </c:ser>
        <c:ser>
          <c:idx val="11"/>
          <c:order val="11"/>
          <c:tx>
            <c:strRef>
              <c:f>'TRANSGENIC-TOBACCO'!$A$92</c:f>
              <c:strCache>
                <c:ptCount val="1"/>
                <c:pt idx="0">
                  <c:v>Oxygen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'TRANSGENIC-TOBACCO'!$F$80:$I$80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'TRANSGENIC-TOBACCO'!$F$92:$I$92</c:f>
              <c:numCache>
                <c:formatCode>General</c:formatCode>
                <c:ptCount val="4"/>
                <c:pt idx="2" formatCode="0.00E+00">
                  <c:v>1.4613370649891613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2341-44BE-BA6D-DCD5B31E68E0}"/>
            </c:ext>
          </c:extLst>
        </c:ser>
        <c:ser>
          <c:idx val="12"/>
          <c:order val="12"/>
          <c:tx>
            <c:strRef>
              <c:f>'TRANSGENIC-TOBACCO'!$A$93</c:f>
              <c:strCache>
                <c:ptCount val="1"/>
                <c:pt idx="0">
                  <c:v>Biomass Waste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</c:spPr>
          <c:invertIfNegative val="0"/>
          <c:cat>
            <c:strRef>
              <c:f>'TRANSGENIC-TOBACCO'!$F$80:$I$80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'TRANSGENIC-TOBACCO'!$F$93:$I$93</c:f>
              <c:numCache>
                <c:formatCode>General</c:formatCode>
                <c:ptCount val="4"/>
                <c:pt idx="3" formatCode="0.00E+00">
                  <c:v>2.9708844787376058E-2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2341-44BE-BA6D-DCD5B31E68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100"/>
        <c:axId val="312382031"/>
        <c:axId val="312385871"/>
      </c:barChart>
      <c:catAx>
        <c:axId val="312382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2385871"/>
        <c:crosses val="autoZero"/>
        <c:auto val="1"/>
        <c:lblAlgn val="ctr"/>
        <c:lblOffset val="100"/>
        <c:noMultiLvlLbl val="0"/>
      </c:catAx>
      <c:valAx>
        <c:axId val="31238587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kern="1200" baseline="0">
                    <a:solidFill>
                      <a:sysClr val="windowText" lastClr="000000"/>
                    </a:solidFill>
                  </a:rPr>
                  <a:t>Volume (m</a:t>
                </a:r>
                <a:r>
                  <a:rPr lang="en-US" sz="1000" b="1" i="0" u="none" strike="noStrike" kern="1200" baseline="30000">
                    <a:solidFill>
                      <a:sysClr val="windowText" lastClr="000000"/>
                    </a:solidFill>
                  </a:rPr>
                  <a:t>3</a:t>
                </a:r>
                <a:r>
                  <a:rPr lang="en-US" sz="1000" b="1" i="0" u="none" strike="noStrike" kern="1200" baseline="0">
                    <a:solidFill>
                      <a:sysClr val="windowText" lastClr="000000"/>
                    </a:solidFill>
                  </a:rPr>
                  <a:t>/CM/Mission)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" sourceLinked="0"/>
        <c:majorTickMark val="out"/>
        <c:minorTickMark val="none"/>
        <c:tickLblPos val="nextTo"/>
        <c:spPr>
          <a:noFill/>
          <a:ln w="952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2382031"/>
        <c:crosses val="autoZero"/>
        <c:crossBetween val="between"/>
      </c:valAx>
      <c:spPr>
        <a:ln>
          <a:solidFill>
            <a:schemeClr val="tx1"/>
          </a:solidFill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/>
      </a:solidFill>
      <a:round/>
    </a:ln>
    <a:effectLst/>
  </c:spPr>
  <c:txPr>
    <a:bodyPr/>
    <a:lstStyle/>
    <a:p>
      <a:pPr>
        <a:defRPr sz="1000" b="1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ysClr val="windowText" lastClr="000000"/>
                </a:solidFill>
              </a:rPr>
              <a:t>TRANSGENIC - TOBACCO Power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'TRANSGENIC-TOBACCO'!$A$81</c:f>
              <c:strCache>
                <c:ptCount val="1"/>
                <c:pt idx="0">
                  <c:v>Harvesting collection container</c:v>
                </c:pt>
              </c:strCache>
            </c:strRef>
          </c:tx>
          <c:spPr>
            <a:solidFill>
              <a:schemeClr val="accent2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'TRANSGENIC-TOBACCO'!$J$80:$M$80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'TRANSGENIC-TOBACCO'!$J$81:$M$81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E-0E6F-4D8A-8496-4F531678E555}"/>
            </c:ext>
          </c:extLst>
        </c:ser>
        <c:ser>
          <c:idx val="1"/>
          <c:order val="1"/>
          <c:tx>
            <c:strRef>
              <c:f>'TRANSGENIC-TOBACCO'!$A$82</c:f>
              <c:strCache>
                <c:ptCount val="1"/>
                <c:pt idx="0">
                  <c:v>Harvesting tools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'TRANSGENIC-TOBACCO'!$J$80:$M$80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'TRANSGENIC-TOBACCO'!$J$82:$M$82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10-0E6F-4D8A-8496-4F531678E555}"/>
            </c:ext>
          </c:extLst>
        </c:ser>
        <c:ser>
          <c:idx val="2"/>
          <c:order val="2"/>
          <c:tx>
            <c:strRef>
              <c:f>'TRANSGENIC-TOBACCO'!$A$83</c:f>
              <c:strCache>
                <c:ptCount val="1"/>
                <c:pt idx="0">
                  <c:v>Refrigerator/Freezer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'TRANSGENIC-TOBACCO'!$J$80:$M$80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'TRANSGENIC-TOBACCO'!$J$83:$M$83</c:f>
              <c:numCache>
                <c:formatCode>General</c:formatCode>
                <c:ptCount val="4"/>
                <c:pt idx="0" formatCode="0.00E+00">
                  <c:v>5.7692307692307677E-5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0E6F-4D8A-8496-4F531678E555}"/>
            </c:ext>
          </c:extLst>
        </c:ser>
        <c:ser>
          <c:idx val="3"/>
          <c:order val="3"/>
          <c:tx>
            <c:strRef>
              <c:f>'TRANSGENIC-TOBACCO'!$A$84</c:f>
              <c:strCache>
                <c:ptCount val="1"/>
                <c:pt idx="0">
                  <c:v>Lighting panels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'TRANSGENIC-TOBACCO'!$J$80:$M$80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'TRANSGENIC-TOBACCO'!$J$84:$M$84</c:f>
              <c:numCache>
                <c:formatCode>General</c:formatCode>
                <c:ptCount val="4"/>
                <c:pt idx="0" formatCode="0.00E+00">
                  <c:v>0.20280000000000001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0E6F-4D8A-8496-4F531678E555}"/>
            </c:ext>
          </c:extLst>
        </c:ser>
        <c:ser>
          <c:idx val="4"/>
          <c:order val="4"/>
          <c:tx>
            <c:strRef>
              <c:f>'TRANSGENIC-TOBACCO'!$A$85</c:f>
              <c:strCache>
                <c:ptCount val="1"/>
                <c:pt idx="0">
                  <c:v>Plant growth chamber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'TRANSGENIC-TOBACCO'!$J$80:$M$80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'TRANSGENIC-TOBACCO'!$J$85:$M$85</c:f>
              <c:numCache>
                <c:formatCode>General</c:formatCode>
                <c:ptCount val="4"/>
                <c:pt idx="0" formatCode="0.00E+00">
                  <c:v>0.17767124999999998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0E6F-4D8A-8496-4F531678E555}"/>
            </c:ext>
          </c:extLst>
        </c:ser>
        <c:ser>
          <c:idx val="5"/>
          <c:order val="5"/>
          <c:tx>
            <c:strRef>
              <c:f>'TRANSGENIC-TOBACCO'!$A$86</c:f>
              <c:strCache>
                <c:ptCount val="1"/>
                <c:pt idx="0">
                  <c:v>N. benthamiana seeds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'TRANSGENIC-TOBACCO'!$J$80:$M$80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'TRANSGENIC-TOBACCO'!$J$86:$M$86</c:f>
              <c:numCache>
                <c:formatCode>0.00E+00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18-0E6F-4D8A-8496-4F531678E555}"/>
            </c:ext>
          </c:extLst>
        </c:ser>
        <c:ser>
          <c:idx val="6"/>
          <c:order val="6"/>
          <c:tx>
            <c:strRef>
              <c:f>'TRANSGENIC-TOBACCO'!$A$87</c:f>
              <c:strCache>
                <c:ptCount val="1"/>
                <c:pt idx="0">
                  <c:v>Water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'TRANSGENIC-TOBACCO'!$J$80:$M$80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'TRANSGENIC-TOBACCO'!$J$87:$M$87</c:f>
              <c:numCache>
                <c:formatCode>0.00E+00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1A-0E6F-4D8A-8496-4F531678E555}"/>
            </c:ext>
          </c:extLst>
        </c:ser>
        <c:ser>
          <c:idx val="7"/>
          <c:order val="7"/>
          <c:tx>
            <c:strRef>
              <c:f>'TRANSGENIC-TOBACCO'!$A$88</c:f>
              <c:strCache>
                <c:ptCount val="1"/>
                <c:pt idx="0">
                  <c:v>Plant nutrients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'TRANSGENIC-TOBACCO'!$J$80:$M$80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'TRANSGENIC-TOBACCO'!$J$88:$M$88</c:f>
              <c:numCache>
                <c:formatCode>0.00E+00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1C-0E6F-4D8A-8496-4F531678E555}"/>
            </c:ext>
          </c:extLst>
        </c:ser>
        <c:ser>
          <c:idx val="8"/>
          <c:order val="8"/>
          <c:tx>
            <c:strRef>
              <c:f>'TRANSGENIC-TOBACCO'!$A$89</c:f>
              <c:strCache>
                <c:ptCount val="1"/>
                <c:pt idx="0">
                  <c:v>Carbon dioxide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'TRANSGENIC-TOBACCO'!$J$80:$M$80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'TRANSGENIC-TOBACCO'!$J$89:$M$89</c:f>
              <c:numCache>
                <c:formatCode>0.00E+00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1E-0E6F-4D8A-8496-4F531678E555}"/>
            </c:ext>
          </c:extLst>
        </c:ser>
        <c:ser>
          <c:idx val="9"/>
          <c:order val="9"/>
          <c:tx>
            <c:strRef>
              <c:f>'TRANSGENIC-TOBACCO'!$A$90</c:f>
              <c:strCache>
                <c:ptCount val="1"/>
                <c:pt idx="0">
                  <c:v>PTH-Fc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strRef>
              <c:f>'TRANSGENIC-TOBACCO'!$J$80:$M$80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'TRANSGENIC-TOBACCO'!$J$90:$M$90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20-0E6F-4D8A-8496-4F531678E555}"/>
            </c:ext>
          </c:extLst>
        </c:ser>
        <c:ser>
          <c:idx val="10"/>
          <c:order val="10"/>
          <c:tx>
            <c:strRef>
              <c:f>'TRANSGENIC-TOBACCO'!$A$91</c:f>
              <c:strCache>
                <c:ptCount val="1"/>
                <c:pt idx="0">
                  <c:v>Plant biomass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</c:spPr>
          <c:invertIfNegative val="0"/>
          <c:cat>
            <c:strRef>
              <c:f>'TRANSGENIC-TOBACCO'!$J$80:$M$80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'TRANSGENIC-TOBACCO'!$J$91:$M$91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22-0E6F-4D8A-8496-4F531678E555}"/>
            </c:ext>
          </c:extLst>
        </c:ser>
        <c:ser>
          <c:idx val="11"/>
          <c:order val="11"/>
          <c:tx>
            <c:strRef>
              <c:f>'TRANSGENIC-TOBACCO'!$A$92</c:f>
              <c:strCache>
                <c:ptCount val="1"/>
                <c:pt idx="0">
                  <c:v>Oxygen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'TRANSGENIC-TOBACCO'!$J$80:$M$80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'TRANSGENIC-TOBACCO'!$J$92:$M$92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24-0E6F-4D8A-8496-4F531678E555}"/>
            </c:ext>
          </c:extLst>
        </c:ser>
        <c:ser>
          <c:idx val="12"/>
          <c:order val="12"/>
          <c:tx>
            <c:strRef>
              <c:f>'TRANSGENIC-TOBACCO'!$A$93</c:f>
              <c:strCache>
                <c:ptCount val="1"/>
                <c:pt idx="0">
                  <c:v>Biomass Waste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</c:spPr>
          <c:invertIfNegative val="0"/>
          <c:cat>
            <c:strRef>
              <c:f>'TRANSGENIC-TOBACCO'!$J$80:$M$80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'TRANSGENIC-TOBACCO'!$J$93:$M$93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26-0E6F-4D8A-8496-4F531678E5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100"/>
        <c:axId val="312382031"/>
        <c:axId val="312385871"/>
      </c:barChart>
      <c:catAx>
        <c:axId val="312382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2385871"/>
        <c:crosses val="autoZero"/>
        <c:auto val="1"/>
        <c:lblAlgn val="ctr"/>
        <c:lblOffset val="100"/>
        <c:noMultiLvlLbl val="0"/>
      </c:catAx>
      <c:valAx>
        <c:axId val="31238587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kern="1200" baseline="0">
                    <a:solidFill>
                      <a:sysClr val="windowText" lastClr="000000"/>
                    </a:solidFill>
                  </a:rPr>
                  <a:t>Power (kW/CM/Mission)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0" sourceLinked="0"/>
        <c:majorTickMark val="out"/>
        <c:minorTickMark val="none"/>
        <c:tickLblPos val="nextTo"/>
        <c:spPr>
          <a:noFill/>
          <a:ln w="952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2382031"/>
        <c:crosses val="autoZero"/>
        <c:crossBetween val="between"/>
      </c:valAx>
      <c:spPr>
        <a:ln>
          <a:solidFill>
            <a:schemeClr val="tx1"/>
          </a:solidFill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/>
      </a:solidFill>
      <a:round/>
    </a:ln>
    <a:effectLst/>
  </c:spPr>
  <c:txPr>
    <a:bodyPr/>
    <a:lstStyle/>
    <a:p>
      <a:pPr>
        <a:defRPr sz="1000" b="1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ysClr val="windowText" lastClr="000000"/>
                </a:solidFill>
              </a:rPr>
              <a:t>TRANSGENIC - TOBACCO Crew time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'TRANSGENIC-TOBACCO'!$A$81</c:f>
              <c:strCache>
                <c:ptCount val="1"/>
                <c:pt idx="0">
                  <c:v>Harvesting collection container</c:v>
                </c:pt>
              </c:strCache>
            </c:strRef>
          </c:tx>
          <c:spPr>
            <a:solidFill>
              <a:schemeClr val="accent2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'TRANSGENIC-TOBACCO'!$N$80:$O$80</c:f>
              <c:strCache>
                <c:ptCount val="2"/>
                <c:pt idx="0">
                  <c:v>System</c:v>
                </c:pt>
                <c:pt idx="1">
                  <c:v>Process Operations</c:v>
                </c:pt>
              </c:strCache>
            </c:strRef>
          </c:cat>
          <c:val>
            <c:numRef>
              <c:f>'TRANSGENIC-TOBACCO'!$N$81:$O$81</c:f>
              <c:numCache>
                <c:formatCode>General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01-1F3F-433B-9270-3445AB4A1C59}"/>
            </c:ext>
          </c:extLst>
        </c:ser>
        <c:ser>
          <c:idx val="1"/>
          <c:order val="1"/>
          <c:tx>
            <c:strRef>
              <c:f>'TRANSGENIC-TOBACCO'!$A$82</c:f>
              <c:strCache>
                <c:ptCount val="1"/>
                <c:pt idx="0">
                  <c:v>Harvesting tools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'TRANSGENIC-TOBACCO'!$N$80:$O$80</c:f>
              <c:strCache>
                <c:ptCount val="2"/>
                <c:pt idx="0">
                  <c:v>System</c:v>
                </c:pt>
                <c:pt idx="1">
                  <c:v>Process Operations</c:v>
                </c:pt>
              </c:strCache>
            </c:strRef>
          </c:cat>
          <c:val>
            <c:numRef>
              <c:f>'TRANSGENIC-TOBACCO'!$N$82:$O$82</c:f>
              <c:numCache>
                <c:formatCode>General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03-1F3F-433B-9270-3445AB4A1C59}"/>
            </c:ext>
          </c:extLst>
        </c:ser>
        <c:ser>
          <c:idx val="2"/>
          <c:order val="2"/>
          <c:tx>
            <c:strRef>
              <c:f>'TRANSGENIC-TOBACCO'!$A$83</c:f>
              <c:strCache>
                <c:ptCount val="1"/>
                <c:pt idx="0">
                  <c:v>Refrigerator/Freezer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'TRANSGENIC-TOBACCO'!$N$80:$O$80</c:f>
              <c:strCache>
                <c:ptCount val="2"/>
                <c:pt idx="0">
                  <c:v>System</c:v>
                </c:pt>
                <c:pt idx="1">
                  <c:v>Process Operations</c:v>
                </c:pt>
              </c:strCache>
            </c:strRef>
          </c:cat>
          <c:val>
            <c:numRef>
              <c:f>'TRANSGENIC-TOBACCO'!$N$83:$O$83</c:f>
              <c:numCache>
                <c:formatCode>General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05-1F3F-433B-9270-3445AB4A1C59}"/>
            </c:ext>
          </c:extLst>
        </c:ser>
        <c:ser>
          <c:idx val="3"/>
          <c:order val="3"/>
          <c:tx>
            <c:strRef>
              <c:f>'TRANSGENIC-TOBACCO'!$A$84</c:f>
              <c:strCache>
                <c:ptCount val="1"/>
                <c:pt idx="0">
                  <c:v>Lighting panels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'TRANSGENIC-TOBACCO'!$N$80:$O$80</c:f>
              <c:strCache>
                <c:ptCount val="2"/>
                <c:pt idx="0">
                  <c:v>System</c:v>
                </c:pt>
                <c:pt idx="1">
                  <c:v>Process Operations</c:v>
                </c:pt>
              </c:strCache>
            </c:strRef>
          </c:cat>
          <c:val>
            <c:numRef>
              <c:f>'TRANSGENIC-TOBACCO'!$N$84:$O$84</c:f>
              <c:numCache>
                <c:formatCode>General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07-1F3F-433B-9270-3445AB4A1C59}"/>
            </c:ext>
          </c:extLst>
        </c:ser>
        <c:ser>
          <c:idx val="4"/>
          <c:order val="4"/>
          <c:tx>
            <c:strRef>
              <c:f>'TRANSGENIC-TOBACCO'!$A$85</c:f>
              <c:strCache>
                <c:ptCount val="1"/>
                <c:pt idx="0">
                  <c:v>Plant growth chamber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'TRANSGENIC-TOBACCO'!$N$80:$O$80</c:f>
              <c:strCache>
                <c:ptCount val="2"/>
                <c:pt idx="0">
                  <c:v>System</c:v>
                </c:pt>
                <c:pt idx="1">
                  <c:v>Process Operations</c:v>
                </c:pt>
              </c:strCache>
            </c:strRef>
          </c:cat>
          <c:val>
            <c:numRef>
              <c:f>'TRANSGENIC-TOBACCO'!$N$85:$O$85</c:f>
              <c:numCache>
                <c:formatCode>General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09-1F3F-433B-9270-3445AB4A1C59}"/>
            </c:ext>
          </c:extLst>
        </c:ser>
        <c:ser>
          <c:idx val="5"/>
          <c:order val="5"/>
          <c:tx>
            <c:strRef>
              <c:f>'TRANSGENIC-TOBACCO'!$A$86</c:f>
              <c:strCache>
                <c:ptCount val="1"/>
                <c:pt idx="0">
                  <c:v>N. benthamiana seeds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'TRANSGENIC-TOBACCO'!$N$80:$O$80</c:f>
              <c:strCache>
                <c:ptCount val="2"/>
                <c:pt idx="0">
                  <c:v>System</c:v>
                </c:pt>
                <c:pt idx="1">
                  <c:v>Process Operations</c:v>
                </c:pt>
              </c:strCache>
            </c:strRef>
          </c:cat>
          <c:val>
            <c:numRef>
              <c:f>'TRANSGENIC-TOBACCO'!$N$86:$O$86</c:f>
              <c:numCache>
                <c:formatCode>0.00E+00</c:formatCode>
                <c:ptCount val="2"/>
                <c:pt idx="1">
                  <c:v>9.1199999999999992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1F3F-433B-9270-3445AB4A1C59}"/>
            </c:ext>
          </c:extLst>
        </c:ser>
        <c:ser>
          <c:idx val="6"/>
          <c:order val="6"/>
          <c:tx>
            <c:strRef>
              <c:f>'TRANSGENIC-TOBACCO'!$A$87</c:f>
              <c:strCache>
                <c:ptCount val="1"/>
                <c:pt idx="0">
                  <c:v>Water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'TRANSGENIC-TOBACCO'!$N$80:$O$80</c:f>
              <c:strCache>
                <c:ptCount val="2"/>
                <c:pt idx="0">
                  <c:v>System</c:v>
                </c:pt>
                <c:pt idx="1">
                  <c:v>Process Operations</c:v>
                </c:pt>
              </c:strCache>
            </c:strRef>
          </c:cat>
          <c:val>
            <c:numRef>
              <c:f>'TRANSGENIC-TOBACCO'!$N$87:$O$87</c:f>
              <c:numCache>
                <c:formatCode>0.00E+00</c:formatCode>
                <c:ptCount val="2"/>
                <c:pt idx="1">
                  <c:v>0.48167464620553418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1F3F-433B-9270-3445AB4A1C59}"/>
            </c:ext>
          </c:extLst>
        </c:ser>
        <c:ser>
          <c:idx val="7"/>
          <c:order val="7"/>
          <c:tx>
            <c:strRef>
              <c:f>'TRANSGENIC-TOBACCO'!$A$88</c:f>
              <c:strCache>
                <c:ptCount val="1"/>
                <c:pt idx="0">
                  <c:v>Plant nutrients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'TRANSGENIC-TOBACCO'!$N$80:$O$80</c:f>
              <c:strCache>
                <c:ptCount val="2"/>
                <c:pt idx="0">
                  <c:v>System</c:v>
                </c:pt>
                <c:pt idx="1">
                  <c:v>Process Operations</c:v>
                </c:pt>
              </c:strCache>
            </c:strRef>
          </c:cat>
          <c:val>
            <c:numRef>
              <c:f>'TRANSGENIC-TOBACCO'!$N$88:$O$88</c:f>
              <c:numCache>
                <c:formatCode>0.00E+00</c:formatCode>
                <c:ptCount val="2"/>
                <c:pt idx="1">
                  <c:v>0.98503134141595905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1F3F-433B-9270-3445AB4A1C59}"/>
            </c:ext>
          </c:extLst>
        </c:ser>
        <c:ser>
          <c:idx val="8"/>
          <c:order val="8"/>
          <c:tx>
            <c:strRef>
              <c:f>'TRANSGENIC-TOBACCO'!$A$89</c:f>
              <c:strCache>
                <c:ptCount val="1"/>
                <c:pt idx="0">
                  <c:v>Carbon dioxide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'TRANSGENIC-TOBACCO'!$N$80:$O$80</c:f>
              <c:strCache>
                <c:ptCount val="2"/>
                <c:pt idx="0">
                  <c:v>System</c:v>
                </c:pt>
                <c:pt idx="1">
                  <c:v>Process Operations</c:v>
                </c:pt>
              </c:strCache>
            </c:strRef>
          </c:cat>
          <c:val>
            <c:numRef>
              <c:f>'TRANSGENIC-TOBACCO'!$N$89:$O$89</c:f>
              <c:numCache>
                <c:formatCode>0.00E+00</c:formatCode>
                <c:ptCount val="2"/>
                <c:pt idx="1">
                  <c:v>32.0565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1F3F-433B-9270-3445AB4A1C59}"/>
            </c:ext>
          </c:extLst>
        </c:ser>
        <c:ser>
          <c:idx val="9"/>
          <c:order val="9"/>
          <c:tx>
            <c:strRef>
              <c:f>'TRANSGENIC-TOBACCO'!$A$90</c:f>
              <c:strCache>
                <c:ptCount val="1"/>
                <c:pt idx="0">
                  <c:v>PTH-Fc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strRef>
              <c:f>'TRANSGENIC-TOBACCO'!$N$80:$O$80</c:f>
              <c:strCache>
                <c:ptCount val="2"/>
                <c:pt idx="0">
                  <c:v>System</c:v>
                </c:pt>
                <c:pt idx="1">
                  <c:v>Process Operations</c:v>
                </c:pt>
              </c:strCache>
            </c:strRef>
          </c:cat>
          <c:val>
            <c:numRef>
              <c:f>'TRANSGENIC-TOBACCO'!$N$90:$O$90</c:f>
              <c:numCache>
                <c:formatCode>0.00E+00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13-1F3F-433B-9270-3445AB4A1C59}"/>
            </c:ext>
          </c:extLst>
        </c:ser>
        <c:ser>
          <c:idx val="10"/>
          <c:order val="10"/>
          <c:tx>
            <c:strRef>
              <c:f>'TRANSGENIC-TOBACCO'!$A$91</c:f>
              <c:strCache>
                <c:ptCount val="1"/>
                <c:pt idx="0">
                  <c:v>Plant biomass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</c:spPr>
          <c:invertIfNegative val="0"/>
          <c:cat>
            <c:strRef>
              <c:f>'TRANSGENIC-TOBACCO'!$N$80:$O$80</c:f>
              <c:strCache>
                <c:ptCount val="2"/>
                <c:pt idx="0">
                  <c:v>System</c:v>
                </c:pt>
                <c:pt idx="1">
                  <c:v>Process Operations</c:v>
                </c:pt>
              </c:strCache>
            </c:strRef>
          </c:cat>
          <c:val>
            <c:numRef>
              <c:f>'TRANSGENIC-TOBACCO'!$N$91:$O$91</c:f>
              <c:numCache>
                <c:formatCode>0.00E+00</c:formatCode>
                <c:ptCount val="2"/>
                <c:pt idx="1">
                  <c:v>0.69243119651203311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1F3F-433B-9270-3445AB4A1C59}"/>
            </c:ext>
          </c:extLst>
        </c:ser>
        <c:ser>
          <c:idx val="11"/>
          <c:order val="11"/>
          <c:tx>
            <c:strRef>
              <c:f>'TRANSGENIC-TOBACCO'!$A$92</c:f>
              <c:strCache>
                <c:ptCount val="1"/>
                <c:pt idx="0">
                  <c:v>Oxygen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'TRANSGENIC-TOBACCO'!$N$80:$O$80</c:f>
              <c:strCache>
                <c:ptCount val="2"/>
                <c:pt idx="0">
                  <c:v>System</c:v>
                </c:pt>
                <c:pt idx="1">
                  <c:v>Process Operations</c:v>
                </c:pt>
              </c:strCache>
            </c:strRef>
          </c:cat>
          <c:val>
            <c:numRef>
              <c:f>'TRANSGENIC-TOBACCO'!$N$92:$O$92</c:f>
              <c:numCache>
                <c:formatCode>General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17-1F3F-433B-9270-3445AB4A1C59}"/>
            </c:ext>
          </c:extLst>
        </c:ser>
        <c:ser>
          <c:idx val="12"/>
          <c:order val="12"/>
          <c:tx>
            <c:strRef>
              <c:f>'TRANSGENIC-TOBACCO'!$A$93</c:f>
              <c:strCache>
                <c:ptCount val="1"/>
                <c:pt idx="0">
                  <c:v>Biomass Waste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</c:spPr>
          <c:invertIfNegative val="0"/>
          <c:cat>
            <c:strRef>
              <c:f>'TRANSGENIC-TOBACCO'!$N$80:$O$80</c:f>
              <c:strCache>
                <c:ptCount val="2"/>
                <c:pt idx="0">
                  <c:v>System</c:v>
                </c:pt>
                <c:pt idx="1">
                  <c:v>Process Operations</c:v>
                </c:pt>
              </c:strCache>
            </c:strRef>
          </c:cat>
          <c:val>
            <c:numRef>
              <c:f>'TRANSGENIC-TOBACCO'!$N$93:$O$93</c:f>
              <c:numCache>
                <c:formatCode>General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19-1F3F-433B-9270-3445AB4A1C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100"/>
        <c:axId val="312382031"/>
        <c:axId val="312385871"/>
      </c:barChart>
      <c:catAx>
        <c:axId val="312382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2385871"/>
        <c:crosses val="autoZero"/>
        <c:auto val="1"/>
        <c:lblAlgn val="ctr"/>
        <c:lblOffset val="100"/>
        <c:noMultiLvlLbl val="0"/>
      </c:catAx>
      <c:valAx>
        <c:axId val="31238587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kern="1200" baseline="0">
                    <a:solidFill>
                      <a:sysClr val="windowText" lastClr="000000"/>
                    </a:solidFill>
                  </a:rPr>
                  <a:t>Power (kW/CM/Mission)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" sourceLinked="0"/>
        <c:majorTickMark val="out"/>
        <c:minorTickMark val="none"/>
        <c:tickLblPos val="nextTo"/>
        <c:spPr>
          <a:noFill/>
          <a:ln w="952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2382031"/>
        <c:crosses val="autoZero"/>
        <c:crossBetween val="between"/>
      </c:valAx>
      <c:spPr>
        <a:ln>
          <a:solidFill>
            <a:schemeClr val="tx1"/>
          </a:solidFill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/>
      </a:solidFill>
      <a:round/>
    </a:ln>
    <a:effectLst/>
  </c:spPr>
  <c:txPr>
    <a:bodyPr/>
    <a:lstStyle/>
    <a:p>
      <a:pPr>
        <a:defRPr sz="1000" b="1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400"/>
              <a:t>GENE GUN - Mass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'GENE GUN'!$A$215</c:f>
              <c:strCache>
                <c:ptCount val="1"/>
                <c:pt idx="0">
                  <c:v>Harvesting container</c:v>
                </c:pt>
              </c:strCache>
            </c:strRef>
          </c:tx>
          <c:spPr>
            <a:solidFill>
              <a:schemeClr val="accent2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'GENE GUN'!$B$214:$E$214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'GENE GUN'!$B$215:$E$215</c:f>
              <c:numCache>
                <c:formatCode>General</c:formatCode>
                <c:ptCount val="4"/>
                <c:pt idx="0" formatCode="0.00E+00">
                  <c:v>9.67779624E-2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C995-41FD-974A-3DB02142ABAB}"/>
            </c:ext>
          </c:extLst>
        </c:ser>
        <c:ser>
          <c:idx val="1"/>
          <c:order val="1"/>
          <c:tx>
            <c:strRef>
              <c:f>'GENE GUN'!$A$216</c:f>
              <c:strCache>
                <c:ptCount val="1"/>
                <c:pt idx="0">
                  <c:v>Harvesting tools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'GENE GUN'!$B$214:$E$214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'GENE GUN'!$B$216:$E$216</c:f>
              <c:numCache>
                <c:formatCode>General</c:formatCode>
                <c:ptCount val="4"/>
                <c:pt idx="0" formatCode="0.00E+00">
                  <c:v>3.4018333333333338E-2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C995-41FD-974A-3DB02142ABAB}"/>
            </c:ext>
          </c:extLst>
        </c:ser>
        <c:ser>
          <c:idx val="2"/>
          <c:order val="2"/>
          <c:tx>
            <c:strRef>
              <c:f>'GENE GUN'!$A$217</c:f>
              <c:strCache>
                <c:ptCount val="1"/>
                <c:pt idx="0">
                  <c:v>Refrigerator/Freezer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'GENE GUN'!$B$214:$E$214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'GENE GUN'!$B$217:$E$217</c:f>
              <c:numCache>
                <c:formatCode>General</c:formatCode>
                <c:ptCount val="4"/>
                <c:pt idx="0" formatCode="0.00E+00">
                  <c:v>5360.7409140625005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C995-41FD-974A-3DB02142ABAB}"/>
            </c:ext>
          </c:extLst>
        </c:ser>
        <c:ser>
          <c:idx val="3"/>
          <c:order val="3"/>
          <c:tx>
            <c:strRef>
              <c:f>'GENE GUN'!$A$218</c:f>
              <c:strCache>
                <c:ptCount val="1"/>
                <c:pt idx="0">
                  <c:v>Lighting panels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'GENE GUN'!$B$214:$E$214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'GENE GUN'!$B$218:$E$218</c:f>
              <c:numCache>
                <c:formatCode>General</c:formatCode>
                <c:ptCount val="4"/>
                <c:pt idx="0" formatCode="0.00E+00">
                  <c:v>5.1029999999999998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C995-41FD-974A-3DB02142ABAB}"/>
            </c:ext>
          </c:extLst>
        </c:ser>
        <c:ser>
          <c:idx val="4"/>
          <c:order val="4"/>
          <c:tx>
            <c:strRef>
              <c:f>'GENE GUN'!$A$219</c:f>
              <c:strCache>
                <c:ptCount val="1"/>
                <c:pt idx="0">
                  <c:v>Plant growth chamber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'GENE GUN'!$B$214:$E$214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'GENE GUN'!$B$219:$E$219</c:f>
              <c:numCache>
                <c:formatCode>General</c:formatCode>
                <c:ptCount val="4"/>
                <c:pt idx="0" formatCode="0.00E+00">
                  <c:v>160.875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C995-41FD-974A-3DB02142ABAB}"/>
            </c:ext>
          </c:extLst>
        </c:ser>
        <c:ser>
          <c:idx val="5"/>
          <c:order val="5"/>
          <c:tx>
            <c:strRef>
              <c:f>'GENE GUN'!$A$220</c:f>
              <c:strCache>
                <c:ptCount val="1"/>
                <c:pt idx="0">
                  <c:v>Lettuce seeds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'GENE GUN'!$B$214:$E$214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'GENE GUN'!$B$220:$E$220</c:f>
              <c:numCache>
                <c:formatCode>0.00E+00</c:formatCode>
                <c:ptCount val="4"/>
                <c:pt idx="1">
                  <c:v>9.5545999999999999E-4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C995-41FD-974A-3DB02142ABAB}"/>
            </c:ext>
          </c:extLst>
        </c:ser>
        <c:ser>
          <c:idx val="6"/>
          <c:order val="6"/>
          <c:tx>
            <c:strRef>
              <c:f>'GENE GUN'!$A$221</c:f>
              <c:strCache>
                <c:ptCount val="1"/>
                <c:pt idx="0">
                  <c:v>Water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'GENE GUN'!$B$214:$E$214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'GENE GUN'!$B$221:$E$221</c:f>
              <c:numCache>
                <c:formatCode>0.00E+00</c:formatCode>
                <c:ptCount val="4"/>
                <c:pt idx="1">
                  <c:v>3424.1258333333335</c:v>
                </c:pt>
                <c:pt idx="2">
                  <c:v>3060.2124437500006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C995-41FD-974A-3DB02142ABAB}"/>
            </c:ext>
          </c:extLst>
        </c:ser>
        <c:ser>
          <c:idx val="7"/>
          <c:order val="7"/>
          <c:tx>
            <c:strRef>
              <c:f>'GENE GUN'!$A$222</c:f>
              <c:strCache>
                <c:ptCount val="1"/>
                <c:pt idx="0">
                  <c:v>Plant nutrients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'GENE GUN'!$B$214:$E$214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'GENE GUN'!$B$222:$E$222</c:f>
              <c:numCache>
                <c:formatCode>0.00E+00</c:formatCode>
                <c:ptCount val="4"/>
                <c:pt idx="1">
                  <c:v>131.43164598666669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C995-41FD-974A-3DB02142ABAB}"/>
            </c:ext>
          </c:extLst>
        </c:ser>
        <c:ser>
          <c:idx val="8"/>
          <c:order val="8"/>
          <c:tx>
            <c:strRef>
              <c:f>'GENE GUN'!$A$223</c:f>
              <c:strCache>
                <c:ptCount val="1"/>
                <c:pt idx="0">
                  <c:v>Carbon dioxide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'GENE GUN'!$B$214:$E$214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'GENE GUN'!$B$223:$E$223</c:f>
              <c:numCache>
                <c:formatCode>0.00E+00</c:formatCode>
                <c:ptCount val="4"/>
                <c:pt idx="1">
                  <c:v>14.761541666666666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C-C995-41FD-974A-3DB02142ABAB}"/>
            </c:ext>
          </c:extLst>
        </c:ser>
        <c:ser>
          <c:idx val="9"/>
          <c:order val="9"/>
          <c:tx>
            <c:strRef>
              <c:f>'GENE GUN'!$A$224</c:f>
              <c:strCache>
                <c:ptCount val="1"/>
                <c:pt idx="0">
                  <c:v>Oxygen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strRef>
              <c:f>'GENE GUN'!$B$214:$E$214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'GENE GUN'!$B$224:$E$224</c:f>
              <c:numCache>
                <c:formatCode>General</c:formatCode>
                <c:ptCount val="4"/>
                <c:pt idx="2" formatCode="0.00E+00">
                  <c:v>10.733158333333336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E-C995-41FD-974A-3DB02142ABAB}"/>
            </c:ext>
          </c:extLst>
        </c:ser>
        <c:ser>
          <c:idx val="10"/>
          <c:order val="10"/>
          <c:tx>
            <c:strRef>
              <c:f>'GENE GUN'!$A$225</c:f>
              <c:strCache>
                <c:ptCount val="1"/>
                <c:pt idx="0">
                  <c:v>PTH-Fc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</c:spPr>
          <c:invertIfNegative val="0"/>
          <c:cat>
            <c:strRef>
              <c:f>'GENE GUN'!$B$214:$E$214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'GENE GUN'!$B$225:$E$225</c:f>
              <c:numCache>
                <c:formatCode>General</c:formatCode>
                <c:ptCount val="4"/>
                <c:pt idx="2" formatCode="0.00E+00">
                  <c:v>4.2999999999999994E-4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0-C995-41FD-974A-3DB02142ABAB}"/>
            </c:ext>
          </c:extLst>
        </c:ser>
        <c:ser>
          <c:idx val="11"/>
          <c:order val="11"/>
          <c:tx>
            <c:strRef>
              <c:f>'GENE GUN'!$A$226</c:f>
              <c:strCache>
                <c:ptCount val="1"/>
                <c:pt idx="0">
                  <c:v>Plant biomass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'GENE GUN'!$B$214:$E$214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'GENE GUN'!$B$226:$E$226</c:f>
              <c:numCache>
                <c:formatCode>General</c:formatCode>
                <c:ptCount val="4"/>
                <c:pt idx="2" formatCode="0.00E+00">
                  <c:v>18.120827083333324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2-C995-41FD-974A-3DB02142ABAB}"/>
            </c:ext>
          </c:extLst>
        </c:ser>
        <c:ser>
          <c:idx val="12"/>
          <c:order val="12"/>
          <c:tx>
            <c:strRef>
              <c:f>'GENE GUN'!$A$227</c:f>
              <c:strCache>
                <c:ptCount val="1"/>
                <c:pt idx="0">
                  <c:v>Calories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</c:spPr>
          <c:invertIfNegative val="0"/>
          <c:cat>
            <c:strRef>
              <c:f>'GENE GUN'!$B$214:$E$214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'GENE GUN'!$B$227:$E$227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34-C995-41FD-974A-3DB02142ABAB}"/>
            </c:ext>
          </c:extLst>
        </c:ser>
        <c:ser>
          <c:idx val="13"/>
          <c:order val="13"/>
          <c:tx>
            <c:strRef>
              <c:f>'GENE GUN'!$A$228</c:f>
              <c:strCache>
                <c:ptCount val="1"/>
                <c:pt idx="0">
                  <c:v>Macronutrients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'GENE GUN'!$B$214:$E$214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'GENE GUN'!$B$228:$E$228</c:f>
              <c:numCache>
                <c:formatCode>General</c:formatCode>
                <c:ptCount val="4"/>
                <c:pt idx="2" formatCode="0.00E+00">
                  <c:v>8.3718221124999985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6-C995-41FD-974A-3DB02142ABAB}"/>
            </c:ext>
          </c:extLst>
        </c:ser>
        <c:ser>
          <c:idx val="14"/>
          <c:order val="14"/>
          <c:tx>
            <c:strRef>
              <c:f>'GENE GUN'!$A$229</c:f>
              <c:strCache>
                <c:ptCount val="1"/>
                <c:pt idx="0">
                  <c:v>Micronutrients</c:v>
                </c:pt>
              </c:strCache>
            </c:strRef>
          </c:tx>
          <c:spPr>
            <a:solidFill>
              <a:schemeClr val="accent6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'GENE GUN'!$B$214:$E$214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'GENE GUN'!$B$229:$E$229</c:f>
              <c:numCache>
                <c:formatCode>General</c:formatCode>
                <c:ptCount val="4"/>
                <c:pt idx="2" formatCode="0.00E+00">
                  <c:v>0.35326461794822905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8-C995-41FD-974A-3DB02142ABAB}"/>
            </c:ext>
          </c:extLst>
        </c:ser>
        <c:ser>
          <c:idx val="15"/>
          <c:order val="15"/>
          <c:tx>
            <c:strRef>
              <c:f>'GENE GUN'!$A$230</c:f>
              <c:strCache>
                <c:ptCount val="1"/>
                <c:pt idx="0">
                  <c:v>Biomass waste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'GENE GUN'!$B$214:$E$214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'GENE GUN'!$B$230:$E$230</c:f>
              <c:numCache>
                <c:formatCode>General</c:formatCode>
                <c:ptCount val="4"/>
                <c:pt idx="3" formatCode="0.00E+00">
                  <c:v>10.070958333333335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A-C995-41FD-974A-3DB02142ABAB}"/>
            </c:ext>
          </c:extLst>
        </c:ser>
        <c:ser>
          <c:idx val="16"/>
          <c:order val="16"/>
          <c:tx>
            <c:strRef>
              <c:f>'GENE GUN'!$A$231</c:f>
              <c:strCache>
                <c:ptCount val="1"/>
                <c:pt idx="0">
                  <c:v>Gene Gun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strRef>
              <c:f>'GENE GUN'!$B$214:$E$214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'GENE GUN'!$B$231:$E$231</c:f>
              <c:numCache>
                <c:formatCode>General</c:formatCode>
                <c:ptCount val="4"/>
                <c:pt idx="0" formatCode="0.00E+00">
                  <c:v>0.24208333333333332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C-C995-41FD-974A-3DB02142ABAB}"/>
            </c:ext>
          </c:extLst>
        </c:ser>
        <c:ser>
          <c:idx val="17"/>
          <c:order val="17"/>
          <c:tx>
            <c:strRef>
              <c:f>'GENE GUN'!$A$232</c:f>
              <c:strCache>
                <c:ptCount val="1"/>
                <c:pt idx="0">
                  <c:v>Connector tubing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'GENE GUN'!$B$214:$E$214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'GENE GUN'!$B$232:$E$232</c:f>
              <c:numCache>
                <c:formatCode>General</c:formatCode>
                <c:ptCount val="4"/>
                <c:pt idx="0" formatCode="0.00E+00">
                  <c:v>0.1072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E-C995-41FD-974A-3DB02142ABAB}"/>
            </c:ext>
          </c:extLst>
        </c:ser>
        <c:ser>
          <c:idx val="18"/>
          <c:order val="18"/>
          <c:tx>
            <c:strRef>
              <c:f>'GENE GUN'!$A$233</c:f>
              <c:strCache>
                <c:ptCount val="1"/>
                <c:pt idx="0">
                  <c:v>Gas cylinder</c:v>
                </c:pt>
              </c:strCache>
            </c:strRef>
          </c:tx>
          <c:invertIfNegative val="0"/>
          <c:cat>
            <c:strRef>
              <c:f>'GENE GUN'!$B$214:$E$214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'GENE GUN'!$B$233:$E$233</c:f>
              <c:numCache>
                <c:formatCode>General</c:formatCode>
                <c:ptCount val="4"/>
                <c:pt idx="0" formatCode="0.00E+00">
                  <c:v>1.0582010582010584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0-C995-41FD-974A-3DB02142ABAB}"/>
            </c:ext>
          </c:extLst>
        </c:ser>
        <c:ser>
          <c:idx val="19"/>
          <c:order val="19"/>
          <c:tx>
            <c:strRef>
              <c:f>'GENE GUN'!$A$234</c:f>
              <c:strCache>
                <c:ptCount val="1"/>
                <c:pt idx="0">
                  <c:v>Gas regulator</c:v>
                </c:pt>
              </c:strCache>
            </c:strRef>
          </c:tx>
          <c:invertIfNegative val="0"/>
          <c:cat>
            <c:strRef>
              <c:f>'GENE GUN'!$B$214:$E$214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'GENE GUN'!$B$234:$E$234</c:f>
              <c:numCache>
                <c:formatCode>General</c:formatCode>
                <c:ptCount val="4"/>
                <c:pt idx="0" formatCode="0.00E+00">
                  <c:v>0.31809999999999999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2-C995-41FD-974A-3DB02142ABAB}"/>
            </c:ext>
          </c:extLst>
        </c:ser>
        <c:ser>
          <c:idx val="20"/>
          <c:order val="20"/>
          <c:tx>
            <c:strRef>
              <c:f>'GENE GUN'!$A$235</c:f>
              <c:strCache>
                <c:ptCount val="1"/>
                <c:pt idx="0">
                  <c:v>Cartrdige extractor </c:v>
                </c:pt>
              </c:strCache>
            </c:strRef>
          </c:tx>
          <c:invertIfNegative val="0"/>
          <c:cat>
            <c:strRef>
              <c:f>'GENE GUN'!$B$214:$E$214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'GENE GUN'!$B$235:$E$235</c:f>
              <c:numCache>
                <c:formatCode>General</c:formatCode>
                <c:ptCount val="4"/>
                <c:pt idx="0" formatCode="0.00E+00">
                  <c:v>1.5166666666666668E-3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4-C995-41FD-974A-3DB02142ABAB}"/>
            </c:ext>
          </c:extLst>
        </c:ser>
        <c:ser>
          <c:idx val="21"/>
          <c:order val="21"/>
          <c:tx>
            <c:strRef>
              <c:f>'GENE GUN'!$A$236</c:f>
              <c:strCache>
                <c:ptCount val="1"/>
                <c:pt idx="0">
                  <c:v>Ear protection</c:v>
                </c:pt>
              </c:strCache>
            </c:strRef>
          </c:tx>
          <c:invertIfNegative val="0"/>
          <c:cat>
            <c:strRef>
              <c:f>'GENE GUN'!$B$214:$E$214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'GENE GUN'!$B$236:$E$236</c:f>
              <c:numCache>
                <c:formatCode>General</c:formatCode>
                <c:ptCount val="4"/>
                <c:pt idx="0" formatCode="0.00E+00">
                  <c:v>3.5416666666666666E-2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6-C995-41FD-974A-3DB02142ABAB}"/>
            </c:ext>
          </c:extLst>
        </c:ser>
        <c:ser>
          <c:idx val="22"/>
          <c:order val="22"/>
          <c:tx>
            <c:strRef>
              <c:f>'GENE GUN'!$A$237</c:f>
              <c:strCache>
                <c:ptCount val="1"/>
                <c:pt idx="0">
                  <c:v>Eye protection</c:v>
                </c:pt>
              </c:strCache>
            </c:strRef>
          </c:tx>
          <c:invertIfNegative val="0"/>
          <c:cat>
            <c:strRef>
              <c:f>'GENE GUN'!$B$214:$E$214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'GENE GUN'!$B$237:$E$237</c:f>
              <c:numCache>
                <c:formatCode>General</c:formatCode>
                <c:ptCount val="4"/>
                <c:pt idx="0" formatCode="0.00E+00">
                  <c:v>4.0500000000000006E-3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8-C995-41FD-974A-3DB02142ABAB}"/>
            </c:ext>
          </c:extLst>
        </c:ser>
        <c:ser>
          <c:idx val="23"/>
          <c:order val="23"/>
          <c:tx>
            <c:strRef>
              <c:f>'GENE GUN'!$A$238</c:f>
              <c:strCache>
                <c:ptCount val="1"/>
                <c:pt idx="0">
                  <c:v>Bullets</c:v>
                </c:pt>
              </c:strCache>
            </c:strRef>
          </c:tx>
          <c:invertIfNegative val="0"/>
          <c:cat>
            <c:strRef>
              <c:f>'GENE GUN'!$B$214:$E$214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'GENE GUN'!$B$238:$E$238</c:f>
              <c:numCache>
                <c:formatCode>0.00E+00</c:formatCode>
                <c:ptCount val="4"/>
                <c:pt idx="1">
                  <c:v>106.75823662222224</c:v>
                </c:pt>
                <c:pt idx="3">
                  <c:v>104.85957467999999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A-C995-41FD-974A-3DB02142ABAB}"/>
            </c:ext>
          </c:extLst>
        </c:ser>
        <c:ser>
          <c:idx val="24"/>
          <c:order val="24"/>
          <c:tx>
            <c:strRef>
              <c:f>'GENE GUN'!$A$239</c:f>
              <c:strCache>
                <c:ptCount val="1"/>
                <c:pt idx="0">
                  <c:v>Battery</c:v>
                </c:pt>
              </c:strCache>
            </c:strRef>
          </c:tx>
          <c:invertIfNegative val="0"/>
          <c:cat>
            <c:strRef>
              <c:f>'GENE GUN'!$B$214:$E$214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'GENE GUN'!$B$239:$E$239</c:f>
              <c:numCache>
                <c:formatCode>0.00E+00</c:formatCode>
                <c:ptCount val="4"/>
                <c:pt idx="1">
                  <c:v>61.231999999999999</c:v>
                </c:pt>
                <c:pt idx="3">
                  <c:v>61.231999999999999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C-C995-41FD-974A-3DB02142ABAB}"/>
            </c:ext>
          </c:extLst>
        </c:ser>
        <c:ser>
          <c:idx val="25"/>
          <c:order val="25"/>
          <c:tx>
            <c:strRef>
              <c:f>'GENE GUN'!$A$240</c:f>
              <c:strCache>
                <c:ptCount val="1"/>
                <c:pt idx="0">
                  <c:v>Bullet holder vial</c:v>
                </c:pt>
              </c:strCache>
            </c:strRef>
          </c:tx>
          <c:invertIfNegative val="0"/>
          <c:cat>
            <c:strRef>
              <c:f>'GENE GUN'!$B$214:$E$214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'GENE GUN'!$B$240:$E$240</c:f>
              <c:numCache>
                <c:formatCode>0.00E+00</c:formatCode>
                <c:ptCount val="4"/>
                <c:pt idx="1">
                  <c:v>86.192834933333344</c:v>
                </c:pt>
                <c:pt idx="3">
                  <c:v>86.192834933333344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E-C995-41FD-974A-3DB02142ABAB}"/>
            </c:ext>
          </c:extLst>
        </c:ser>
        <c:ser>
          <c:idx val="26"/>
          <c:order val="26"/>
          <c:tx>
            <c:strRef>
              <c:f>'GENE GUN'!$A$241</c:f>
              <c:strCache>
                <c:ptCount val="1"/>
                <c:pt idx="0">
                  <c:v>Dessicant pack</c:v>
                </c:pt>
              </c:strCache>
            </c:strRef>
          </c:tx>
          <c:invertIfNegative val="0"/>
          <c:cat>
            <c:strRef>
              <c:f>'GENE GUN'!$B$214:$E$214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'GENE GUN'!$B$241:$E$241</c:f>
              <c:numCache>
                <c:formatCode>0.00E+00</c:formatCode>
                <c:ptCount val="4"/>
                <c:pt idx="1">
                  <c:v>14.823567733333332</c:v>
                </c:pt>
                <c:pt idx="3">
                  <c:v>14.823567733333332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0-C995-41FD-974A-3DB02142AB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100"/>
        <c:axId val="312382031"/>
        <c:axId val="312385871"/>
      </c:barChart>
      <c:catAx>
        <c:axId val="312382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2385871"/>
        <c:crosses val="autoZero"/>
        <c:auto val="1"/>
        <c:lblAlgn val="ctr"/>
        <c:lblOffset val="100"/>
        <c:noMultiLvlLbl val="0"/>
      </c:catAx>
      <c:valAx>
        <c:axId val="31238587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kern="1200" baseline="0">
                    <a:solidFill>
                      <a:sysClr val="windowText" lastClr="000000"/>
                    </a:solidFill>
                  </a:rPr>
                  <a:t>Mass (kg/CM/Mission)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" sourceLinked="0"/>
        <c:majorTickMark val="out"/>
        <c:minorTickMark val="none"/>
        <c:tickLblPos val="nextTo"/>
        <c:spPr>
          <a:noFill/>
          <a:ln w="952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2382031"/>
        <c:crosses val="autoZero"/>
        <c:crossBetween val="between"/>
      </c:valAx>
      <c:spPr>
        <a:ln>
          <a:solidFill>
            <a:schemeClr val="tx1"/>
          </a:solidFill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/>
      </a:solidFill>
      <a:round/>
    </a:ln>
    <a:effectLst/>
  </c:spPr>
  <c:txPr>
    <a:bodyPr/>
    <a:lstStyle/>
    <a:p>
      <a:pPr>
        <a:defRPr sz="1000" b="1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400"/>
              <a:t>GENE GUN - Volume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'GENE GUN'!$A$215</c:f>
              <c:strCache>
                <c:ptCount val="1"/>
                <c:pt idx="0">
                  <c:v>Harvesting container</c:v>
                </c:pt>
              </c:strCache>
            </c:strRef>
          </c:tx>
          <c:spPr>
            <a:solidFill>
              <a:schemeClr val="accent2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'GENE GUN'!$F$214:$I$214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'GENE GUN'!$F$215:$I$215</c:f>
              <c:numCache>
                <c:formatCode>General</c:formatCode>
                <c:ptCount val="4"/>
                <c:pt idx="0" formatCode="0.00E+00">
                  <c:v>5.2210181100000003E-5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F-6A51-4617-9245-8805E499B517}"/>
            </c:ext>
          </c:extLst>
        </c:ser>
        <c:ser>
          <c:idx val="1"/>
          <c:order val="1"/>
          <c:tx>
            <c:strRef>
              <c:f>'GENE GUN'!$A$216</c:f>
              <c:strCache>
                <c:ptCount val="1"/>
                <c:pt idx="0">
                  <c:v>Harvesting tools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'GENE GUN'!$F$214:$I$214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'GENE GUN'!$F$216:$I$216</c:f>
              <c:numCache>
                <c:formatCode>General</c:formatCode>
                <c:ptCount val="4"/>
                <c:pt idx="0" formatCode="0.00E+00">
                  <c:v>1.0735999999999999E-4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1-6A51-4617-9245-8805E499B517}"/>
            </c:ext>
          </c:extLst>
        </c:ser>
        <c:ser>
          <c:idx val="2"/>
          <c:order val="2"/>
          <c:tx>
            <c:strRef>
              <c:f>'GENE GUN'!$A$217</c:f>
              <c:strCache>
                <c:ptCount val="1"/>
                <c:pt idx="0">
                  <c:v>Refrigerator/Freezer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'GENE GUN'!$F$214:$I$214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'GENE GUN'!$F$217:$I$217</c:f>
              <c:numCache>
                <c:formatCode>General</c:formatCode>
                <c:ptCount val="4"/>
                <c:pt idx="0" formatCode="0.00E+00">
                  <c:v>26.0248423896875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3-6A51-4617-9245-8805E499B517}"/>
            </c:ext>
          </c:extLst>
        </c:ser>
        <c:ser>
          <c:idx val="3"/>
          <c:order val="3"/>
          <c:tx>
            <c:strRef>
              <c:f>'GENE GUN'!$A$218</c:f>
              <c:strCache>
                <c:ptCount val="1"/>
                <c:pt idx="0">
                  <c:v>Lighting panels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'GENE GUN'!$F$214:$I$214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'GENE GUN'!$F$218:$I$218</c:f>
              <c:numCache>
                <c:formatCode>General</c:formatCode>
                <c:ptCount val="4"/>
                <c:pt idx="0" formatCode="0.00E+00">
                  <c:v>1.8899999999999998E-3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5-6A51-4617-9245-8805E499B517}"/>
            </c:ext>
          </c:extLst>
        </c:ser>
        <c:ser>
          <c:idx val="4"/>
          <c:order val="4"/>
          <c:tx>
            <c:strRef>
              <c:f>'GENE GUN'!$A$219</c:f>
              <c:strCache>
                <c:ptCount val="1"/>
                <c:pt idx="0">
                  <c:v>Plant growth chamber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'GENE GUN'!$F$214:$I$214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'GENE GUN'!$F$219:$I$219</c:f>
              <c:numCache>
                <c:formatCode>General</c:formatCode>
                <c:ptCount val="4"/>
                <c:pt idx="0" formatCode="0.00E+00">
                  <c:v>1.7875000000000003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7-6A51-4617-9245-8805E499B517}"/>
            </c:ext>
          </c:extLst>
        </c:ser>
        <c:ser>
          <c:idx val="5"/>
          <c:order val="5"/>
          <c:tx>
            <c:strRef>
              <c:f>'GENE GUN'!$A$220</c:f>
              <c:strCache>
                <c:ptCount val="1"/>
                <c:pt idx="0">
                  <c:v>Lettuce seeds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'GENE GUN'!$F$214:$I$214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'GENE GUN'!$F$220:$I$220</c:f>
              <c:numCache>
                <c:formatCode>0.00E+00</c:formatCode>
                <c:ptCount val="4"/>
                <c:pt idx="1">
                  <c:v>3.2942936400000002E-6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9-6A51-4617-9245-8805E499B517}"/>
            </c:ext>
          </c:extLst>
        </c:ser>
        <c:ser>
          <c:idx val="6"/>
          <c:order val="6"/>
          <c:tx>
            <c:strRef>
              <c:f>'GENE GUN'!$A$221</c:f>
              <c:strCache>
                <c:ptCount val="1"/>
                <c:pt idx="0">
                  <c:v>Water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'GENE GUN'!$F$214:$I$214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'GENE GUN'!$F$221:$I$221</c:f>
              <c:numCache>
                <c:formatCode>0.00E+00</c:formatCode>
                <c:ptCount val="4"/>
                <c:pt idx="1">
                  <c:v>3.424125833333334</c:v>
                </c:pt>
                <c:pt idx="2">
                  <c:v>3.0602124437500007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B-6A51-4617-9245-8805E499B517}"/>
            </c:ext>
          </c:extLst>
        </c:ser>
        <c:ser>
          <c:idx val="7"/>
          <c:order val="7"/>
          <c:tx>
            <c:strRef>
              <c:f>'GENE GUN'!$A$222</c:f>
              <c:strCache>
                <c:ptCount val="1"/>
                <c:pt idx="0">
                  <c:v>Plant nutrients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'GENE GUN'!$F$214:$I$214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'GENE GUN'!$F$222:$I$222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7D-6A51-4617-9245-8805E499B517}"/>
            </c:ext>
          </c:extLst>
        </c:ser>
        <c:ser>
          <c:idx val="8"/>
          <c:order val="8"/>
          <c:tx>
            <c:strRef>
              <c:f>'GENE GUN'!$A$223</c:f>
              <c:strCache>
                <c:ptCount val="1"/>
                <c:pt idx="0">
                  <c:v>Carbon dioxide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'GENE GUN'!$F$214:$I$214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'GENE GUN'!$F$223:$I$223</c:f>
              <c:numCache>
                <c:formatCode>0.00E+00</c:formatCode>
                <c:ptCount val="4"/>
                <c:pt idx="1">
                  <c:v>8.1107371794871792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F-6A51-4617-9245-8805E499B517}"/>
            </c:ext>
          </c:extLst>
        </c:ser>
        <c:ser>
          <c:idx val="9"/>
          <c:order val="9"/>
          <c:tx>
            <c:strRef>
              <c:f>'GENE GUN'!$A$224</c:f>
              <c:strCache>
                <c:ptCount val="1"/>
                <c:pt idx="0">
                  <c:v>Oxygen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strRef>
              <c:f>'GENE GUN'!$F$214:$I$214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'GENE GUN'!$F$224:$I$224</c:f>
              <c:numCache>
                <c:formatCode>General</c:formatCode>
                <c:ptCount val="4"/>
                <c:pt idx="2" formatCode="0.00E+00">
                  <c:v>8.2562756410256419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81-6A51-4617-9245-8805E499B517}"/>
            </c:ext>
          </c:extLst>
        </c:ser>
        <c:ser>
          <c:idx val="10"/>
          <c:order val="10"/>
          <c:tx>
            <c:strRef>
              <c:f>'GENE GUN'!$A$225</c:f>
              <c:strCache>
                <c:ptCount val="1"/>
                <c:pt idx="0">
                  <c:v>PTH-Fc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</c:spPr>
          <c:invertIfNegative val="0"/>
          <c:cat>
            <c:strRef>
              <c:f>'GENE GUN'!$F$214:$I$214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'GENE GUN'!$F$225:$I$225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83-6A51-4617-9245-8805E499B517}"/>
            </c:ext>
          </c:extLst>
        </c:ser>
        <c:ser>
          <c:idx val="11"/>
          <c:order val="11"/>
          <c:tx>
            <c:strRef>
              <c:f>'GENE GUN'!$A$226</c:f>
              <c:strCache>
                <c:ptCount val="1"/>
                <c:pt idx="0">
                  <c:v>Plant biomass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'GENE GUN'!$F$214:$I$214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'GENE GUN'!$F$226:$I$226</c:f>
              <c:numCache>
                <c:formatCode>General</c:formatCode>
                <c:ptCount val="4"/>
                <c:pt idx="2" formatCode="0.00E+00">
                  <c:v>4.924137794384055E-2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85-6A51-4617-9245-8805E499B517}"/>
            </c:ext>
          </c:extLst>
        </c:ser>
        <c:ser>
          <c:idx val="12"/>
          <c:order val="12"/>
          <c:tx>
            <c:strRef>
              <c:f>'GENE GUN'!$A$227</c:f>
              <c:strCache>
                <c:ptCount val="1"/>
                <c:pt idx="0">
                  <c:v>Calories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</c:spPr>
          <c:invertIfNegative val="0"/>
          <c:cat>
            <c:strRef>
              <c:f>'GENE GUN'!$F$214:$I$214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'GENE GUN'!$F$227:$I$227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87-6A51-4617-9245-8805E499B517}"/>
            </c:ext>
          </c:extLst>
        </c:ser>
        <c:ser>
          <c:idx val="13"/>
          <c:order val="13"/>
          <c:tx>
            <c:strRef>
              <c:f>'GENE GUN'!$A$228</c:f>
              <c:strCache>
                <c:ptCount val="1"/>
                <c:pt idx="0">
                  <c:v>Macronutrients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'GENE GUN'!$F$214:$I$214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'GENE GUN'!$F$228:$I$228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89-6A51-4617-9245-8805E499B517}"/>
            </c:ext>
          </c:extLst>
        </c:ser>
        <c:ser>
          <c:idx val="14"/>
          <c:order val="14"/>
          <c:tx>
            <c:strRef>
              <c:f>'GENE GUN'!$A$229</c:f>
              <c:strCache>
                <c:ptCount val="1"/>
                <c:pt idx="0">
                  <c:v>Micronutrients</c:v>
                </c:pt>
              </c:strCache>
            </c:strRef>
          </c:tx>
          <c:spPr>
            <a:solidFill>
              <a:schemeClr val="accent6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'GENE GUN'!$F$214:$I$214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'GENE GUN'!$F$229:$I$229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8B-6A51-4617-9245-8805E499B517}"/>
            </c:ext>
          </c:extLst>
        </c:ser>
        <c:ser>
          <c:idx val="15"/>
          <c:order val="15"/>
          <c:tx>
            <c:strRef>
              <c:f>'GENE GUN'!$A$230</c:f>
              <c:strCache>
                <c:ptCount val="1"/>
                <c:pt idx="0">
                  <c:v>Biomass waste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'GENE GUN'!$F$214:$I$214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'GENE GUN'!$F$230:$I$230</c:f>
              <c:numCache>
                <c:formatCode>General</c:formatCode>
                <c:ptCount val="4"/>
                <c:pt idx="3" formatCode="0.00E+00">
                  <c:v>0.16784930555555561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8D-6A51-4617-9245-8805E499B517}"/>
            </c:ext>
          </c:extLst>
        </c:ser>
        <c:ser>
          <c:idx val="16"/>
          <c:order val="16"/>
          <c:tx>
            <c:strRef>
              <c:f>'GENE GUN'!$A$231</c:f>
              <c:strCache>
                <c:ptCount val="1"/>
                <c:pt idx="0">
                  <c:v>Gene Gun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strRef>
              <c:f>'GENE GUN'!$F$214:$I$214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'GENE GUN'!$F$231:$I$231</c:f>
              <c:numCache>
                <c:formatCode>General</c:formatCode>
                <c:ptCount val="4"/>
                <c:pt idx="0" formatCode="0.00E+00">
                  <c:v>1.2044492040000001E-3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8F-6A51-4617-9245-8805E499B517}"/>
            </c:ext>
          </c:extLst>
        </c:ser>
        <c:ser>
          <c:idx val="17"/>
          <c:order val="17"/>
          <c:tx>
            <c:strRef>
              <c:f>'GENE GUN'!$A$232</c:f>
              <c:strCache>
                <c:ptCount val="1"/>
                <c:pt idx="0">
                  <c:v>Connector tubing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'GENE GUN'!$F$214:$I$214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'GENE GUN'!$F$232:$I$232</c:f>
              <c:numCache>
                <c:formatCode>General</c:formatCode>
                <c:ptCount val="4"/>
                <c:pt idx="0" formatCode="0.00E+00">
                  <c:v>1.1806419384966127E-4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91-6A51-4617-9245-8805E499B517}"/>
            </c:ext>
          </c:extLst>
        </c:ser>
        <c:ser>
          <c:idx val="18"/>
          <c:order val="18"/>
          <c:tx>
            <c:strRef>
              <c:f>'GENE GUN'!$A$233</c:f>
              <c:strCache>
                <c:ptCount val="1"/>
                <c:pt idx="0">
                  <c:v>Gas cylinder</c:v>
                </c:pt>
              </c:strCache>
            </c:strRef>
          </c:tx>
          <c:invertIfNegative val="0"/>
          <c:cat>
            <c:strRef>
              <c:f>'GENE GUN'!$F$214:$I$214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'GENE GUN'!$F$233:$I$233</c:f>
              <c:numCache>
                <c:formatCode>General</c:formatCode>
                <c:ptCount val="4"/>
                <c:pt idx="0" formatCode="0.00E+00">
                  <c:v>2.0035546250298216E-3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93-6A51-4617-9245-8805E499B517}"/>
            </c:ext>
          </c:extLst>
        </c:ser>
        <c:ser>
          <c:idx val="19"/>
          <c:order val="19"/>
          <c:tx>
            <c:strRef>
              <c:f>'GENE GUN'!$A$234</c:f>
              <c:strCache>
                <c:ptCount val="1"/>
                <c:pt idx="0">
                  <c:v>Gas regulator</c:v>
                </c:pt>
              </c:strCache>
            </c:strRef>
          </c:tx>
          <c:invertIfNegative val="0"/>
          <c:cat>
            <c:strRef>
              <c:f>'GENE GUN'!$F$214:$I$214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'GENE GUN'!$F$234:$I$234</c:f>
              <c:numCache>
                <c:formatCode>General</c:formatCode>
                <c:ptCount val="4"/>
                <c:pt idx="0" formatCode="0.00E+00">
                  <c:v>7.5448773833333347E-4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95-6A51-4617-9245-8805E499B517}"/>
            </c:ext>
          </c:extLst>
        </c:ser>
        <c:ser>
          <c:idx val="20"/>
          <c:order val="20"/>
          <c:tx>
            <c:strRef>
              <c:f>'GENE GUN'!$A$235</c:f>
              <c:strCache>
                <c:ptCount val="1"/>
                <c:pt idx="0">
                  <c:v>Cartrdige extractor </c:v>
                </c:pt>
              </c:strCache>
            </c:strRef>
          </c:tx>
          <c:invertIfNegative val="0"/>
          <c:cat>
            <c:strRef>
              <c:f>'GENE GUN'!$F$214:$I$214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'GENE GUN'!$F$235:$I$235</c:f>
              <c:numCache>
                <c:formatCode>General</c:formatCode>
                <c:ptCount val="4"/>
                <c:pt idx="0" formatCode="0.00E+00">
                  <c:v>6.3711499014801012E-6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97-6A51-4617-9245-8805E499B517}"/>
            </c:ext>
          </c:extLst>
        </c:ser>
        <c:ser>
          <c:idx val="21"/>
          <c:order val="21"/>
          <c:tx>
            <c:strRef>
              <c:f>'GENE GUN'!$A$236</c:f>
              <c:strCache>
                <c:ptCount val="1"/>
                <c:pt idx="0">
                  <c:v>Ear protection</c:v>
                </c:pt>
              </c:strCache>
            </c:strRef>
          </c:tx>
          <c:invertIfNegative val="0"/>
          <c:cat>
            <c:strRef>
              <c:f>'GENE GUN'!$F$214:$I$214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'GENE GUN'!$F$236:$I$236</c:f>
              <c:numCache>
                <c:formatCode>General</c:formatCode>
                <c:ptCount val="4"/>
                <c:pt idx="0" formatCode="0.00E+00">
                  <c:v>6.5548256000000002E-4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99-6A51-4617-9245-8805E499B517}"/>
            </c:ext>
          </c:extLst>
        </c:ser>
        <c:ser>
          <c:idx val="22"/>
          <c:order val="22"/>
          <c:tx>
            <c:strRef>
              <c:f>'GENE GUN'!$A$237</c:f>
              <c:strCache>
                <c:ptCount val="1"/>
                <c:pt idx="0">
                  <c:v>Eye protection</c:v>
                </c:pt>
              </c:strCache>
            </c:strRef>
          </c:tx>
          <c:invertIfNegative val="0"/>
          <c:cat>
            <c:strRef>
              <c:f>'GENE GUN'!$F$214:$I$214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'GENE GUN'!$F$237:$I$237</c:f>
              <c:numCache>
                <c:formatCode>General</c:formatCode>
                <c:ptCount val="4"/>
                <c:pt idx="0" formatCode="0.00E+00">
                  <c:v>7.0669213500000011E-5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9B-6A51-4617-9245-8805E499B517}"/>
            </c:ext>
          </c:extLst>
        </c:ser>
        <c:ser>
          <c:idx val="23"/>
          <c:order val="23"/>
          <c:tx>
            <c:strRef>
              <c:f>'GENE GUN'!$A$238</c:f>
              <c:strCache>
                <c:ptCount val="1"/>
                <c:pt idx="0">
                  <c:v>Bullets</c:v>
                </c:pt>
              </c:strCache>
            </c:strRef>
          </c:tx>
          <c:invertIfNegative val="0"/>
          <c:cat>
            <c:strRef>
              <c:f>'GENE GUN'!$F$214:$I$214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'GENE GUN'!$F$238:$I$238</c:f>
              <c:numCache>
                <c:formatCode>0.00E+00</c:formatCode>
                <c:ptCount val="4"/>
                <c:pt idx="1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9D-6A51-4617-9245-8805E499B517}"/>
            </c:ext>
          </c:extLst>
        </c:ser>
        <c:ser>
          <c:idx val="24"/>
          <c:order val="24"/>
          <c:tx>
            <c:strRef>
              <c:f>'GENE GUN'!$A$239</c:f>
              <c:strCache>
                <c:ptCount val="1"/>
                <c:pt idx="0">
                  <c:v>Battery</c:v>
                </c:pt>
              </c:strCache>
            </c:strRef>
          </c:tx>
          <c:invertIfNegative val="0"/>
          <c:cat>
            <c:strRef>
              <c:f>'GENE GUN'!$F$214:$I$214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'GENE GUN'!$F$239:$I$239</c:f>
              <c:numCache>
                <c:formatCode>0.00E+00</c:formatCode>
                <c:ptCount val="4"/>
                <c:pt idx="1">
                  <c:v>2.8585023999999997E-2</c:v>
                </c:pt>
                <c:pt idx="3">
                  <c:v>2.8585023999999997E-2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9F-6A51-4617-9245-8805E499B517}"/>
            </c:ext>
          </c:extLst>
        </c:ser>
        <c:ser>
          <c:idx val="25"/>
          <c:order val="25"/>
          <c:tx>
            <c:strRef>
              <c:f>'GENE GUN'!$A$240</c:f>
              <c:strCache>
                <c:ptCount val="1"/>
                <c:pt idx="0">
                  <c:v>Bullet holder vial</c:v>
                </c:pt>
              </c:strCache>
            </c:strRef>
          </c:tx>
          <c:invertIfNegative val="0"/>
          <c:cat>
            <c:strRef>
              <c:f>'GENE GUN'!$F$214:$I$214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'GENE GUN'!$F$240:$I$240</c:f>
              <c:numCache>
                <c:formatCode>0.00E+00</c:formatCode>
                <c:ptCount val="4"/>
                <c:pt idx="1">
                  <c:v>7.5799713936589708</c:v>
                </c:pt>
                <c:pt idx="3">
                  <c:v>7.5799713936589708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A1-6A51-4617-9245-8805E499B517}"/>
            </c:ext>
          </c:extLst>
        </c:ser>
        <c:ser>
          <c:idx val="26"/>
          <c:order val="26"/>
          <c:tx>
            <c:strRef>
              <c:f>'GENE GUN'!$A$241</c:f>
              <c:strCache>
                <c:ptCount val="1"/>
                <c:pt idx="0">
                  <c:v>Dessicant pack</c:v>
                </c:pt>
              </c:strCache>
            </c:strRef>
          </c:tx>
          <c:invertIfNegative val="0"/>
          <c:cat>
            <c:strRef>
              <c:f>'GENE GUN'!$F$214:$I$214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'GENE GUN'!$F$241:$I$241</c:f>
              <c:numCache>
                <c:formatCode>0.00E+00</c:formatCode>
                <c:ptCount val="4"/>
                <c:pt idx="1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A3-6A51-4617-9245-8805E499B5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100"/>
        <c:axId val="312382031"/>
        <c:axId val="312385871"/>
      </c:barChart>
      <c:catAx>
        <c:axId val="312382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2385871"/>
        <c:crosses val="autoZero"/>
        <c:auto val="1"/>
        <c:lblAlgn val="ctr"/>
        <c:lblOffset val="100"/>
        <c:noMultiLvlLbl val="0"/>
      </c:catAx>
      <c:valAx>
        <c:axId val="31238587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kern="1200" baseline="0">
                    <a:solidFill>
                      <a:sysClr val="windowText" lastClr="000000"/>
                    </a:solidFill>
                  </a:rPr>
                  <a:t>Volume (m</a:t>
                </a:r>
                <a:r>
                  <a:rPr lang="en-US" sz="1000" b="1" i="0" u="none" strike="noStrike" kern="1200" baseline="30000">
                    <a:solidFill>
                      <a:sysClr val="windowText" lastClr="000000"/>
                    </a:solidFill>
                  </a:rPr>
                  <a:t>3</a:t>
                </a:r>
                <a:r>
                  <a:rPr lang="en-US" sz="1000" b="1" i="0" u="none" strike="noStrike" kern="1200" baseline="0">
                    <a:solidFill>
                      <a:sysClr val="windowText" lastClr="000000"/>
                    </a:solidFill>
                  </a:rPr>
                  <a:t>/CM/Mission)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" sourceLinked="0"/>
        <c:majorTickMark val="out"/>
        <c:minorTickMark val="none"/>
        <c:tickLblPos val="nextTo"/>
        <c:spPr>
          <a:noFill/>
          <a:ln w="952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2382031"/>
        <c:crosses val="autoZero"/>
        <c:crossBetween val="between"/>
      </c:valAx>
      <c:spPr>
        <a:ln>
          <a:solidFill>
            <a:schemeClr val="tx1"/>
          </a:solidFill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/>
      </a:solidFill>
      <a:round/>
    </a:ln>
    <a:effectLst/>
  </c:spPr>
  <c:txPr>
    <a:bodyPr/>
    <a:lstStyle/>
    <a:p>
      <a:pPr>
        <a:defRPr sz="1000" b="1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400"/>
              <a:t>GENE GUN - Power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'GENE GUN'!$A$215</c:f>
              <c:strCache>
                <c:ptCount val="1"/>
                <c:pt idx="0">
                  <c:v>Harvesting container</c:v>
                </c:pt>
              </c:strCache>
            </c:strRef>
          </c:tx>
          <c:spPr>
            <a:solidFill>
              <a:schemeClr val="accent2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'GENE GUN'!$J$214:$M$214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'GENE GUN'!$J$215:$M$215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6F-6A51-4617-9245-8805E499B517}"/>
            </c:ext>
          </c:extLst>
        </c:ser>
        <c:ser>
          <c:idx val="1"/>
          <c:order val="1"/>
          <c:tx>
            <c:strRef>
              <c:f>'GENE GUN'!$A$216</c:f>
              <c:strCache>
                <c:ptCount val="1"/>
                <c:pt idx="0">
                  <c:v>Harvesting tools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'GENE GUN'!$J$214:$M$214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'GENE GUN'!$J$216:$M$216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71-6A51-4617-9245-8805E499B517}"/>
            </c:ext>
          </c:extLst>
        </c:ser>
        <c:ser>
          <c:idx val="2"/>
          <c:order val="2"/>
          <c:tx>
            <c:strRef>
              <c:f>'GENE GUN'!$A$217</c:f>
              <c:strCache>
                <c:ptCount val="1"/>
                <c:pt idx="0">
                  <c:v>Refrigerator/Freezer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'GENE GUN'!$J$214:$M$214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'GENE GUN'!$J$217:$M$217</c:f>
              <c:numCache>
                <c:formatCode>General</c:formatCode>
                <c:ptCount val="4"/>
                <c:pt idx="0" formatCode="0.00E+00">
                  <c:v>2.6670860021875002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3-6A51-4617-9245-8805E499B517}"/>
            </c:ext>
          </c:extLst>
        </c:ser>
        <c:ser>
          <c:idx val="3"/>
          <c:order val="3"/>
          <c:tx>
            <c:strRef>
              <c:f>'GENE GUN'!$A$218</c:f>
              <c:strCache>
                <c:ptCount val="1"/>
                <c:pt idx="0">
                  <c:v>Lighting panels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'GENE GUN'!$J$214:$M$214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'GENE GUN'!$J$218:$M$218</c:f>
              <c:numCache>
                <c:formatCode>General</c:formatCode>
                <c:ptCount val="4"/>
                <c:pt idx="0" formatCode="0.00E+00">
                  <c:v>1.0647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5-6A51-4617-9245-8805E499B517}"/>
            </c:ext>
          </c:extLst>
        </c:ser>
        <c:ser>
          <c:idx val="4"/>
          <c:order val="4"/>
          <c:tx>
            <c:strRef>
              <c:f>'GENE GUN'!$A$219</c:f>
              <c:strCache>
                <c:ptCount val="1"/>
                <c:pt idx="0">
                  <c:v>Plant growth chamber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'GENE GUN'!$J$214:$M$214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'GENE GUN'!$J$219:$M$219</c:f>
              <c:numCache>
                <c:formatCode>General</c:formatCode>
                <c:ptCount val="4"/>
                <c:pt idx="0" formatCode="0.00E+00">
                  <c:v>0.97395833333333348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7-6A51-4617-9245-8805E499B517}"/>
            </c:ext>
          </c:extLst>
        </c:ser>
        <c:ser>
          <c:idx val="5"/>
          <c:order val="5"/>
          <c:tx>
            <c:strRef>
              <c:f>'GENE GUN'!$A$220</c:f>
              <c:strCache>
                <c:ptCount val="1"/>
                <c:pt idx="0">
                  <c:v>Lettuce seeds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'GENE GUN'!$J$214:$M$214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'GENE GUN'!$J$220:$M$220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79-6A51-4617-9245-8805E499B517}"/>
            </c:ext>
          </c:extLst>
        </c:ser>
        <c:ser>
          <c:idx val="6"/>
          <c:order val="6"/>
          <c:tx>
            <c:strRef>
              <c:f>'GENE GUN'!$A$221</c:f>
              <c:strCache>
                <c:ptCount val="1"/>
                <c:pt idx="0">
                  <c:v>Water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'GENE GUN'!$J$214:$M$214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'GENE GUN'!$J$221:$M$221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7B-6A51-4617-9245-8805E499B517}"/>
            </c:ext>
          </c:extLst>
        </c:ser>
        <c:ser>
          <c:idx val="7"/>
          <c:order val="7"/>
          <c:tx>
            <c:strRef>
              <c:f>'GENE GUN'!$A$222</c:f>
              <c:strCache>
                <c:ptCount val="1"/>
                <c:pt idx="0">
                  <c:v>Plant nutrients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'GENE GUN'!$J$214:$M$214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'GENE GUN'!$J$222:$M$222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7D-6A51-4617-9245-8805E499B517}"/>
            </c:ext>
          </c:extLst>
        </c:ser>
        <c:ser>
          <c:idx val="8"/>
          <c:order val="8"/>
          <c:tx>
            <c:strRef>
              <c:f>'GENE GUN'!$A$223</c:f>
              <c:strCache>
                <c:ptCount val="1"/>
                <c:pt idx="0">
                  <c:v>Carbon dioxide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'GENE GUN'!$J$214:$M$214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'GENE GUN'!$J$223:$M$223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7F-6A51-4617-9245-8805E499B517}"/>
            </c:ext>
          </c:extLst>
        </c:ser>
        <c:ser>
          <c:idx val="9"/>
          <c:order val="9"/>
          <c:tx>
            <c:strRef>
              <c:f>'GENE GUN'!$A$224</c:f>
              <c:strCache>
                <c:ptCount val="1"/>
                <c:pt idx="0">
                  <c:v>Oxygen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strRef>
              <c:f>'GENE GUN'!$J$214:$M$214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'GENE GUN'!$J$224:$M$224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81-6A51-4617-9245-8805E499B517}"/>
            </c:ext>
          </c:extLst>
        </c:ser>
        <c:ser>
          <c:idx val="10"/>
          <c:order val="10"/>
          <c:tx>
            <c:strRef>
              <c:f>'GENE GUN'!$A$225</c:f>
              <c:strCache>
                <c:ptCount val="1"/>
                <c:pt idx="0">
                  <c:v>PTH-Fc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</c:spPr>
          <c:invertIfNegative val="0"/>
          <c:cat>
            <c:strRef>
              <c:f>'GENE GUN'!$J$214:$M$214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'GENE GUN'!$J$225:$M$225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83-6A51-4617-9245-8805E499B517}"/>
            </c:ext>
          </c:extLst>
        </c:ser>
        <c:ser>
          <c:idx val="11"/>
          <c:order val="11"/>
          <c:tx>
            <c:strRef>
              <c:f>'GENE GUN'!$A$226</c:f>
              <c:strCache>
                <c:ptCount val="1"/>
                <c:pt idx="0">
                  <c:v>Plant biomass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'GENE GUN'!$J$214:$M$214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'GENE GUN'!$J$226:$M$226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85-6A51-4617-9245-8805E499B517}"/>
            </c:ext>
          </c:extLst>
        </c:ser>
        <c:ser>
          <c:idx val="12"/>
          <c:order val="12"/>
          <c:tx>
            <c:strRef>
              <c:f>'GENE GUN'!$A$227</c:f>
              <c:strCache>
                <c:ptCount val="1"/>
                <c:pt idx="0">
                  <c:v>Calories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</c:spPr>
          <c:invertIfNegative val="0"/>
          <c:cat>
            <c:strRef>
              <c:f>'GENE GUN'!$J$214:$M$214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'GENE GUN'!$J$227:$M$227</c:f>
              <c:numCache>
                <c:formatCode>General</c:formatCode>
                <c:ptCount val="4"/>
                <c:pt idx="2" formatCode="0.00E+00">
                  <c:v>6.1951009596836431E-4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87-6A51-4617-9245-8805E499B517}"/>
            </c:ext>
          </c:extLst>
        </c:ser>
        <c:ser>
          <c:idx val="13"/>
          <c:order val="13"/>
          <c:tx>
            <c:strRef>
              <c:f>'GENE GUN'!$A$228</c:f>
              <c:strCache>
                <c:ptCount val="1"/>
                <c:pt idx="0">
                  <c:v>Macronutrients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'GENE GUN'!$J$214:$M$214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'GENE GUN'!$J$228:$M$228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89-6A51-4617-9245-8805E499B517}"/>
            </c:ext>
          </c:extLst>
        </c:ser>
        <c:ser>
          <c:idx val="14"/>
          <c:order val="14"/>
          <c:tx>
            <c:strRef>
              <c:f>'GENE GUN'!$A$229</c:f>
              <c:strCache>
                <c:ptCount val="1"/>
                <c:pt idx="0">
                  <c:v>Micronutrients</c:v>
                </c:pt>
              </c:strCache>
            </c:strRef>
          </c:tx>
          <c:spPr>
            <a:solidFill>
              <a:schemeClr val="accent6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'GENE GUN'!$J$214:$M$214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'GENE GUN'!$J$229:$M$229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8B-6A51-4617-9245-8805E499B517}"/>
            </c:ext>
          </c:extLst>
        </c:ser>
        <c:ser>
          <c:idx val="15"/>
          <c:order val="15"/>
          <c:tx>
            <c:strRef>
              <c:f>'GENE GUN'!$A$230</c:f>
              <c:strCache>
                <c:ptCount val="1"/>
                <c:pt idx="0">
                  <c:v>Biomass waste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'GENE GUN'!$J$214:$M$214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'GENE GUN'!$J$230:$M$230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8D-6A51-4617-9245-8805E499B517}"/>
            </c:ext>
          </c:extLst>
        </c:ser>
        <c:ser>
          <c:idx val="16"/>
          <c:order val="16"/>
          <c:tx>
            <c:strRef>
              <c:f>'GENE GUN'!$A$231</c:f>
              <c:strCache>
                <c:ptCount val="1"/>
                <c:pt idx="0">
                  <c:v>Gene Gun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strRef>
              <c:f>'GENE GUN'!$J$214:$M$214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'GENE GUN'!$J$231:$M$231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8F-6A51-4617-9245-8805E499B517}"/>
            </c:ext>
          </c:extLst>
        </c:ser>
        <c:ser>
          <c:idx val="17"/>
          <c:order val="17"/>
          <c:tx>
            <c:strRef>
              <c:f>'GENE GUN'!$A$232</c:f>
              <c:strCache>
                <c:ptCount val="1"/>
                <c:pt idx="0">
                  <c:v>Connector tubing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'GENE GUN'!$J$214:$M$214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'GENE GUN'!$J$232:$M$232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91-6A51-4617-9245-8805E499B517}"/>
            </c:ext>
          </c:extLst>
        </c:ser>
        <c:ser>
          <c:idx val="18"/>
          <c:order val="18"/>
          <c:tx>
            <c:strRef>
              <c:f>'GENE GUN'!$A$233</c:f>
              <c:strCache>
                <c:ptCount val="1"/>
                <c:pt idx="0">
                  <c:v>Gas cylinder</c:v>
                </c:pt>
              </c:strCache>
            </c:strRef>
          </c:tx>
          <c:invertIfNegative val="0"/>
          <c:cat>
            <c:strRef>
              <c:f>'GENE GUN'!$J$214:$M$214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'GENE GUN'!$J$233:$M$233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93-6A51-4617-9245-8805E499B517}"/>
            </c:ext>
          </c:extLst>
        </c:ser>
        <c:ser>
          <c:idx val="19"/>
          <c:order val="19"/>
          <c:tx>
            <c:strRef>
              <c:f>'GENE GUN'!$A$234</c:f>
              <c:strCache>
                <c:ptCount val="1"/>
                <c:pt idx="0">
                  <c:v>Gas regulator</c:v>
                </c:pt>
              </c:strCache>
            </c:strRef>
          </c:tx>
          <c:invertIfNegative val="0"/>
          <c:cat>
            <c:strRef>
              <c:f>'GENE GUN'!$J$214:$M$214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'GENE GUN'!$J$234:$M$234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95-6A51-4617-9245-8805E499B517}"/>
            </c:ext>
          </c:extLst>
        </c:ser>
        <c:ser>
          <c:idx val="20"/>
          <c:order val="20"/>
          <c:tx>
            <c:strRef>
              <c:f>'GENE GUN'!$A$235</c:f>
              <c:strCache>
                <c:ptCount val="1"/>
                <c:pt idx="0">
                  <c:v>Cartrdige extractor </c:v>
                </c:pt>
              </c:strCache>
            </c:strRef>
          </c:tx>
          <c:invertIfNegative val="0"/>
          <c:cat>
            <c:strRef>
              <c:f>'GENE GUN'!$J$214:$M$214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'GENE GUN'!$J$235:$M$235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97-6A51-4617-9245-8805E499B517}"/>
            </c:ext>
          </c:extLst>
        </c:ser>
        <c:ser>
          <c:idx val="21"/>
          <c:order val="21"/>
          <c:tx>
            <c:strRef>
              <c:f>'GENE GUN'!$A$236</c:f>
              <c:strCache>
                <c:ptCount val="1"/>
                <c:pt idx="0">
                  <c:v>Ear protection</c:v>
                </c:pt>
              </c:strCache>
            </c:strRef>
          </c:tx>
          <c:invertIfNegative val="0"/>
          <c:cat>
            <c:strRef>
              <c:f>'GENE GUN'!$J$214:$M$214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'GENE GUN'!$J$236:$M$236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99-6A51-4617-9245-8805E499B517}"/>
            </c:ext>
          </c:extLst>
        </c:ser>
        <c:ser>
          <c:idx val="22"/>
          <c:order val="22"/>
          <c:tx>
            <c:strRef>
              <c:f>'GENE GUN'!$A$237</c:f>
              <c:strCache>
                <c:ptCount val="1"/>
                <c:pt idx="0">
                  <c:v>Eye protection</c:v>
                </c:pt>
              </c:strCache>
            </c:strRef>
          </c:tx>
          <c:invertIfNegative val="0"/>
          <c:cat>
            <c:strRef>
              <c:f>'GENE GUN'!$J$214:$M$214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'GENE GUN'!$J$237:$M$237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9B-6A51-4617-9245-8805E499B517}"/>
            </c:ext>
          </c:extLst>
        </c:ser>
        <c:ser>
          <c:idx val="23"/>
          <c:order val="23"/>
          <c:tx>
            <c:strRef>
              <c:f>'GENE GUN'!$A$238</c:f>
              <c:strCache>
                <c:ptCount val="1"/>
                <c:pt idx="0">
                  <c:v>Bullets</c:v>
                </c:pt>
              </c:strCache>
            </c:strRef>
          </c:tx>
          <c:invertIfNegative val="0"/>
          <c:cat>
            <c:strRef>
              <c:f>'GENE GUN'!$J$214:$M$214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'GENE GUN'!$J$238:$M$238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9D-6A51-4617-9245-8805E499B517}"/>
            </c:ext>
          </c:extLst>
        </c:ser>
        <c:ser>
          <c:idx val="24"/>
          <c:order val="24"/>
          <c:tx>
            <c:strRef>
              <c:f>'GENE GUN'!$A$239</c:f>
              <c:strCache>
                <c:ptCount val="1"/>
                <c:pt idx="0">
                  <c:v>Battery</c:v>
                </c:pt>
              </c:strCache>
            </c:strRef>
          </c:tx>
          <c:invertIfNegative val="0"/>
          <c:cat>
            <c:strRef>
              <c:f>'GENE GUN'!$J$214:$M$214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'GENE GUN'!$J$239:$M$239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9F-6A51-4617-9245-8805E499B517}"/>
            </c:ext>
          </c:extLst>
        </c:ser>
        <c:ser>
          <c:idx val="25"/>
          <c:order val="25"/>
          <c:tx>
            <c:strRef>
              <c:f>'GENE GUN'!$A$240</c:f>
              <c:strCache>
                <c:ptCount val="1"/>
                <c:pt idx="0">
                  <c:v>Bullet holder vial</c:v>
                </c:pt>
              </c:strCache>
            </c:strRef>
          </c:tx>
          <c:invertIfNegative val="0"/>
          <c:cat>
            <c:strRef>
              <c:f>'GENE GUN'!$J$214:$M$214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'GENE GUN'!$J$240:$M$240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A1-6A51-4617-9245-8805E499B517}"/>
            </c:ext>
          </c:extLst>
        </c:ser>
        <c:ser>
          <c:idx val="26"/>
          <c:order val="26"/>
          <c:tx>
            <c:strRef>
              <c:f>'GENE GUN'!$A$241</c:f>
              <c:strCache>
                <c:ptCount val="1"/>
                <c:pt idx="0">
                  <c:v>Dessicant pack</c:v>
                </c:pt>
              </c:strCache>
            </c:strRef>
          </c:tx>
          <c:invertIfNegative val="0"/>
          <c:cat>
            <c:strRef>
              <c:f>'GENE GUN'!$J$214:$M$214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'GENE GUN'!$J$241:$M$241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A3-6A51-4617-9245-8805E499B5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100"/>
        <c:axId val="312382031"/>
        <c:axId val="312385871"/>
      </c:barChart>
      <c:catAx>
        <c:axId val="312382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2385871"/>
        <c:crosses val="autoZero"/>
        <c:auto val="1"/>
        <c:lblAlgn val="ctr"/>
        <c:lblOffset val="100"/>
        <c:noMultiLvlLbl val="0"/>
      </c:catAx>
      <c:valAx>
        <c:axId val="31238587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kern="1200" baseline="0">
                    <a:solidFill>
                      <a:sysClr val="windowText" lastClr="000000"/>
                    </a:solidFill>
                  </a:rPr>
                  <a:t>Power (kW/CM/Mission)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" sourceLinked="0"/>
        <c:majorTickMark val="out"/>
        <c:minorTickMark val="none"/>
        <c:tickLblPos val="nextTo"/>
        <c:spPr>
          <a:noFill/>
          <a:ln w="952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2382031"/>
        <c:crosses val="autoZero"/>
        <c:crossBetween val="between"/>
      </c:valAx>
      <c:spPr>
        <a:ln>
          <a:solidFill>
            <a:schemeClr val="tx1"/>
          </a:solidFill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/>
      </a:solidFill>
      <a:round/>
    </a:ln>
    <a:effectLst/>
  </c:spPr>
  <c:txPr>
    <a:bodyPr/>
    <a:lstStyle/>
    <a:p>
      <a:pPr>
        <a:defRPr sz="1000" b="1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400"/>
              <a:t>GENE GUN - Crew</a:t>
            </a:r>
            <a:r>
              <a:rPr lang="en-US" sz="1400" baseline="0"/>
              <a:t> Time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'GENE GUN'!$A$215</c:f>
              <c:strCache>
                <c:ptCount val="1"/>
                <c:pt idx="0">
                  <c:v>Harvesting container</c:v>
                </c:pt>
              </c:strCache>
            </c:strRef>
          </c:tx>
          <c:spPr>
            <a:solidFill>
              <a:schemeClr val="accent2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'GENE GUN'!$N$214:$O$214</c:f>
              <c:strCache>
                <c:ptCount val="2"/>
                <c:pt idx="0">
                  <c:v>System</c:v>
                </c:pt>
                <c:pt idx="1">
                  <c:v>Process Operations</c:v>
                </c:pt>
              </c:strCache>
            </c:strRef>
          </c:cat>
          <c:val>
            <c:numRef>
              <c:f>'GENE GUN'!$N$215:$O$215</c:f>
              <c:numCache>
                <c:formatCode>General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6F-6A51-4617-9245-8805E499B517}"/>
            </c:ext>
          </c:extLst>
        </c:ser>
        <c:ser>
          <c:idx val="1"/>
          <c:order val="1"/>
          <c:tx>
            <c:strRef>
              <c:f>'GENE GUN'!$A$216</c:f>
              <c:strCache>
                <c:ptCount val="1"/>
                <c:pt idx="0">
                  <c:v>Harvesting tools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'GENE GUN'!$N$214:$O$214</c:f>
              <c:strCache>
                <c:ptCount val="2"/>
                <c:pt idx="0">
                  <c:v>System</c:v>
                </c:pt>
                <c:pt idx="1">
                  <c:v>Process Operations</c:v>
                </c:pt>
              </c:strCache>
            </c:strRef>
          </c:cat>
          <c:val>
            <c:numRef>
              <c:f>'GENE GUN'!$N$216:$O$216</c:f>
              <c:numCache>
                <c:formatCode>General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71-6A51-4617-9245-8805E499B517}"/>
            </c:ext>
          </c:extLst>
        </c:ser>
        <c:ser>
          <c:idx val="2"/>
          <c:order val="2"/>
          <c:tx>
            <c:strRef>
              <c:f>'GENE GUN'!$A$217</c:f>
              <c:strCache>
                <c:ptCount val="1"/>
                <c:pt idx="0">
                  <c:v>Refrigerator/Freezer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'GENE GUN'!$N$214:$O$214</c:f>
              <c:strCache>
                <c:ptCount val="2"/>
                <c:pt idx="0">
                  <c:v>System</c:v>
                </c:pt>
                <c:pt idx="1">
                  <c:v>Process Operations</c:v>
                </c:pt>
              </c:strCache>
            </c:strRef>
          </c:cat>
          <c:val>
            <c:numRef>
              <c:f>'GENE GUN'!$N$217:$O$217</c:f>
              <c:numCache>
                <c:formatCode>General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73-6A51-4617-9245-8805E499B517}"/>
            </c:ext>
          </c:extLst>
        </c:ser>
        <c:ser>
          <c:idx val="3"/>
          <c:order val="3"/>
          <c:tx>
            <c:strRef>
              <c:f>'GENE GUN'!$A$218</c:f>
              <c:strCache>
                <c:ptCount val="1"/>
                <c:pt idx="0">
                  <c:v>Lighting panels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'GENE GUN'!$N$214:$O$214</c:f>
              <c:strCache>
                <c:ptCount val="2"/>
                <c:pt idx="0">
                  <c:v>System</c:v>
                </c:pt>
                <c:pt idx="1">
                  <c:v>Process Operations</c:v>
                </c:pt>
              </c:strCache>
            </c:strRef>
          </c:cat>
          <c:val>
            <c:numRef>
              <c:f>'GENE GUN'!$N$218:$O$218</c:f>
              <c:numCache>
                <c:formatCode>General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75-6A51-4617-9245-8805E499B517}"/>
            </c:ext>
          </c:extLst>
        </c:ser>
        <c:ser>
          <c:idx val="4"/>
          <c:order val="4"/>
          <c:tx>
            <c:strRef>
              <c:f>'GENE GUN'!$A$219</c:f>
              <c:strCache>
                <c:ptCount val="1"/>
                <c:pt idx="0">
                  <c:v>Plant growth chamber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'GENE GUN'!$N$214:$O$214</c:f>
              <c:strCache>
                <c:ptCount val="2"/>
                <c:pt idx="0">
                  <c:v>System</c:v>
                </c:pt>
                <c:pt idx="1">
                  <c:v>Process Operations</c:v>
                </c:pt>
              </c:strCache>
            </c:strRef>
          </c:cat>
          <c:val>
            <c:numRef>
              <c:f>'GENE GUN'!$N$219:$O$219</c:f>
              <c:numCache>
                <c:formatCode>General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77-6A51-4617-9245-8805E499B517}"/>
            </c:ext>
          </c:extLst>
        </c:ser>
        <c:ser>
          <c:idx val="5"/>
          <c:order val="5"/>
          <c:tx>
            <c:strRef>
              <c:f>'GENE GUN'!$A$220</c:f>
              <c:strCache>
                <c:ptCount val="1"/>
                <c:pt idx="0">
                  <c:v>Lettuce seeds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'GENE GUN'!$N$214:$O$214</c:f>
              <c:strCache>
                <c:ptCount val="2"/>
                <c:pt idx="0">
                  <c:v>System</c:v>
                </c:pt>
                <c:pt idx="1">
                  <c:v>Process Operations</c:v>
                </c:pt>
              </c:strCache>
            </c:strRef>
          </c:cat>
          <c:val>
            <c:numRef>
              <c:f>'GENE GUN'!$N$220:$O$220</c:f>
              <c:numCache>
                <c:formatCode>0.00E+00</c:formatCode>
                <c:ptCount val="2"/>
                <c:pt idx="1">
                  <c:v>2.3650000000000002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9-6A51-4617-9245-8805E499B517}"/>
            </c:ext>
          </c:extLst>
        </c:ser>
        <c:ser>
          <c:idx val="6"/>
          <c:order val="6"/>
          <c:tx>
            <c:strRef>
              <c:f>'GENE GUN'!$A$221</c:f>
              <c:strCache>
                <c:ptCount val="1"/>
                <c:pt idx="0">
                  <c:v>Water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'GENE GUN'!$N$214:$O$214</c:f>
              <c:strCache>
                <c:ptCount val="2"/>
                <c:pt idx="0">
                  <c:v>System</c:v>
                </c:pt>
                <c:pt idx="1">
                  <c:v>Process Operations</c:v>
                </c:pt>
              </c:strCache>
            </c:strRef>
          </c:cat>
          <c:val>
            <c:numRef>
              <c:f>'GENE GUN'!$N$221:$O$221</c:f>
              <c:numCache>
                <c:formatCode>0.00E+00</c:formatCode>
                <c:ptCount val="2"/>
                <c:pt idx="1">
                  <c:v>2.7213698630136989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B-6A51-4617-9245-8805E499B517}"/>
            </c:ext>
          </c:extLst>
        </c:ser>
        <c:ser>
          <c:idx val="7"/>
          <c:order val="7"/>
          <c:tx>
            <c:strRef>
              <c:f>'GENE GUN'!$A$222</c:f>
              <c:strCache>
                <c:ptCount val="1"/>
                <c:pt idx="0">
                  <c:v>Plant nutrients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'GENE GUN'!$N$214:$O$214</c:f>
              <c:strCache>
                <c:ptCount val="2"/>
                <c:pt idx="0">
                  <c:v>System</c:v>
                </c:pt>
                <c:pt idx="1">
                  <c:v>Process Operations</c:v>
                </c:pt>
              </c:strCache>
            </c:strRef>
          </c:cat>
          <c:val>
            <c:numRef>
              <c:f>'GENE GUN'!$N$222:$O$222</c:f>
              <c:numCache>
                <c:formatCode>0.00E+00</c:formatCode>
                <c:ptCount val="2"/>
                <c:pt idx="1">
                  <c:v>5.5652391666666672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D-6A51-4617-9245-8805E499B517}"/>
            </c:ext>
          </c:extLst>
        </c:ser>
        <c:ser>
          <c:idx val="8"/>
          <c:order val="8"/>
          <c:tx>
            <c:strRef>
              <c:f>'GENE GUN'!$A$223</c:f>
              <c:strCache>
                <c:ptCount val="1"/>
                <c:pt idx="0">
                  <c:v>Carbon dioxide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'GENE GUN'!$N$214:$O$214</c:f>
              <c:strCache>
                <c:ptCount val="2"/>
                <c:pt idx="0">
                  <c:v>System</c:v>
                </c:pt>
                <c:pt idx="1">
                  <c:v>Process Operations</c:v>
                </c:pt>
              </c:strCache>
            </c:strRef>
          </c:cat>
          <c:val>
            <c:numRef>
              <c:f>'GENE GUN'!$N$223:$O$223</c:f>
              <c:numCache>
                <c:formatCode>0.00E+00</c:formatCode>
                <c:ptCount val="2"/>
                <c:pt idx="1">
                  <c:v>32.0565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F-6A51-4617-9245-8805E499B517}"/>
            </c:ext>
          </c:extLst>
        </c:ser>
        <c:ser>
          <c:idx val="9"/>
          <c:order val="9"/>
          <c:tx>
            <c:strRef>
              <c:f>'GENE GUN'!$A$224</c:f>
              <c:strCache>
                <c:ptCount val="1"/>
                <c:pt idx="0">
                  <c:v>Oxygen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strRef>
              <c:f>'GENE GUN'!$N$214:$O$214</c:f>
              <c:strCache>
                <c:ptCount val="2"/>
                <c:pt idx="0">
                  <c:v>System</c:v>
                </c:pt>
                <c:pt idx="1">
                  <c:v>Process Operations</c:v>
                </c:pt>
              </c:strCache>
            </c:strRef>
          </c:cat>
          <c:val>
            <c:numRef>
              <c:f>'GENE GUN'!$N$224:$O$224</c:f>
              <c:numCache>
                <c:formatCode>0.00E+00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81-6A51-4617-9245-8805E499B517}"/>
            </c:ext>
          </c:extLst>
        </c:ser>
        <c:ser>
          <c:idx val="10"/>
          <c:order val="10"/>
          <c:tx>
            <c:strRef>
              <c:f>'GENE GUN'!$A$225</c:f>
              <c:strCache>
                <c:ptCount val="1"/>
                <c:pt idx="0">
                  <c:v>PTH-Fc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</c:spPr>
          <c:invertIfNegative val="0"/>
          <c:cat>
            <c:strRef>
              <c:f>'GENE GUN'!$N$214:$O$214</c:f>
              <c:strCache>
                <c:ptCount val="2"/>
                <c:pt idx="0">
                  <c:v>System</c:v>
                </c:pt>
                <c:pt idx="1">
                  <c:v>Process Operations</c:v>
                </c:pt>
              </c:strCache>
            </c:strRef>
          </c:cat>
          <c:val>
            <c:numRef>
              <c:f>'GENE GUN'!$N$225:$O$225</c:f>
              <c:numCache>
                <c:formatCode>General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83-6A51-4617-9245-8805E499B517}"/>
            </c:ext>
          </c:extLst>
        </c:ser>
        <c:ser>
          <c:idx val="11"/>
          <c:order val="11"/>
          <c:tx>
            <c:strRef>
              <c:f>'GENE GUN'!$A$226</c:f>
              <c:strCache>
                <c:ptCount val="1"/>
                <c:pt idx="0">
                  <c:v>Plant biomass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'GENE GUN'!$N$214:$O$214</c:f>
              <c:strCache>
                <c:ptCount val="2"/>
                <c:pt idx="0">
                  <c:v>System</c:v>
                </c:pt>
                <c:pt idx="1">
                  <c:v>Process Operations</c:v>
                </c:pt>
              </c:strCache>
            </c:strRef>
          </c:cat>
          <c:val>
            <c:numRef>
              <c:f>'GENE GUN'!$N$226:$O$226</c:f>
              <c:numCache>
                <c:formatCode>0.00E+00</c:formatCode>
                <c:ptCount val="2"/>
                <c:pt idx="1">
                  <c:v>4.8901302083333338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85-6A51-4617-9245-8805E499B517}"/>
            </c:ext>
          </c:extLst>
        </c:ser>
        <c:ser>
          <c:idx val="12"/>
          <c:order val="12"/>
          <c:tx>
            <c:strRef>
              <c:f>'GENE GUN'!$A$227</c:f>
              <c:strCache>
                <c:ptCount val="1"/>
                <c:pt idx="0">
                  <c:v>Calories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</c:spPr>
          <c:invertIfNegative val="0"/>
          <c:cat>
            <c:strRef>
              <c:f>'GENE GUN'!$N$214:$O$214</c:f>
              <c:strCache>
                <c:ptCount val="2"/>
                <c:pt idx="0">
                  <c:v>System</c:v>
                </c:pt>
                <c:pt idx="1">
                  <c:v>Process Operations</c:v>
                </c:pt>
              </c:strCache>
            </c:strRef>
          </c:cat>
          <c:val>
            <c:numRef>
              <c:f>'GENE GUN'!$N$227:$O$227</c:f>
              <c:numCache>
                <c:formatCode>General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87-6A51-4617-9245-8805E499B517}"/>
            </c:ext>
          </c:extLst>
        </c:ser>
        <c:ser>
          <c:idx val="13"/>
          <c:order val="13"/>
          <c:tx>
            <c:strRef>
              <c:f>'GENE GUN'!$A$228</c:f>
              <c:strCache>
                <c:ptCount val="1"/>
                <c:pt idx="0">
                  <c:v>Macronutrients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'GENE GUN'!$N$214:$O$214</c:f>
              <c:strCache>
                <c:ptCount val="2"/>
                <c:pt idx="0">
                  <c:v>System</c:v>
                </c:pt>
                <c:pt idx="1">
                  <c:v>Process Operations</c:v>
                </c:pt>
              </c:strCache>
            </c:strRef>
          </c:cat>
          <c:val>
            <c:numRef>
              <c:f>'GENE GUN'!$N$228:$O$228</c:f>
              <c:numCache>
                <c:formatCode>General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89-6A51-4617-9245-8805E499B517}"/>
            </c:ext>
          </c:extLst>
        </c:ser>
        <c:ser>
          <c:idx val="14"/>
          <c:order val="14"/>
          <c:tx>
            <c:strRef>
              <c:f>'GENE GUN'!$A$229</c:f>
              <c:strCache>
                <c:ptCount val="1"/>
                <c:pt idx="0">
                  <c:v>Micronutrients</c:v>
                </c:pt>
              </c:strCache>
            </c:strRef>
          </c:tx>
          <c:spPr>
            <a:solidFill>
              <a:schemeClr val="accent6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'GENE GUN'!$N$214:$O$214</c:f>
              <c:strCache>
                <c:ptCount val="2"/>
                <c:pt idx="0">
                  <c:v>System</c:v>
                </c:pt>
                <c:pt idx="1">
                  <c:v>Process Operations</c:v>
                </c:pt>
              </c:strCache>
            </c:strRef>
          </c:cat>
          <c:val>
            <c:numRef>
              <c:f>'GENE GUN'!$N$229:$O$229</c:f>
              <c:numCache>
                <c:formatCode>General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8B-6A51-4617-9245-8805E499B517}"/>
            </c:ext>
          </c:extLst>
        </c:ser>
        <c:ser>
          <c:idx val="15"/>
          <c:order val="15"/>
          <c:tx>
            <c:strRef>
              <c:f>'GENE GUN'!$A$230</c:f>
              <c:strCache>
                <c:ptCount val="1"/>
                <c:pt idx="0">
                  <c:v>Biomass waste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'GENE GUN'!$N$214:$O$214</c:f>
              <c:strCache>
                <c:ptCount val="2"/>
                <c:pt idx="0">
                  <c:v>System</c:v>
                </c:pt>
                <c:pt idx="1">
                  <c:v>Process Operations</c:v>
                </c:pt>
              </c:strCache>
            </c:strRef>
          </c:cat>
          <c:val>
            <c:numRef>
              <c:f>'GENE GUN'!$N$230:$O$230</c:f>
              <c:numCache>
                <c:formatCode>General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8D-6A51-4617-9245-8805E499B517}"/>
            </c:ext>
          </c:extLst>
        </c:ser>
        <c:ser>
          <c:idx val="16"/>
          <c:order val="16"/>
          <c:tx>
            <c:strRef>
              <c:f>'GENE GUN'!$A$231</c:f>
              <c:strCache>
                <c:ptCount val="1"/>
                <c:pt idx="0">
                  <c:v>Gene Gun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strRef>
              <c:f>'GENE GUN'!$N$214:$O$214</c:f>
              <c:strCache>
                <c:ptCount val="2"/>
                <c:pt idx="0">
                  <c:v>System</c:v>
                </c:pt>
                <c:pt idx="1">
                  <c:v>Process Operations</c:v>
                </c:pt>
              </c:strCache>
            </c:strRef>
          </c:cat>
          <c:val>
            <c:numRef>
              <c:f>'GENE GUN'!$N$231:$O$231</c:f>
              <c:numCache>
                <c:formatCode>0.00E+00</c:formatCode>
                <c:ptCount val="2"/>
                <c:pt idx="1">
                  <c:v>16559.3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8F-6A51-4617-9245-8805E499B517}"/>
            </c:ext>
          </c:extLst>
        </c:ser>
        <c:ser>
          <c:idx val="17"/>
          <c:order val="17"/>
          <c:tx>
            <c:strRef>
              <c:f>'GENE GUN'!$A$232</c:f>
              <c:strCache>
                <c:ptCount val="1"/>
                <c:pt idx="0">
                  <c:v>Connector tubing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'GENE GUN'!$N$214:$O$214</c:f>
              <c:strCache>
                <c:ptCount val="2"/>
                <c:pt idx="0">
                  <c:v>System</c:v>
                </c:pt>
                <c:pt idx="1">
                  <c:v>Process Operations</c:v>
                </c:pt>
              </c:strCache>
            </c:strRef>
          </c:cat>
          <c:val>
            <c:numRef>
              <c:f>'GENE GUN'!$N$232:$O$232</c:f>
              <c:numCache>
                <c:formatCode>General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91-6A51-4617-9245-8805E499B517}"/>
            </c:ext>
          </c:extLst>
        </c:ser>
        <c:ser>
          <c:idx val="18"/>
          <c:order val="18"/>
          <c:tx>
            <c:strRef>
              <c:f>'GENE GUN'!$A$233</c:f>
              <c:strCache>
                <c:ptCount val="1"/>
                <c:pt idx="0">
                  <c:v>Gas cylinder</c:v>
                </c:pt>
              </c:strCache>
            </c:strRef>
          </c:tx>
          <c:invertIfNegative val="0"/>
          <c:cat>
            <c:strRef>
              <c:f>'GENE GUN'!$N$214:$O$214</c:f>
              <c:strCache>
                <c:ptCount val="2"/>
                <c:pt idx="0">
                  <c:v>System</c:v>
                </c:pt>
                <c:pt idx="1">
                  <c:v>Process Operations</c:v>
                </c:pt>
              </c:strCache>
            </c:strRef>
          </c:cat>
          <c:val>
            <c:numRef>
              <c:f>'GENE GUN'!$N$233:$O$233</c:f>
              <c:numCache>
                <c:formatCode>General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93-6A51-4617-9245-8805E499B517}"/>
            </c:ext>
          </c:extLst>
        </c:ser>
        <c:ser>
          <c:idx val="19"/>
          <c:order val="19"/>
          <c:tx>
            <c:strRef>
              <c:f>'GENE GUN'!$A$234</c:f>
              <c:strCache>
                <c:ptCount val="1"/>
                <c:pt idx="0">
                  <c:v>Gas regulator</c:v>
                </c:pt>
              </c:strCache>
            </c:strRef>
          </c:tx>
          <c:invertIfNegative val="0"/>
          <c:cat>
            <c:strRef>
              <c:f>'GENE GUN'!$N$214:$O$214</c:f>
              <c:strCache>
                <c:ptCount val="2"/>
                <c:pt idx="0">
                  <c:v>System</c:v>
                </c:pt>
                <c:pt idx="1">
                  <c:v>Process Operations</c:v>
                </c:pt>
              </c:strCache>
            </c:strRef>
          </c:cat>
          <c:val>
            <c:numRef>
              <c:f>'GENE GUN'!$N$234:$O$234</c:f>
              <c:numCache>
                <c:formatCode>General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95-6A51-4617-9245-8805E499B517}"/>
            </c:ext>
          </c:extLst>
        </c:ser>
        <c:ser>
          <c:idx val="20"/>
          <c:order val="20"/>
          <c:tx>
            <c:strRef>
              <c:f>'GENE GUN'!$A$235</c:f>
              <c:strCache>
                <c:ptCount val="1"/>
                <c:pt idx="0">
                  <c:v>Cartrdige extractor </c:v>
                </c:pt>
              </c:strCache>
            </c:strRef>
          </c:tx>
          <c:invertIfNegative val="0"/>
          <c:cat>
            <c:strRef>
              <c:f>'GENE GUN'!$N$214:$O$214</c:f>
              <c:strCache>
                <c:ptCount val="2"/>
                <c:pt idx="0">
                  <c:v>System</c:v>
                </c:pt>
                <c:pt idx="1">
                  <c:v>Process Operations</c:v>
                </c:pt>
              </c:strCache>
            </c:strRef>
          </c:cat>
          <c:val>
            <c:numRef>
              <c:f>'GENE GUN'!$N$235:$O$235</c:f>
              <c:numCache>
                <c:formatCode>General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97-6A51-4617-9245-8805E499B517}"/>
            </c:ext>
          </c:extLst>
        </c:ser>
        <c:ser>
          <c:idx val="21"/>
          <c:order val="21"/>
          <c:tx>
            <c:strRef>
              <c:f>'GENE GUN'!$A$236</c:f>
              <c:strCache>
                <c:ptCount val="1"/>
                <c:pt idx="0">
                  <c:v>Ear protection</c:v>
                </c:pt>
              </c:strCache>
            </c:strRef>
          </c:tx>
          <c:invertIfNegative val="0"/>
          <c:cat>
            <c:strRef>
              <c:f>'GENE GUN'!$N$214:$O$214</c:f>
              <c:strCache>
                <c:ptCount val="2"/>
                <c:pt idx="0">
                  <c:v>System</c:v>
                </c:pt>
                <c:pt idx="1">
                  <c:v>Process Operations</c:v>
                </c:pt>
              </c:strCache>
            </c:strRef>
          </c:cat>
          <c:val>
            <c:numRef>
              <c:f>'GENE GUN'!$N$236:$O$236</c:f>
              <c:numCache>
                <c:formatCode>General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99-6A51-4617-9245-8805E499B517}"/>
            </c:ext>
          </c:extLst>
        </c:ser>
        <c:ser>
          <c:idx val="22"/>
          <c:order val="22"/>
          <c:tx>
            <c:strRef>
              <c:f>'GENE GUN'!$A$237</c:f>
              <c:strCache>
                <c:ptCount val="1"/>
                <c:pt idx="0">
                  <c:v>Eye protection</c:v>
                </c:pt>
              </c:strCache>
            </c:strRef>
          </c:tx>
          <c:invertIfNegative val="0"/>
          <c:cat>
            <c:strRef>
              <c:f>'GENE GUN'!$N$214:$O$214</c:f>
              <c:strCache>
                <c:ptCount val="2"/>
                <c:pt idx="0">
                  <c:v>System</c:v>
                </c:pt>
                <c:pt idx="1">
                  <c:v>Process Operations</c:v>
                </c:pt>
              </c:strCache>
            </c:strRef>
          </c:cat>
          <c:val>
            <c:numRef>
              <c:f>'GENE GUN'!$N$237:$O$237</c:f>
              <c:numCache>
                <c:formatCode>General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9B-6A51-4617-9245-8805E499B517}"/>
            </c:ext>
          </c:extLst>
        </c:ser>
        <c:ser>
          <c:idx val="23"/>
          <c:order val="23"/>
          <c:tx>
            <c:strRef>
              <c:f>'GENE GUN'!$A$238</c:f>
              <c:strCache>
                <c:ptCount val="1"/>
                <c:pt idx="0">
                  <c:v>Bullets</c:v>
                </c:pt>
              </c:strCache>
            </c:strRef>
          </c:tx>
          <c:invertIfNegative val="0"/>
          <c:cat>
            <c:strRef>
              <c:f>'GENE GUN'!$N$214:$O$214</c:f>
              <c:strCache>
                <c:ptCount val="2"/>
                <c:pt idx="0">
                  <c:v>System</c:v>
                </c:pt>
                <c:pt idx="1">
                  <c:v>Process Operations</c:v>
                </c:pt>
              </c:strCache>
            </c:strRef>
          </c:cat>
          <c:val>
            <c:numRef>
              <c:f>'GENE GUN'!$N$238:$O$238</c:f>
              <c:numCache>
                <c:formatCode>General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9D-6A51-4617-9245-8805E499B517}"/>
            </c:ext>
          </c:extLst>
        </c:ser>
        <c:ser>
          <c:idx val="24"/>
          <c:order val="24"/>
          <c:tx>
            <c:strRef>
              <c:f>'GENE GUN'!$A$239</c:f>
              <c:strCache>
                <c:ptCount val="1"/>
                <c:pt idx="0">
                  <c:v>Battery</c:v>
                </c:pt>
              </c:strCache>
            </c:strRef>
          </c:tx>
          <c:invertIfNegative val="0"/>
          <c:cat>
            <c:strRef>
              <c:f>'GENE GUN'!$N$214:$O$214</c:f>
              <c:strCache>
                <c:ptCount val="2"/>
                <c:pt idx="0">
                  <c:v>System</c:v>
                </c:pt>
                <c:pt idx="1">
                  <c:v>Process Operations</c:v>
                </c:pt>
              </c:strCache>
            </c:strRef>
          </c:cat>
          <c:val>
            <c:numRef>
              <c:f>'GENE GUN'!$N$239:$O$239</c:f>
              <c:numCache>
                <c:formatCode>General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9F-6A51-4617-9245-8805E499B517}"/>
            </c:ext>
          </c:extLst>
        </c:ser>
        <c:ser>
          <c:idx val="25"/>
          <c:order val="25"/>
          <c:tx>
            <c:strRef>
              <c:f>'GENE GUN'!$A$240</c:f>
              <c:strCache>
                <c:ptCount val="1"/>
                <c:pt idx="0">
                  <c:v>Bullet holder vial</c:v>
                </c:pt>
              </c:strCache>
            </c:strRef>
          </c:tx>
          <c:invertIfNegative val="0"/>
          <c:cat>
            <c:strRef>
              <c:f>'GENE GUN'!$N$214:$O$214</c:f>
              <c:strCache>
                <c:ptCount val="2"/>
                <c:pt idx="0">
                  <c:v>System</c:v>
                </c:pt>
                <c:pt idx="1">
                  <c:v>Process Operations</c:v>
                </c:pt>
              </c:strCache>
            </c:strRef>
          </c:cat>
          <c:val>
            <c:numRef>
              <c:f>'GENE GUN'!$N$240:$O$240</c:f>
              <c:numCache>
                <c:formatCode>General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A1-6A51-4617-9245-8805E499B517}"/>
            </c:ext>
          </c:extLst>
        </c:ser>
        <c:ser>
          <c:idx val="26"/>
          <c:order val="26"/>
          <c:tx>
            <c:strRef>
              <c:f>'GENE GUN'!$A$241</c:f>
              <c:strCache>
                <c:ptCount val="1"/>
                <c:pt idx="0">
                  <c:v>Dessicant pack</c:v>
                </c:pt>
              </c:strCache>
            </c:strRef>
          </c:tx>
          <c:invertIfNegative val="0"/>
          <c:cat>
            <c:strRef>
              <c:f>'GENE GUN'!$N$214:$O$214</c:f>
              <c:strCache>
                <c:ptCount val="2"/>
                <c:pt idx="0">
                  <c:v>System</c:v>
                </c:pt>
                <c:pt idx="1">
                  <c:v>Process Operations</c:v>
                </c:pt>
              </c:strCache>
            </c:strRef>
          </c:cat>
          <c:val>
            <c:numRef>
              <c:f>'GENE GUN'!$N$241:$O$241</c:f>
              <c:numCache>
                <c:formatCode>General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A3-6A51-4617-9245-8805E499B5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100"/>
        <c:axId val="312382031"/>
        <c:axId val="312385871"/>
      </c:barChart>
      <c:catAx>
        <c:axId val="312382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2385871"/>
        <c:crosses val="autoZero"/>
        <c:auto val="1"/>
        <c:lblAlgn val="ctr"/>
        <c:lblOffset val="100"/>
        <c:noMultiLvlLbl val="0"/>
      </c:catAx>
      <c:valAx>
        <c:axId val="31238587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kern="1200" baseline="0">
                    <a:solidFill>
                      <a:sysClr val="windowText" lastClr="000000"/>
                    </a:solidFill>
                  </a:rPr>
                  <a:t>Crewtime (CM-hr/CM/Mission)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" sourceLinked="0"/>
        <c:majorTickMark val="out"/>
        <c:minorTickMark val="none"/>
        <c:tickLblPos val="nextTo"/>
        <c:spPr>
          <a:noFill/>
          <a:ln w="952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2382031"/>
        <c:crosses val="autoZero"/>
        <c:crossBetween val="between"/>
      </c:valAx>
      <c:spPr>
        <a:ln>
          <a:solidFill>
            <a:schemeClr val="tx1"/>
          </a:solidFill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/>
      </a:solidFill>
      <a:round/>
    </a:ln>
    <a:effectLst/>
  </c:spPr>
  <c:txPr>
    <a:bodyPr/>
    <a:lstStyle/>
    <a:p>
      <a:pPr>
        <a:defRPr sz="1000" b="1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ysClr val="windowText" lastClr="000000"/>
                </a:solidFill>
              </a:rPr>
              <a:t>AGRO Mass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AGRO!$A$296</c:f>
              <c:strCache>
                <c:ptCount val="1"/>
                <c:pt idx="0">
                  <c:v>Harvesting container</c:v>
                </c:pt>
              </c:strCache>
            </c:strRef>
          </c:tx>
          <c:spPr>
            <a:solidFill>
              <a:schemeClr val="accent2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AGRO!$B$295:$E$295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AGRO!$B$296:$E$296</c:f>
              <c:numCache>
                <c:formatCode>General</c:formatCode>
                <c:ptCount val="4"/>
                <c:pt idx="0" formatCode="0.00E+00">
                  <c:v>1.3825423199999999E-2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19C4-40D8-BEF7-BC7E4956FBEC}"/>
            </c:ext>
          </c:extLst>
        </c:ser>
        <c:ser>
          <c:idx val="1"/>
          <c:order val="1"/>
          <c:tx>
            <c:strRef>
              <c:f>AGRO!$A$297</c:f>
              <c:strCache>
                <c:ptCount val="1"/>
                <c:pt idx="0">
                  <c:v>Harvesting tools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AGRO!$B$295:$E$295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AGRO!$B$297:$E$297</c:f>
              <c:numCache>
                <c:formatCode>General</c:formatCode>
                <c:ptCount val="4"/>
                <c:pt idx="0" formatCode="0.00E+00">
                  <c:v>3.4018333333333338E-2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7-19C4-40D8-BEF7-BC7E4956FBEC}"/>
            </c:ext>
          </c:extLst>
        </c:ser>
        <c:ser>
          <c:idx val="2"/>
          <c:order val="2"/>
          <c:tx>
            <c:strRef>
              <c:f>AGRO!$A$298</c:f>
              <c:strCache>
                <c:ptCount val="1"/>
                <c:pt idx="0">
                  <c:v>Refrigerator/Freezer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AGRO!$B$295:$E$295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AGRO!$B$298:$E$298</c:f>
              <c:numCache>
                <c:formatCode>General</c:formatCode>
                <c:ptCount val="4"/>
                <c:pt idx="0" formatCode="0.00E+00">
                  <c:v>412.01005361930294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9-19C4-40D8-BEF7-BC7E4956FBEC}"/>
            </c:ext>
          </c:extLst>
        </c:ser>
        <c:ser>
          <c:idx val="3"/>
          <c:order val="3"/>
          <c:tx>
            <c:strRef>
              <c:f>AGRO!$A$299</c:f>
              <c:strCache>
                <c:ptCount val="1"/>
                <c:pt idx="0">
                  <c:v>Lighting panels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AGRO!$B$295:$E$295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AGRO!$B$299:$E$299</c:f>
              <c:numCache>
                <c:formatCode>General</c:formatCode>
                <c:ptCount val="4"/>
                <c:pt idx="0" formatCode="0.00E+00">
                  <c:v>0.24299999999999999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B-19C4-40D8-BEF7-BC7E4956FBEC}"/>
            </c:ext>
          </c:extLst>
        </c:ser>
        <c:ser>
          <c:idx val="4"/>
          <c:order val="4"/>
          <c:tx>
            <c:strRef>
              <c:f>AGRO!$A$300</c:f>
              <c:strCache>
                <c:ptCount val="1"/>
                <c:pt idx="0">
                  <c:v>Plant growth chamber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AGRO!$B$295:$E$295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AGRO!$B$300:$E$300</c:f>
              <c:numCache>
                <c:formatCode>General</c:formatCode>
                <c:ptCount val="4"/>
                <c:pt idx="0" formatCode="0.00E+00">
                  <c:v>3.2607899999999987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D-19C4-40D8-BEF7-BC7E4956FBEC}"/>
            </c:ext>
          </c:extLst>
        </c:ser>
        <c:ser>
          <c:idx val="5"/>
          <c:order val="5"/>
          <c:tx>
            <c:strRef>
              <c:f>AGRO!$A$301</c:f>
              <c:strCache>
                <c:ptCount val="1"/>
                <c:pt idx="0">
                  <c:v>N benthamiana seeds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AGRO!$B$295:$E$295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AGRO!$B$301:$E$301</c:f>
              <c:numCache>
                <c:formatCode>0.00E+00</c:formatCode>
                <c:ptCount val="4"/>
                <c:pt idx="1">
                  <c:v>0.1475072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F-19C4-40D8-BEF7-BC7E4956FBEC}"/>
            </c:ext>
          </c:extLst>
        </c:ser>
        <c:ser>
          <c:idx val="6"/>
          <c:order val="6"/>
          <c:tx>
            <c:strRef>
              <c:f>AGRO!$A$302</c:f>
              <c:strCache>
                <c:ptCount val="1"/>
                <c:pt idx="0">
                  <c:v>Water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AGRO!$B$295:$E$295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AGRO!$B$302:$E$302</c:f>
              <c:numCache>
                <c:formatCode>0.00E+00</c:formatCode>
                <c:ptCount val="4"/>
                <c:pt idx="1">
                  <c:v>57.809149337122498</c:v>
                </c:pt>
                <c:pt idx="2">
                  <c:v>39.317930543093169</c:v>
                </c:pt>
                <c:pt idx="3" formatCode="General">
                  <c:v>11.3391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1-19C4-40D8-BEF7-BC7E4956FBEC}"/>
            </c:ext>
          </c:extLst>
        </c:ser>
        <c:ser>
          <c:idx val="7"/>
          <c:order val="7"/>
          <c:tx>
            <c:strRef>
              <c:f>AGRO!$A$303</c:f>
              <c:strCache>
                <c:ptCount val="1"/>
                <c:pt idx="0">
                  <c:v>Plant growth nutrients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AGRO!$B$295:$E$295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AGRO!$B$303:$E$303</c:f>
              <c:numCache>
                <c:formatCode>0.00E+00</c:formatCode>
                <c:ptCount val="4"/>
                <c:pt idx="1">
                  <c:v>1.7837063737561099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3-19C4-40D8-BEF7-BC7E4956FBEC}"/>
            </c:ext>
          </c:extLst>
        </c:ser>
        <c:ser>
          <c:idx val="8"/>
          <c:order val="8"/>
          <c:tx>
            <c:strRef>
              <c:f>AGRO!$A$304</c:f>
              <c:strCache>
                <c:ptCount val="1"/>
                <c:pt idx="0">
                  <c:v>Carbon dioxide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AGRO!$B$295:$E$295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AGRO!$B$304:$E$304</c:f>
              <c:numCache>
                <c:formatCode>0.00E+00</c:formatCode>
                <c:ptCount val="4"/>
                <c:pt idx="1">
                  <c:v>0.20033421752909375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5-19C4-40D8-BEF7-BC7E4956FBEC}"/>
            </c:ext>
          </c:extLst>
        </c:ser>
        <c:ser>
          <c:idx val="9"/>
          <c:order val="9"/>
          <c:tx>
            <c:strRef>
              <c:f>AGRO!$A$305</c:f>
              <c:strCache>
                <c:ptCount val="1"/>
                <c:pt idx="0">
                  <c:v>PTH-Fc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strRef>
              <c:f>AGRO!$B$295:$E$295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AGRO!$B$305:$E$305</c:f>
              <c:numCache>
                <c:formatCode>General</c:formatCode>
                <c:ptCount val="4"/>
                <c:pt idx="2" formatCode="0.00E+00">
                  <c:v>4.3000000000000004E-4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7-19C4-40D8-BEF7-BC7E4956FBEC}"/>
            </c:ext>
          </c:extLst>
        </c:ser>
        <c:ser>
          <c:idx val="10"/>
          <c:order val="10"/>
          <c:tx>
            <c:strRef>
              <c:f>AGRO!$A$306</c:f>
              <c:strCache>
                <c:ptCount val="1"/>
                <c:pt idx="0">
                  <c:v>Plant biomass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</c:spPr>
          <c:invertIfNegative val="0"/>
          <c:cat>
            <c:strRef>
              <c:f>AGRO!$B$295:$E$295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AGRO!$B$306:$E$306</c:f>
              <c:numCache>
                <c:formatCode>General</c:formatCode>
                <c:ptCount val="4"/>
                <c:pt idx="2" formatCode="0.00E+00">
                  <c:v>1.1528150134048256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9-19C4-40D8-BEF7-BC7E4956FBEC}"/>
            </c:ext>
          </c:extLst>
        </c:ser>
        <c:ser>
          <c:idx val="11"/>
          <c:order val="11"/>
          <c:tx>
            <c:strRef>
              <c:f>AGRO!$A$307</c:f>
              <c:strCache>
                <c:ptCount val="1"/>
                <c:pt idx="0">
                  <c:v>Oxygen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AGRO!$B$295:$E$295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AGRO!$B$307:$E$307</c:f>
              <c:numCache>
                <c:formatCode>General</c:formatCode>
                <c:ptCount val="4"/>
                <c:pt idx="2" formatCode="0.00E+00">
                  <c:v>0.14566357125012611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B-19C4-40D8-BEF7-BC7E4956FBEC}"/>
            </c:ext>
          </c:extLst>
        </c:ser>
        <c:ser>
          <c:idx val="12"/>
          <c:order val="12"/>
          <c:tx>
            <c:strRef>
              <c:f>AGRO!$A$308</c:f>
              <c:strCache>
                <c:ptCount val="1"/>
                <c:pt idx="0">
                  <c:v>Biomass waste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</c:spPr>
          <c:invertIfNegative val="0"/>
          <c:cat>
            <c:strRef>
              <c:f>AGRO!$B$295:$E$295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AGRO!$B$308:$E$308</c:f>
              <c:numCache>
                <c:formatCode>General</c:formatCode>
                <c:ptCount val="4"/>
                <c:pt idx="3" formatCode="0.00E+00">
                  <c:v>1.2894916291022447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D-19C4-40D8-BEF7-BC7E4956FBEC}"/>
            </c:ext>
          </c:extLst>
        </c:ser>
        <c:ser>
          <c:idx val="13"/>
          <c:order val="13"/>
          <c:tx>
            <c:strRef>
              <c:f>AGRO!$A$309</c:f>
              <c:strCache>
                <c:ptCount val="1"/>
                <c:pt idx="0">
                  <c:v>Scale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AGRO!$B$295:$E$295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AGRO!$B$309:$E$309</c:f>
              <c:numCache>
                <c:formatCode>0.00E+00</c:formatCode>
                <c:ptCount val="4"/>
                <c:pt idx="0">
                  <c:v>1.25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F-19C4-40D8-BEF7-BC7E4956FBEC}"/>
            </c:ext>
          </c:extLst>
        </c:ser>
        <c:ser>
          <c:idx val="14"/>
          <c:order val="14"/>
          <c:tx>
            <c:strRef>
              <c:f>AGRO!$A$310</c:f>
              <c:strCache>
                <c:ptCount val="1"/>
                <c:pt idx="0">
                  <c:v>BSC</c:v>
                </c:pt>
              </c:strCache>
            </c:strRef>
          </c:tx>
          <c:spPr>
            <a:solidFill>
              <a:schemeClr val="accent6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AGRO!$B$295:$E$295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AGRO!$B$310:$E$310</c:f>
              <c:numCache>
                <c:formatCode>0.00E+00</c:formatCode>
                <c:ptCount val="4"/>
                <c:pt idx="0">
                  <c:v>21.666666666666668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1-19C4-40D8-BEF7-BC7E4956FBEC}"/>
            </c:ext>
          </c:extLst>
        </c:ser>
        <c:ser>
          <c:idx val="15"/>
          <c:order val="15"/>
          <c:tx>
            <c:strRef>
              <c:f>AGRO!$A$311</c:f>
              <c:strCache>
                <c:ptCount val="1"/>
                <c:pt idx="0">
                  <c:v>Shaking incubator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AGRO!$B$295:$E$295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AGRO!$B$311:$E$311</c:f>
              <c:numCache>
                <c:formatCode>0.00E+00</c:formatCode>
                <c:ptCount val="4"/>
                <c:pt idx="0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3-19C4-40D8-BEF7-BC7E4956FBEC}"/>
            </c:ext>
          </c:extLst>
        </c:ser>
        <c:ser>
          <c:idx val="16"/>
          <c:order val="16"/>
          <c:tx>
            <c:strRef>
              <c:f>AGRO!$A$312</c:f>
              <c:strCache>
                <c:ptCount val="1"/>
                <c:pt idx="0">
                  <c:v>Vacuum pump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strRef>
              <c:f>AGRO!$B$295:$E$295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AGRO!$B$312:$E$312</c:f>
              <c:numCache>
                <c:formatCode>0.00E+00</c:formatCode>
                <c:ptCount val="4"/>
                <c:pt idx="0">
                  <c:v>1.0959939531368101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5-19C4-40D8-BEF7-BC7E4956FBEC}"/>
            </c:ext>
          </c:extLst>
        </c:ser>
        <c:ser>
          <c:idx val="17"/>
          <c:order val="17"/>
          <c:tx>
            <c:strRef>
              <c:f>AGRO!$A$313</c:f>
              <c:strCache>
                <c:ptCount val="1"/>
                <c:pt idx="0">
                  <c:v>Autoclave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AGRO!$B$295:$E$295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AGRO!$B$313:$E$313</c:f>
              <c:numCache>
                <c:formatCode>0.00E+00</c:formatCode>
                <c:ptCount val="4"/>
                <c:pt idx="0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7-19C4-40D8-BEF7-BC7E4956FBEC}"/>
            </c:ext>
          </c:extLst>
        </c:ser>
        <c:ser>
          <c:idx val="18"/>
          <c:order val="18"/>
          <c:tx>
            <c:strRef>
              <c:f>AGRO!$A$314</c:f>
              <c:strCache>
                <c:ptCount val="1"/>
                <c:pt idx="0">
                  <c:v>Centrifuge</c:v>
                </c:pt>
              </c:strCache>
            </c:strRef>
          </c:tx>
          <c:invertIfNegative val="0"/>
          <c:cat>
            <c:strRef>
              <c:f>AGRO!$B$295:$E$295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AGRO!$B$314:$E$314</c:f>
              <c:numCache>
                <c:formatCode>0.00E+00</c:formatCode>
                <c:ptCount val="4"/>
                <c:pt idx="0">
                  <c:v>11.946666666666665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9-19C4-40D8-BEF7-BC7E4956FBEC}"/>
            </c:ext>
          </c:extLst>
        </c:ser>
        <c:ser>
          <c:idx val="19"/>
          <c:order val="19"/>
          <c:tx>
            <c:strRef>
              <c:f>AGRO!$A$315</c:f>
              <c:strCache>
                <c:ptCount val="1"/>
                <c:pt idx="0">
                  <c:v>Spectrophotometer</c:v>
                </c:pt>
              </c:strCache>
            </c:strRef>
          </c:tx>
          <c:invertIfNegative val="0"/>
          <c:cat>
            <c:strRef>
              <c:f>AGRO!$B$295:$E$295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AGRO!$B$315:$E$315</c:f>
              <c:numCache>
                <c:formatCode>0.00E+00</c:formatCode>
                <c:ptCount val="4"/>
                <c:pt idx="0">
                  <c:v>0.10166666666666667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B-19C4-40D8-BEF7-BC7E4956FBEC}"/>
            </c:ext>
          </c:extLst>
        </c:ser>
        <c:ser>
          <c:idx val="20"/>
          <c:order val="20"/>
          <c:tx>
            <c:strRef>
              <c:f>AGRO!$A$316</c:f>
              <c:strCache>
                <c:ptCount val="1"/>
                <c:pt idx="0">
                  <c:v>Flask</c:v>
                </c:pt>
              </c:strCache>
            </c:strRef>
          </c:tx>
          <c:invertIfNegative val="0"/>
          <c:cat>
            <c:strRef>
              <c:f>AGRO!$B$295:$E$295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AGRO!$B$316:$E$316</c:f>
              <c:numCache>
                <c:formatCode>0.00E+00</c:formatCode>
                <c:ptCount val="4"/>
                <c:pt idx="0">
                  <c:v>0.21933333333333335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D-19C4-40D8-BEF7-BC7E4956FBEC}"/>
            </c:ext>
          </c:extLst>
        </c:ser>
        <c:ser>
          <c:idx val="21"/>
          <c:order val="21"/>
          <c:tx>
            <c:strRef>
              <c:f>AGRO!$A$317</c:f>
              <c:strCache>
                <c:ptCount val="1"/>
                <c:pt idx="0">
                  <c:v>Cuvette</c:v>
                </c:pt>
              </c:strCache>
            </c:strRef>
          </c:tx>
          <c:invertIfNegative val="0"/>
          <c:cat>
            <c:strRef>
              <c:f>AGRO!$B$295:$E$295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AGRO!$B$317:$E$317</c:f>
              <c:numCache>
                <c:formatCode>0.00E+00</c:formatCode>
                <c:ptCount val="4"/>
                <c:pt idx="0">
                  <c:v>4.3645000000000003E-3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F-19C4-40D8-BEF7-BC7E4956FBEC}"/>
            </c:ext>
          </c:extLst>
        </c:ser>
        <c:ser>
          <c:idx val="22"/>
          <c:order val="22"/>
          <c:tx>
            <c:strRef>
              <c:f>AGRO!$A$318</c:f>
              <c:strCache>
                <c:ptCount val="1"/>
                <c:pt idx="0">
                  <c:v>Bottle</c:v>
                </c:pt>
              </c:strCache>
            </c:strRef>
          </c:tx>
          <c:invertIfNegative val="0"/>
          <c:cat>
            <c:strRef>
              <c:f>AGRO!$B$295:$E$295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AGRO!$B$318:$E$318</c:f>
              <c:numCache>
                <c:formatCode>0.00E+00</c:formatCode>
                <c:ptCount val="4"/>
                <c:pt idx="0">
                  <c:v>0.28849999999999998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1-19C4-40D8-BEF7-BC7E4956FBEC}"/>
            </c:ext>
          </c:extLst>
        </c:ser>
        <c:ser>
          <c:idx val="23"/>
          <c:order val="23"/>
          <c:tx>
            <c:strRef>
              <c:f>AGRO!$A$319</c:f>
              <c:strCache>
                <c:ptCount val="1"/>
                <c:pt idx="0">
                  <c:v>Beaker</c:v>
                </c:pt>
              </c:strCache>
            </c:strRef>
          </c:tx>
          <c:invertIfNegative val="0"/>
          <c:cat>
            <c:strRef>
              <c:f>AGRO!$B$295:$E$295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AGRO!$B$319:$E$319</c:f>
              <c:numCache>
                <c:formatCode>0.00E+00</c:formatCode>
                <c:ptCount val="4"/>
                <c:pt idx="0">
                  <c:v>1.95E-2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3-19C4-40D8-BEF7-BC7E4956FBEC}"/>
            </c:ext>
          </c:extLst>
        </c:ser>
        <c:ser>
          <c:idx val="24"/>
          <c:order val="24"/>
          <c:tx>
            <c:strRef>
              <c:f>AGRO!$A$320</c:f>
              <c:strCache>
                <c:ptCount val="1"/>
                <c:pt idx="0">
                  <c:v>Vacuum chamber</c:v>
                </c:pt>
              </c:strCache>
            </c:strRef>
          </c:tx>
          <c:invertIfNegative val="0"/>
          <c:cat>
            <c:strRef>
              <c:f>AGRO!$B$295:$E$295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AGRO!$B$320:$E$320</c:f>
              <c:numCache>
                <c:formatCode>0.00E+00</c:formatCode>
                <c:ptCount val="4"/>
                <c:pt idx="0">
                  <c:v>1.7683333333333333E-3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5-19C4-40D8-BEF7-BC7E4956FBEC}"/>
            </c:ext>
          </c:extLst>
        </c:ser>
        <c:ser>
          <c:idx val="25"/>
          <c:order val="25"/>
          <c:tx>
            <c:strRef>
              <c:f>AGRO!$A$321</c:f>
              <c:strCache>
                <c:ptCount val="1"/>
                <c:pt idx="0">
                  <c:v>Centrifuge tubes</c:v>
                </c:pt>
              </c:strCache>
            </c:strRef>
          </c:tx>
          <c:invertIfNegative val="0"/>
          <c:cat>
            <c:strRef>
              <c:f>AGRO!$B$295:$E$295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AGRO!$B$321:$E$321</c:f>
              <c:numCache>
                <c:formatCode>0.00E+00</c:formatCode>
                <c:ptCount val="4"/>
                <c:pt idx="0">
                  <c:v>0.49780000000000002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7-19C4-40D8-BEF7-BC7E4956FBEC}"/>
            </c:ext>
          </c:extLst>
        </c:ser>
        <c:ser>
          <c:idx val="26"/>
          <c:order val="26"/>
          <c:tx>
            <c:strRef>
              <c:f>AGRO!$A$322</c:f>
              <c:strCache>
                <c:ptCount val="1"/>
                <c:pt idx="0">
                  <c:v>LB Media mix</c:v>
                </c:pt>
              </c:strCache>
            </c:strRef>
          </c:tx>
          <c:invertIfNegative val="0"/>
          <c:cat>
            <c:strRef>
              <c:f>AGRO!$B$295:$E$295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AGRO!$B$322:$E$322</c:f>
              <c:numCache>
                <c:formatCode>0.00E+00</c:formatCode>
                <c:ptCount val="4"/>
                <c:pt idx="1">
                  <c:v>7.7601800000000012E-2</c:v>
                </c:pt>
                <c:pt idx="3">
                  <c:v>7.7601800000000012E-2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9-19C4-40D8-BEF7-BC7E4956FBEC}"/>
            </c:ext>
          </c:extLst>
        </c:ser>
        <c:ser>
          <c:idx val="27"/>
          <c:order val="27"/>
          <c:tx>
            <c:strRef>
              <c:f>AGRO!$A$323</c:f>
              <c:strCache>
                <c:ptCount val="1"/>
                <c:pt idx="0">
                  <c:v>Culture tubes</c:v>
                </c:pt>
              </c:strCache>
            </c:strRef>
          </c:tx>
          <c:invertIfNegative val="0"/>
          <c:cat>
            <c:strRef>
              <c:f>AGRO!$B$295:$E$295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AGRO!$B$323:$E$323</c:f>
              <c:numCache>
                <c:formatCode>0.00E+00</c:formatCode>
                <c:ptCount val="4"/>
                <c:pt idx="1">
                  <c:v>0.84711720000000001</c:v>
                </c:pt>
                <c:pt idx="3">
                  <c:v>0.84711720000000001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A-19C4-40D8-BEF7-BC7E4956FBEC}"/>
            </c:ext>
          </c:extLst>
        </c:ser>
        <c:ser>
          <c:idx val="28"/>
          <c:order val="28"/>
          <c:tx>
            <c:strRef>
              <c:f>AGRO!$A$324</c:f>
              <c:strCache>
                <c:ptCount val="1"/>
                <c:pt idx="0">
                  <c:v>Kanamycin</c:v>
                </c:pt>
              </c:strCache>
            </c:strRef>
          </c:tx>
          <c:invertIfNegative val="0"/>
          <c:cat>
            <c:strRef>
              <c:f>AGRO!$B$295:$E$295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AGRO!$B$324:$E$324</c:f>
              <c:numCache>
                <c:formatCode>0.00E+00</c:formatCode>
                <c:ptCount val="4"/>
                <c:pt idx="1">
                  <c:v>4.2000000000000006E-3</c:v>
                </c:pt>
                <c:pt idx="3">
                  <c:v>4.2000000000000006E-3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B-19C4-40D8-BEF7-BC7E4956FBEC}"/>
            </c:ext>
          </c:extLst>
        </c:ser>
        <c:ser>
          <c:idx val="29"/>
          <c:order val="29"/>
          <c:tx>
            <c:strRef>
              <c:f>AGRO!$A$325</c:f>
              <c:strCache>
                <c:ptCount val="1"/>
                <c:pt idx="0">
                  <c:v>Tetracycline</c:v>
                </c:pt>
              </c:strCache>
            </c:strRef>
          </c:tx>
          <c:invertIfNegative val="0"/>
          <c:cat>
            <c:strRef>
              <c:f>AGRO!$B$295:$E$295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AGRO!$B$325:$E$325</c:f>
              <c:numCache>
                <c:formatCode>0.00E+00</c:formatCode>
                <c:ptCount val="4"/>
                <c:pt idx="1">
                  <c:v>4.0400000000000002E-3</c:v>
                </c:pt>
                <c:pt idx="3">
                  <c:v>4.0400000000000002E-3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C-19C4-40D8-BEF7-BC7E4956FBEC}"/>
            </c:ext>
          </c:extLst>
        </c:ser>
        <c:ser>
          <c:idx val="30"/>
          <c:order val="30"/>
          <c:tx>
            <c:strRef>
              <c:f>AGRO!$A$326</c:f>
              <c:strCache>
                <c:ptCount val="1"/>
                <c:pt idx="0">
                  <c:v>Rifampicin</c:v>
                </c:pt>
              </c:strCache>
            </c:strRef>
          </c:tx>
          <c:invertIfNegative val="0"/>
          <c:cat>
            <c:strRef>
              <c:f>AGRO!$B$295:$E$295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AGRO!$B$326:$E$326</c:f>
              <c:numCache>
                <c:formatCode>0.00E+00</c:formatCode>
                <c:ptCount val="4"/>
                <c:pt idx="1">
                  <c:v>4.0400000000000002E-3</c:v>
                </c:pt>
                <c:pt idx="3">
                  <c:v>4.0400000000000002E-3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D-19C4-40D8-BEF7-BC7E4956FBEC}"/>
            </c:ext>
          </c:extLst>
        </c:ser>
        <c:ser>
          <c:idx val="31"/>
          <c:order val="31"/>
          <c:tx>
            <c:strRef>
              <c:f>AGRO!$A$327</c:f>
              <c:strCache>
                <c:ptCount val="1"/>
                <c:pt idx="0">
                  <c:v>Acetosyringone</c:v>
                </c:pt>
              </c:strCache>
            </c:strRef>
          </c:tx>
          <c:invertIfNegative val="0"/>
          <c:cat>
            <c:strRef>
              <c:f>AGRO!$B$295:$E$295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AGRO!$B$327:$E$327</c:f>
              <c:numCache>
                <c:formatCode>0.00E+00</c:formatCode>
                <c:ptCount val="4"/>
                <c:pt idx="1">
                  <c:v>2.1471285E-2</c:v>
                </c:pt>
                <c:pt idx="3">
                  <c:v>2.1471285E-2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E-19C4-40D8-BEF7-BC7E4956FBEC}"/>
            </c:ext>
          </c:extLst>
        </c:ser>
        <c:ser>
          <c:idx val="32"/>
          <c:order val="32"/>
          <c:tx>
            <c:strRef>
              <c:f>AGRO!$A$328</c:f>
              <c:strCache>
                <c:ptCount val="1"/>
                <c:pt idx="0">
                  <c:v>MES</c:v>
                </c:pt>
              </c:strCache>
            </c:strRef>
          </c:tx>
          <c:invertIfNegative val="0"/>
          <c:cat>
            <c:strRef>
              <c:f>AGRO!$B$295:$E$295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AGRO!$B$328:$E$328</c:f>
              <c:numCache>
                <c:formatCode>0.00E+00</c:formatCode>
                <c:ptCount val="4"/>
                <c:pt idx="1">
                  <c:v>0.13584200000000002</c:v>
                </c:pt>
                <c:pt idx="3">
                  <c:v>0.13584200000000002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F-19C4-40D8-BEF7-BC7E4956FBEC}"/>
            </c:ext>
          </c:extLst>
        </c:ser>
        <c:ser>
          <c:idx val="33"/>
          <c:order val="33"/>
          <c:tx>
            <c:strRef>
              <c:f>AGRO!$A$329</c:f>
              <c:strCache>
                <c:ptCount val="1"/>
                <c:pt idx="0">
                  <c:v>MgCl2</c:v>
                </c:pt>
              </c:strCache>
            </c:strRef>
          </c:tx>
          <c:invertIfNegative val="0"/>
          <c:cat>
            <c:strRef>
              <c:f>AGRO!$B$295:$E$295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AGRO!$B$329:$E$329</c:f>
              <c:numCache>
                <c:formatCode>0.00E+00</c:formatCode>
                <c:ptCount val="4"/>
                <c:pt idx="1">
                  <c:v>0.271206</c:v>
                </c:pt>
                <c:pt idx="3">
                  <c:v>0.271206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0-19C4-40D8-BEF7-BC7E4956FBEC}"/>
            </c:ext>
          </c:extLst>
        </c:ser>
        <c:ser>
          <c:idx val="34"/>
          <c:order val="34"/>
          <c:tx>
            <c:strRef>
              <c:f>AGRO!$A$330</c:f>
              <c:strCache>
                <c:ptCount val="1"/>
                <c:pt idx="0">
                  <c:v>Silwet L-77</c:v>
                </c:pt>
              </c:strCache>
            </c:strRef>
          </c:tx>
          <c:invertIfNegative val="0"/>
          <c:cat>
            <c:strRef>
              <c:f>AGRO!$B$295:$E$295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AGRO!$B$330:$E$330</c:f>
              <c:numCache>
                <c:formatCode>0.00E+00</c:formatCode>
                <c:ptCount val="4"/>
                <c:pt idx="1">
                  <c:v>3.1349999999999998E-3</c:v>
                </c:pt>
                <c:pt idx="3">
                  <c:v>3.1349999999999998E-3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1-19C4-40D8-BEF7-BC7E4956FBEC}"/>
            </c:ext>
          </c:extLst>
        </c:ser>
        <c:ser>
          <c:idx val="35"/>
          <c:order val="35"/>
          <c:tx>
            <c:strRef>
              <c:f>AGRO!$A$331</c:f>
              <c:strCache>
                <c:ptCount val="1"/>
                <c:pt idx="0">
                  <c:v>Agro stock tubes</c:v>
                </c:pt>
              </c:strCache>
            </c:strRef>
          </c:tx>
          <c:invertIfNegative val="0"/>
          <c:cat>
            <c:strRef>
              <c:f>AGRO!$B$295:$E$295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AGRO!$B$331:$E$331</c:f>
              <c:numCache>
                <c:formatCode>0.00E+00</c:formatCode>
                <c:ptCount val="4"/>
                <c:pt idx="1">
                  <c:v>8.2249999999999997E-3</c:v>
                </c:pt>
                <c:pt idx="3">
                  <c:v>8.2249999999999997E-3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2-19C4-40D8-BEF7-BC7E4956FB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100"/>
        <c:axId val="312382031"/>
        <c:axId val="312385871"/>
      </c:barChart>
      <c:catAx>
        <c:axId val="312382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2385871"/>
        <c:crosses val="autoZero"/>
        <c:auto val="1"/>
        <c:lblAlgn val="ctr"/>
        <c:lblOffset val="100"/>
        <c:noMultiLvlLbl val="0"/>
      </c:catAx>
      <c:valAx>
        <c:axId val="31238587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kern="1200" baseline="0">
                    <a:solidFill>
                      <a:sysClr val="windowText" lastClr="000000"/>
                    </a:solidFill>
                  </a:rPr>
                  <a:t>Mass (kg/CM/Mission)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" sourceLinked="0"/>
        <c:majorTickMark val="out"/>
        <c:minorTickMark val="none"/>
        <c:tickLblPos val="nextTo"/>
        <c:spPr>
          <a:noFill/>
          <a:ln w="952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2382031"/>
        <c:crosses val="autoZero"/>
        <c:crossBetween val="between"/>
      </c:valAx>
      <c:spPr>
        <a:ln>
          <a:solidFill>
            <a:schemeClr val="tx1"/>
          </a:solidFill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/>
      </a:solidFill>
      <a:round/>
    </a:ln>
    <a:effectLst/>
  </c:spPr>
  <c:txPr>
    <a:bodyPr/>
    <a:lstStyle/>
    <a:p>
      <a:pPr>
        <a:defRPr sz="1000" b="1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ysClr val="windowText" lastClr="000000"/>
                </a:solidFill>
              </a:rPr>
              <a:t>AGRO Volume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AGRO!$A$296</c:f>
              <c:strCache>
                <c:ptCount val="1"/>
                <c:pt idx="0">
                  <c:v>Harvesting container</c:v>
                </c:pt>
              </c:strCache>
            </c:strRef>
          </c:tx>
          <c:spPr>
            <a:solidFill>
              <a:schemeClr val="accent2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AGRO!$F$295:$I$295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AGRO!$F$296:$I$296</c:f>
              <c:numCache>
                <c:formatCode>General</c:formatCode>
                <c:ptCount val="4"/>
                <c:pt idx="0" formatCode="0.00E+00">
                  <c:v>7.4585973E-6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19C4-40D8-BEF7-BC7E4956FBEC}"/>
            </c:ext>
          </c:extLst>
        </c:ser>
        <c:ser>
          <c:idx val="1"/>
          <c:order val="1"/>
          <c:tx>
            <c:strRef>
              <c:f>AGRO!$A$297</c:f>
              <c:strCache>
                <c:ptCount val="1"/>
                <c:pt idx="0">
                  <c:v>Harvesting tools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AGRO!$F$295:$I$295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AGRO!$F$297:$I$297</c:f>
              <c:numCache>
                <c:formatCode>General</c:formatCode>
                <c:ptCount val="4"/>
                <c:pt idx="0" formatCode="0.00E+00">
                  <c:v>1.0735999999999999E-4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7-19C4-40D8-BEF7-BC7E4956FBEC}"/>
            </c:ext>
          </c:extLst>
        </c:ser>
        <c:ser>
          <c:idx val="2"/>
          <c:order val="2"/>
          <c:tx>
            <c:strRef>
              <c:f>AGRO!$A$298</c:f>
              <c:strCache>
                <c:ptCount val="1"/>
                <c:pt idx="0">
                  <c:v>Refrigerator/Freezer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AGRO!$F$295:$I$295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AGRO!$F$298:$I$298</c:f>
              <c:numCache>
                <c:formatCode>General</c:formatCode>
                <c:ptCount val="4"/>
                <c:pt idx="0" formatCode="0.00E+00">
                  <c:v>2.0000526809651475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9-19C4-40D8-BEF7-BC7E4956FBEC}"/>
            </c:ext>
          </c:extLst>
        </c:ser>
        <c:ser>
          <c:idx val="3"/>
          <c:order val="3"/>
          <c:tx>
            <c:strRef>
              <c:f>AGRO!$A$299</c:f>
              <c:strCache>
                <c:ptCount val="1"/>
                <c:pt idx="0">
                  <c:v>Lighting panels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AGRO!$F$295:$I$295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AGRO!$F$299:$I$299</c:f>
              <c:numCache>
                <c:formatCode>General</c:formatCode>
                <c:ptCount val="4"/>
                <c:pt idx="0" formatCode="0.00E+00">
                  <c:v>8.9999999999999992E-5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B-19C4-40D8-BEF7-BC7E4956FBEC}"/>
            </c:ext>
          </c:extLst>
        </c:ser>
        <c:ser>
          <c:idx val="4"/>
          <c:order val="4"/>
          <c:tx>
            <c:strRef>
              <c:f>AGRO!$A$300</c:f>
              <c:strCache>
                <c:ptCount val="1"/>
                <c:pt idx="0">
                  <c:v>Plant growth chamber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AGRO!$F$295:$I$295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AGRO!$F$300:$I$300</c:f>
              <c:numCache>
                <c:formatCode>General</c:formatCode>
                <c:ptCount val="4"/>
                <c:pt idx="0" formatCode="0.00E+00">
                  <c:v>3.6230999999999992E-2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D-19C4-40D8-BEF7-BC7E4956FBEC}"/>
            </c:ext>
          </c:extLst>
        </c:ser>
        <c:ser>
          <c:idx val="5"/>
          <c:order val="5"/>
          <c:tx>
            <c:strRef>
              <c:f>AGRO!$A$301</c:f>
              <c:strCache>
                <c:ptCount val="1"/>
                <c:pt idx="0">
                  <c:v>N benthamiana seeds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AGRO!$F$295:$I$295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AGRO!$F$301:$I$301</c:f>
              <c:numCache>
                <c:formatCode>0.00E+00</c:formatCode>
                <c:ptCount val="4"/>
                <c:pt idx="1">
                  <c:v>4.1033127046699689E-9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F-19C4-40D8-BEF7-BC7E4956FBEC}"/>
            </c:ext>
          </c:extLst>
        </c:ser>
        <c:ser>
          <c:idx val="6"/>
          <c:order val="6"/>
          <c:tx>
            <c:strRef>
              <c:f>AGRO!$A$302</c:f>
              <c:strCache>
                <c:ptCount val="1"/>
                <c:pt idx="0">
                  <c:v>Water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AGRO!$F$295:$I$295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AGRO!$F$302:$I$302</c:f>
              <c:numCache>
                <c:formatCode>0.00E+00</c:formatCode>
                <c:ptCount val="4"/>
                <c:pt idx="1">
                  <c:v>4.6470049337122503E-2</c:v>
                </c:pt>
                <c:pt idx="2">
                  <c:v>3.9317930543093169E-2</c:v>
                </c:pt>
                <c:pt idx="3" formatCode="General">
                  <c:v>1.13391E-2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1-19C4-40D8-BEF7-BC7E4956FBEC}"/>
            </c:ext>
          </c:extLst>
        </c:ser>
        <c:ser>
          <c:idx val="7"/>
          <c:order val="7"/>
          <c:tx>
            <c:strRef>
              <c:f>AGRO!$A$303</c:f>
              <c:strCache>
                <c:ptCount val="1"/>
                <c:pt idx="0">
                  <c:v>Plant growth nutrients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AGRO!$F$295:$I$295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AGRO!$F$303:$I$303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33-19C4-40D8-BEF7-BC7E4956FBEC}"/>
            </c:ext>
          </c:extLst>
        </c:ser>
        <c:ser>
          <c:idx val="8"/>
          <c:order val="8"/>
          <c:tx>
            <c:strRef>
              <c:f>AGRO!$A$304</c:f>
              <c:strCache>
                <c:ptCount val="1"/>
                <c:pt idx="0">
                  <c:v>Carbon dioxide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AGRO!$F$295:$I$295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AGRO!$F$304:$I$304</c:f>
              <c:numCache>
                <c:formatCode>0.00E+00</c:formatCode>
                <c:ptCount val="4"/>
                <c:pt idx="1">
                  <c:v>0.11007374589510645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5-19C4-40D8-BEF7-BC7E4956FBEC}"/>
            </c:ext>
          </c:extLst>
        </c:ser>
        <c:ser>
          <c:idx val="9"/>
          <c:order val="9"/>
          <c:tx>
            <c:strRef>
              <c:f>AGRO!$A$305</c:f>
              <c:strCache>
                <c:ptCount val="1"/>
                <c:pt idx="0">
                  <c:v>PTH-Fc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strRef>
              <c:f>AGRO!$F$295:$I$295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AGRO!$F$305:$I$305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37-19C4-40D8-BEF7-BC7E4956FBEC}"/>
            </c:ext>
          </c:extLst>
        </c:ser>
        <c:ser>
          <c:idx val="10"/>
          <c:order val="10"/>
          <c:tx>
            <c:strRef>
              <c:f>AGRO!$A$306</c:f>
              <c:strCache>
                <c:ptCount val="1"/>
                <c:pt idx="0">
                  <c:v>Plant biomass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</c:spPr>
          <c:invertIfNegative val="0"/>
          <c:cat>
            <c:strRef>
              <c:f>AGRO!$F$295:$I$295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AGRO!$F$306:$I$306</c:f>
              <c:numCache>
                <c:formatCode>0.00E+00</c:formatCode>
                <c:ptCount val="4"/>
                <c:pt idx="2">
                  <c:v>1.9213583556747092E-2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9-19C4-40D8-BEF7-BC7E4956FBEC}"/>
            </c:ext>
          </c:extLst>
        </c:ser>
        <c:ser>
          <c:idx val="11"/>
          <c:order val="11"/>
          <c:tx>
            <c:strRef>
              <c:f>AGRO!$A$307</c:f>
              <c:strCache>
                <c:ptCount val="1"/>
                <c:pt idx="0">
                  <c:v>Oxygen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AGRO!$F$295:$I$295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AGRO!$F$307:$I$307</c:f>
              <c:numCache>
                <c:formatCode>General</c:formatCode>
                <c:ptCount val="4"/>
                <c:pt idx="2" formatCode="0.00E+00">
                  <c:v>0.11204890096163547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B-19C4-40D8-BEF7-BC7E4956FBEC}"/>
            </c:ext>
          </c:extLst>
        </c:ser>
        <c:ser>
          <c:idx val="12"/>
          <c:order val="12"/>
          <c:tx>
            <c:strRef>
              <c:f>AGRO!$A$308</c:f>
              <c:strCache>
                <c:ptCount val="1"/>
                <c:pt idx="0">
                  <c:v>Biomass waste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</c:spPr>
          <c:invertIfNegative val="0"/>
          <c:cat>
            <c:strRef>
              <c:f>AGRO!$F$295:$I$295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AGRO!$F$308:$I$308</c:f>
              <c:numCache>
                <c:formatCode>General</c:formatCode>
                <c:ptCount val="4"/>
                <c:pt idx="3" formatCode="0.00E+00">
                  <c:v>2.2779435949569849E-3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D-19C4-40D8-BEF7-BC7E4956FBEC}"/>
            </c:ext>
          </c:extLst>
        </c:ser>
        <c:ser>
          <c:idx val="13"/>
          <c:order val="13"/>
          <c:tx>
            <c:strRef>
              <c:f>AGRO!$A$309</c:f>
              <c:strCache>
                <c:ptCount val="1"/>
                <c:pt idx="0">
                  <c:v>Scale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AGRO!$F$295:$I$295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AGRO!$F$309:$I$309</c:f>
              <c:numCache>
                <c:formatCode>0.00E+00</c:formatCode>
                <c:ptCount val="4"/>
                <c:pt idx="0">
                  <c:v>4.9501190000000002E-3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F-19C4-40D8-BEF7-BC7E4956FBEC}"/>
            </c:ext>
          </c:extLst>
        </c:ser>
        <c:ser>
          <c:idx val="14"/>
          <c:order val="14"/>
          <c:tx>
            <c:strRef>
              <c:f>AGRO!$A$310</c:f>
              <c:strCache>
                <c:ptCount val="1"/>
                <c:pt idx="0">
                  <c:v>BSC</c:v>
                </c:pt>
              </c:strCache>
            </c:strRef>
          </c:tx>
          <c:spPr>
            <a:solidFill>
              <a:schemeClr val="accent6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AGRO!$F$295:$I$295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AGRO!$F$310:$I$310</c:f>
              <c:numCache>
                <c:formatCode>0.00E+00</c:formatCode>
                <c:ptCount val="4"/>
                <c:pt idx="0">
                  <c:v>9.7066666666666648E-2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1-19C4-40D8-BEF7-BC7E4956FBEC}"/>
            </c:ext>
          </c:extLst>
        </c:ser>
        <c:ser>
          <c:idx val="15"/>
          <c:order val="15"/>
          <c:tx>
            <c:strRef>
              <c:f>AGRO!$A$311</c:f>
              <c:strCache>
                <c:ptCount val="1"/>
                <c:pt idx="0">
                  <c:v>Shaking incubator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AGRO!$F$295:$I$295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AGRO!$F$311:$I$311</c:f>
              <c:numCache>
                <c:formatCode>0.00E+00</c:formatCode>
                <c:ptCount val="4"/>
                <c:pt idx="0">
                  <c:v>4.3305729999999994E-2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3-19C4-40D8-BEF7-BC7E4956FBEC}"/>
            </c:ext>
          </c:extLst>
        </c:ser>
        <c:ser>
          <c:idx val="16"/>
          <c:order val="16"/>
          <c:tx>
            <c:strRef>
              <c:f>AGRO!$A$312</c:f>
              <c:strCache>
                <c:ptCount val="1"/>
                <c:pt idx="0">
                  <c:v>Vacuum pump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strRef>
              <c:f>AGRO!$F$295:$I$295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AGRO!$F$312:$I$312</c:f>
              <c:numCache>
                <c:formatCode>0.00E+00</c:formatCode>
                <c:ptCount val="4"/>
                <c:pt idx="0">
                  <c:v>8.5244195962880015E-4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5-19C4-40D8-BEF7-BC7E4956FBEC}"/>
            </c:ext>
          </c:extLst>
        </c:ser>
        <c:ser>
          <c:idx val="17"/>
          <c:order val="17"/>
          <c:tx>
            <c:strRef>
              <c:f>AGRO!$A$313</c:f>
              <c:strCache>
                <c:ptCount val="1"/>
                <c:pt idx="0">
                  <c:v>Autoclave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AGRO!$F$295:$I$295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AGRO!$F$313:$I$313</c:f>
              <c:numCache>
                <c:formatCode>0.00E+00</c:formatCode>
                <c:ptCount val="4"/>
                <c:pt idx="0">
                  <c:v>2.0212999999999998E-2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7-19C4-40D8-BEF7-BC7E4956FBEC}"/>
            </c:ext>
          </c:extLst>
        </c:ser>
        <c:ser>
          <c:idx val="18"/>
          <c:order val="18"/>
          <c:tx>
            <c:strRef>
              <c:f>AGRO!$A$314</c:f>
              <c:strCache>
                <c:ptCount val="1"/>
                <c:pt idx="0">
                  <c:v>Centrifuge</c:v>
                </c:pt>
              </c:strCache>
            </c:strRef>
          </c:tx>
          <c:invertIfNegative val="0"/>
          <c:cat>
            <c:strRef>
              <c:f>AGRO!$F$295:$I$295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AGRO!$F$314:$I$314</c:f>
              <c:numCache>
                <c:formatCode>0.00E+00</c:formatCode>
                <c:ptCount val="4"/>
                <c:pt idx="0">
                  <c:v>1.8703599999999997E-2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9-19C4-40D8-BEF7-BC7E4956FBEC}"/>
            </c:ext>
          </c:extLst>
        </c:ser>
        <c:ser>
          <c:idx val="19"/>
          <c:order val="19"/>
          <c:tx>
            <c:strRef>
              <c:f>AGRO!$A$315</c:f>
              <c:strCache>
                <c:ptCount val="1"/>
                <c:pt idx="0">
                  <c:v>Spectrophotometer</c:v>
                </c:pt>
              </c:strCache>
            </c:strRef>
          </c:tx>
          <c:invertIfNegative val="0"/>
          <c:cat>
            <c:strRef>
              <c:f>AGRO!$F$295:$I$295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AGRO!$F$315:$I$315</c:f>
              <c:numCache>
                <c:formatCode>0.00E+00</c:formatCode>
                <c:ptCount val="4"/>
                <c:pt idx="0">
                  <c:v>9.0000000000000006E-5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B-19C4-40D8-BEF7-BC7E4956FBEC}"/>
            </c:ext>
          </c:extLst>
        </c:ser>
        <c:ser>
          <c:idx val="20"/>
          <c:order val="20"/>
          <c:tx>
            <c:strRef>
              <c:f>AGRO!$A$316</c:f>
              <c:strCache>
                <c:ptCount val="1"/>
                <c:pt idx="0">
                  <c:v>Flask</c:v>
                </c:pt>
              </c:strCache>
            </c:strRef>
          </c:tx>
          <c:invertIfNegative val="0"/>
          <c:cat>
            <c:strRef>
              <c:f>AGRO!$F$295:$I$295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AGRO!$F$316:$I$316</c:f>
              <c:numCache>
                <c:formatCode>0.00E+00</c:formatCode>
                <c:ptCount val="4"/>
                <c:pt idx="0">
                  <c:v>1.5833626974092556E-3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D-19C4-40D8-BEF7-BC7E4956FBEC}"/>
            </c:ext>
          </c:extLst>
        </c:ser>
        <c:ser>
          <c:idx val="21"/>
          <c:order val="21"/>
          <c:tx>
            <c:strRef>
              <c:f>AGRO!$A$317</c:f>
              <c:strCache>
                <c:ptCount val="1"/>
                <c:pt idx="0">
                  <c:v>Cuvette</c:v>
                </c:pt>
              </c:strCache>
            </c:strRef>
          </c:tx>
          <c:invertIfNegative val="0"/>
          <c:cat>
            <c:strRef>
              <c:f>AGRO!$F$295:$I$295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AGRO!$F$317:$I$317</c:f>
              <c:numCache>
                <c:formatCode>0.00E+00</c:formatCode>
                <c:ptCount val="4"/>
                <c:pt idx="0">
                  <c:v>1.0666666666666669E-5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F-19C4-40D8-BEF7-BC7E4956FBEC}"/>
            </c:ext>
          </c:extLst>
        </c:ser>
        <c:ser>
          <c:idx val="22"/>
          <c:order val="22"/>
          <c:tx>
            <c:strRef>
              <c:f>AGRO!$A$318</c:f>
              <c:strCache>
                <c:ptCount val="1"/>
                <c:pt idx="0">
                  <c:v>Bottle</c:v>
                </c:pt>
              </c:strCache>
            </c:strRef>
          </c:tx>
          <c:invertIfNegative val="0"/>
          <c:cat>
            <c:strRef>
              <c:f>AGRO!$F$295:$I$295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AGRO!$F$318:$I$318</c:f>
              <c:numCache>
                <c:formatCode>0.00E+00</c:formatCode>
                <c:ptCount val="4"/>
                <c:pt idx="0">
                  <c:v>9.0320788790706564E-4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1-19C4-40D8-BEF7-BC7E4956FBEC}"/>
            </c:ext>
          </c:extLst>
        </c:ser>
        <c:ser>
          <c:idx val="23"/>
          <c:order val="23"/>
          <c:tx>
            <c:strRef>
              <c:f>AGRO!$A$319</c:f>
              <c:strCache>
                <c:ptCount val="1"/>
                <c:pt idx="0">
                  <c:v>Beaker</c:v>
                </c:pt>
              </c:strCache>
            </c:strRef>
          </c:tx>
          <c:invertIfNegative val="0"/>
          <c:cat>
            <c:strRef>
              <c:f>AGRO!$F$295:$I$295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AGRO!$F$319:$I$319</c:f>
              <c:numCache>
                <c:formatCode>0.00E+00</c:formatCode>
                <c:ptCount val="4"/>
                <c:pt idx="0">
                  <c:v>3.3183072403542192E-4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3-19C4-40D8-BEF7-BC7E4956FBEC}"/>
            </c:ext>
          </c:extLst>
        </c:ser>
        <c:ser>
          <c:idx val="24"/>
          <c:order val="24"/>
          <c:tx>
            <c:strRef>
              <c:f>AGRO!$A$320</c:f>
              <c:strCache>
                <c:ptCount val="1"/>
                <c:pt idx="0">
                  <c:v>Vacuum chamber</c:v>
                </c:pt>
              </c:strCache>
            </c:strRef>
          </c:tx>
          <c:invertIfNegative val="0"/>
          <c:cat>
            <c:strRef>
              <c:f>AGRO!$F$295:$I$295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AGRO!$F$320:$I$320</c:f>
              <c:numCache>
                <c:formatCode>0.00E+00</c:formatCode>
                <c:ptCount val="4"/>
                <c:pt idx="0">
                  <c:v>2.9866666666666667E-6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5-19C4-40D8-BEF7-BC7E4956FBEC}"/>
            </c:ext>
          </c:extLst>
        </c:ser>
        <c:ser>
          <c:idx val="25"/>
          <c:order val="25"/>
          <c:tx>
            <c:strRef>
              <c:f>AGRO!$A$321</c:f>
              <c:strCache>
                <c:ptCount val="1"/>
                <c:pt idx="0">
                  <c:v>Centrifuge tubes</c:v>
                </c:pt>
              </c:strCache>
            </c:strRef>
          </c:tx>
          <c:invertIfNegative val="0"/>
          <c:cat>
            <c:strRef>
              <c:f>AGRO!$F$295:$I$295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AGRO!$F$321:$I$321</c:f>
              <c:numCache>
                <c:formatCode>0.00E+00</c:formatCode>
                <c:ptCount val="4"/>
                <c:pt idx="0">
                  <c:v>5.0821873415390602E-3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7-19C4-40D8-BEF7-BC7E4956FBEC}"/>
            </c:ext>
          </c:extLst>
        </c:ser>
        <c:ser>
          <c:idx val="26"/>
          <c:order val="26"/>
          <c:tx>
            <c:strRef>
              <c:f>AGRO!$A$322</c:f>
              <c:strCache>
                <c:ptCount val="1"/>
                <c:pt idx="0">
                  <c:v>LB Media mix</c:v>
                </c:pt>
              </c:strCache>
            </c:strRef>
          </c:tx>
          <c:invertIfNegative val="0"/>
          <c:cat>
            <c:strRef>
              <c:f>AGRO!$F$295:$I$295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AGRO!$F$322:$I$322</c:f>
              <c:numCache>
                <c:formatCode>0.00E+00</c:formatCode>
                <c:ptCount val="4"/>
                <c:pt idx="1">
                  <c:v>7.1000000000000002E-4</c:v>
                </c:pt>
                <c:pt idx="3">
                  <c:v>7.1000000000000002E-4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9-19C4-40D8-BEF7-BC7E4956FBEC}"/>
            </c:ext>
          </c:extLst>
        </c:ser>
        <c:ser>
          <c:idx val="27"/>
          <c:order val="27"/>
          <c:tx>
            <c:strRef>
              <c:f>AGRO!$A$323</c:f>
              <c:strCache>
                <c:ptCount val="1"/>
                <c:pt idx="0">
                  <c:v>Culture tubes</c:v>
                </c:pt>
              </c:strCache>
            </c:strRef>
          </c:tx>
          <c:invertIfNegative val="0"/>
          <c:cat>
            <c:strRef>
              <c:f>AGRO!$F$295:$I$295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AGRO!$F$323:$I$323</c:f>
              <c:numCache>
                <c:formatCode>0.00E+00</c:formatCode>
                <c:ptCount val="4"/>
                <c:pt idx="1">
                  <c:v>5.2954685768909554E-3</c:v>
                </c:pt>
                <c:pt idx="3">
                  <c:v>5.2954685768909554E-3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A-19C4-40D8-BEF7-BC7E4956FBEC}"/>
            </c:ext>
          </c:extLst>
        </c:ser>
        <c:ser>
          <c:idx val="28"/>
          <c:order val="28"/>
          <c:tx>
            <c:strRef>
              <c:f>AGRO!$A$324</c:f>
              <c:strCache>
                <c:ptCount val="1"/>
                <c:pt idx="0">
                  <c:v>Kanamycin</c:v>
                </c:pt>
              </c:strCache>
            </c:strRef>
          </c:tx>
          <c:invertIfNegative val="0"/>
          <c:cat>
            <c:strRef>
              <c:f>AGRO!$F$295:$I$295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AGRO!$F$324:$I$324</c:f>
              <c:numCache>
                <c:formatCode>0.00E+00</c:formatCode>
                <c:ptCount val="4"/>
                <c:pt idx="1">
                  <c:v>2.8500528553366603E-5</c:v>
                </c:pt>
                <c:pt idx="3">
                  <c:v>2.8500528553366603E-5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B-19C4-40D8-BEF7-BC7E4956FBEC}"/>
            </c:ext>
          </c:extLst>
        </c:ser>
        <c:ser>
          <c:idx val="29"/>
          <c:order val="29"/>
          <c:tx>
            <c:strRef>
              <c:f>AGRO!$A$325</c:f>
              <c:strCache>
                <c:ptCount val="1"/>
                <c:pt idx="0">
                  <c:v>Tetracycline</c:v>
                </c:pt>
              </c:strCache>
            </c:strRef>
          </c:tx>
          <c:invertIfNegative val="0"/>
          <c:cat>
            <c:strRef>
              <c:f>AGRO!$F$295:$I$295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AGRO!$F$325:$I$325</c:f>
              <c:numCache>
                <c:formatCode>0.00E+00</c:formatCode>
                <c:ptCount val="4"/>
                <c:pt idx="1">
                  <c:v>2.8500528553366603E-5</c:v>
                </c:pt>
                <c:pt idx="3">
                  <c:v>2.8500528553366603E-5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C-19C4-40D8-BEF7-BC7E4956FBEC}"/>
            </c:ext>
          </c:extLst>
        </c:ser>
        <c:ser>
          <c:idx val="30"/>
          <c:order val="30"/>
          <c:tx>
            <c:strRef>
              <c:f>AGRO!$A$326</c:f>
              <c:strCache>
                <c:ptCount val="1"/>
                <c:pt idx="0">
                  <c:v>Rifampicin</c:v>
                </c:pt>
              </c:strCache>
            </c:strRef>
          </c:tx>
          <c:invertIfNegative val="0"/>
          <c:cat>
            <c:strRef>
              <c:f>AGRO!$F$295:$I$295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AGRO!$F$326:$I$326</c:f>
              <c:numCache>
                <c:formatCode>0.00E+00</c:formatCode>
                <c:ptCount val="4"/>
                <c:pt idx="1">
                  <c:v>2.8500528553366603E-5</c:v>
                </c:pt>
                <c:pt idx="3">
                  <c:v>2.8500528553366603E-5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D-19C4-40D8-BEF7-BC7E4956FBEC}"/>
            </c:ext>
          </c:extLst>
        </c:ser>
        <c:ser>
          <c:idx val="31"/>
          <c:order val="31"/>
          <c:tx>
            <c:strRef>
              <c:f>AGRO!$A$327</c:f>
              <c:strCache>
                <c:ptCount val="1"/>
                <c:pt idx="0">
                  <c:v>Acetosyringone</c:v>
                </c:pt>
              </c:strCache>
            </c:strRef>
          </c:tx>
          <c:invertIfNegative val="0"/>
          <c:cat>
            <c:strRef>
              <c:f>AGRO!$F$295:$I$295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AGRO!$F$327:$I$327</c:f>
              <c:numCache>
                <c:formatCode>0.00E+00</c:formatCode>
                <c:ptCount val="4"/>
                <c:pt idx="1">
                  <c:v>4.1563270806992968E-5</c:v>
                </c:pt>
                <c:pt idx="3">
                  <c:v>4.1563270806992968E-5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E-19C4-40D8-BEF7-BC7E4956FBEC}"/>
            </c:ext>
          </c:extLst>
        </c:ser>
        <c:ser>
          <c:idx val="32"/>
          <c:order val="32"/>
          <c:tx>
            <c:strRef>
              <c:f>AGRO!$A$328</c:f>
              <c:strCache>
                <c:ptCount val="1"/>
                <c:pt idx="0">
                  <c:v>MES</c:v>
                </c:pt>
              </c:strCache>
            </c:strRef>
          </c:tx>
          <c:invertIfNegative val="0"/>
          <c:cat>
            <c:strRef>
              <c:f>AGRO!$F$295:$I$295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AGRO!$F$328:$I$328</c:f>
              <c:numCache>
                <c:formatCode>0.00E+00</c:formatCode>
                <c:ptCount val="4"/>
                <c:pt idx="1">
                  <c:v>2.1063750423788846E-4</c:v>
                </c:pt>
                <c:pt idx="3">
                  <c:v>2.1063750423788846E-4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F-19C4-40D8-BEF7-BC7E4956FBEC}"/>
            </c:ext>
          </c:extLst>
        </c:ser>
        <c:ser>
          <c:idx val="33"/>
          <c:order val="33"/>
          <c:tx>
            <c:strRef>
              <c:f>AGRO!$A$329</c:f>
              <c:strCache>
                <c:ptCount val="1"/>
                <c:pt idx="0">
                  <c:v>MgCl2</c:v>
                </c:pt>
              </c:strCache>
            </c:strRef>
          </c:tx>
          <c:invertIfNegative val="0"/>
          <c:cat>
            <c:strRef>
              <c:f>AGRO!$F$295:$I$295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AGRO!$F$329:$I$329</c:f>
              <c:numCache>
                <c:formatCode>0.00E+00</c:formatCode>
                <c:ptCount val="4"/>
                <c:pt idx="1">
                  <c:v>4.2127500847577692E-4</c:v>
                </c:pt>
                <c:pt idx="3">
                  <c:v>4.2127500847577692E-4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0-19C4-40D8-BEF7-BC7E4956FBEC}"/>
            </c:ext>
          </c:extLst>
        </c:ser>
        <c:ser>
          <c:idx val="34"/>
          <c:order val="34"/>
          <c:tx>
            <c:strRef>
              <c:f>AGRO!$A$330</c:f>
              <c:strCache>
                <c:ptCount val="1"/>
                <c:pt idx="0">
                  <c:v>Silwet L-77</c:v>
                </c:pt>
              </c:strCache>
            </c:strRef>
          </c:tx>
          <c:invertIfNegative val="0"/>
          <c:cat>
            <c:strRef>
              <c:f>AGRO!$F$295:$I$295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AGRO!$F$330:$I$330</c:f>
              <c:numCache>
                <c:formatCode>0.00E+00</c:formatCode>
                <c:ptCount val="4"/>
                <c:pt idx="1">
                  <c:v>4.7500880922277672E-6</c:v>
                </c:pt>
                <c:pt idx="3">
                  <c:v>4.7500880922277672E-6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1-19C4-40D8-BEF7-BC7E4956FBEC}"/>
            </c:ext>
          </c:extLst>
        </c:ser>
        <c:ser>
          <c:idx val="35"/>
          <c:order val="35"/>
          <c:tx>
            <c:strRef>
              <c:f>AGRO!$A$331</c:f>
              <c:strCache>
                <c:ptCount val="1"/>
                <c:pt idx="0">
                  <c:v>Agro stock tubes</c:v>
                </c:pt>
              </c:strCache>
            </c:strRef>
          </c:tx>
          <c:invertIfNegative val="0"/>
          <c:cat>
            <c:strRef>
              <c:f>AGRO!$F$295:$I$295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AGRO!$F$331:$I$331</c:f>
              <c:numCache>
                <c:formatCode>0.00E+00</c:formatCode>
                <c:ptCount val="4"/>
                <c:pt idx="1">
                  <c:v>9.3132514215669447E-6</c:v>
                </c:pt>
                <c:pt idx="3">
                  <c:v>9.3132514215669447E-6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2-19C4-40D8-BEF7-BC7E4956FB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100"/>
        <c:axId val="312382031"/>
        <c:axId val="312385871"/>
      </c:barChart>
      <c:catAx>
        <c:axId val="312382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2385871"/>
        <c:crosses val="autoZero"/>
        <c:auto val="1"/>
        <c:lblAlgn val="ctr"/>
        <c:lblOffset val="100"/>
        <c:noMultiLvlLbl val="0"/>
      </c:catAx>
      <c:valAx>
        <c:axId val="31238587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kern="1200" baseline="0">
                    <a:solidFill>
                      <a:sysClr val="windowText" lastClr="000000"/>
                    </a:solidFill>
                  </a:rPr>
                  <a:t>Volume (m</a:t>
                </a:r>
                <a:r>
                  <a:rPr lang="en-US" sz="1000" b="1" i="0" u="none" strike="noStrike" kern="1200" baseline="30000">
                    <a:solidFill>
                      <a:sysClr val="windowText" lastClr="000000"/>
                    </a:solidFill>
                  </a:rPr>
                  <a:t>3</a:t>
                </a:r>
                <a:r>
                  <a:rPr lang="en-US" sz="1000" b="1" i="0" u="none" strike="noStrike" kern="1200" baseline="0">
                    <a:solidFill>
                      <a:sysClr val="windowText" lastClr="000000"/>
                    </a:solidFill>
                  </a:rPr>
                  <a:t>/CM/Mission)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" sourceLinked="0"/>
        <c:majorTickMark val="out"/>
        <c:minorTickMark val="none"/>
        <c:tickLblPos val="nextTo"/>
        <c:spPr>
          <a:noFill/>
          <a:ln w="952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2382031"/>
        <c:crosses val="autoZero"/>
        <c:crossBetween val="between"/>
      </c:valAx>
      <c:spPr>
        <a:ln>
          <a:solidFill>
            <a:schemeClr val="tx1"/>
          </a:solidFill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/>
      </a:solidFill>
      <a:round/>
    </a:ln>
    <a:effectLst/>
  </c:spPr>
  <c:txPr>
    <a:bodyPr/>
    <a:lstStyle/>
    <a:p>
      <a:pPr>
        <a:defRPr sz="1000" b="1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baseline="0">
                <a:solidFill>
                  <a:sysClr val="windowText" lastClr="000000"/>
                </a:solidFill>
              </a:rPr>
              <a:t>AGRO Power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AGRO!$A$296</c:f>
              <c:strCache>
                <c:ptCount val="1"/>
                <c:pt idx="0">
                  <c:v>Harvesting container</c:v>
                </c:pt>
              </c:strCache>
            </c:strRef>
          </c:tx>
          <c:spPr>
            <a:solidFill>
              <a:schemeClr val="accent2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AGRO!$J$295:$M$295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AGRO!$J$296:$M$296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25-19C4-40D8-BEF7-BC7E4956FBEC}"/>
            </c:ext>
          </c:extLst>
        </c:ser>
        <c:ser>
          <c:idx val="1"/>
          <c:order val="1"/>
          <c:tx>
            <c:strRef>
              <c:f>AGRO!$A$297</c:f>
              <c:strCache>
                <c:ptCount val="1"/>
                <c:pt idx="0">
                  <c:v>Harvesting tools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AGRO!$J$295:$M$295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AGRO!$J$297:$M$297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27-19C4-40D8-BEF7-BC7E4956FBEC}"/>
            </c:ext>
          </c:extLst>
        </c:ser>
        <c:ser>
          <c:idx val="2"/>
          <c:order val="2"/>
          <c:tx>
            <c:strRef>
              <c:f>AGRO!$A$298</c:f>
              <c:strCache>
                <c:ptCount val="1"/>
                <c:pt idx="0">
                  <c:v>Refrigerator/Freezer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AGRO!$J$295:$M$295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AGRO!$J$298:$M$298</c:f>
              <c:numCache>
                <c:formatCode>General</c:formatCode>
                <c:ptCount val="4"/>
                <c:pt idx="0" formatCode="0.00E+00">
                  <c:v>0.2050044235924933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9-19C4-40D8-BEF7-BC7E4956FBEC}"/>
            </c:ext>
          </c:extLst>
        </c:ser>
        <c:ser>
          <c:idx val="3"/>
          <c:order val="3"/>
          <c:tx>
            <c:strRef>
              <c:f>AGRO!$A$299</c:f>
              <c:strCache>
                <c:ptCount val="1"/>
                <c:pt idx="0">
                  <c:v>Lighting panels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AGRO!$J$295:$M$295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AGRO!$J$299:$M$299</c:f>
              <c:numCache>
                <c:formatCode>General</c:formatCode>
                <c:ptCount val="4"/>
                <c:pt idx="0" formatCode="0.00E+00">
                  <c:v>5.0700000000000002E-2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B-19C4-40D8-BEF7-BC7E4956FBEC}"/>
            </c:ext>
          </c:extLst>
        </c:ser>
        <c:ser>
          <c:idx val="4"/>
          <c:order val="4"/>
          <c:tx>
            <c:strRef>
              <c:f>AGRO!$A$300</c:f>
              <c:strCache>
                <c:ptCount val="1"/>
                <c:pt idx="0">
                  <c:v>Plant growth chamber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AGRO!$J$295:$M$295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AGRO!$J$300:$M$300</c:f>
              <c:numCache>
                <c:formatCode>General</c:formatCode>
                <c:ptCount val="4"/>
                <c:pt idx="0" formatCode="0.00E+00">
                  <c:v>1.9741249999999995E-2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D-19C4-40D8-BEF7-BC7E4956FBEC}"/>
            </c:ext>
          </c:extLst>
        </c:ser>
        <c:ser>
          <c:idx val="5"/>
          <c:order val="5"/>
          <c:tx>
            <c:strRef>
              <c:f>AGRO!$A$301</c:f>
              <c:strCache>
                <c:ptCount val="1"/>
                <c:pt idx="0">
                  <c:v>N benthamiana seeds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AGRO!$J$295:$M$295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AGRO!$J$301:$M$301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2F-19C4-40D8-BEF7-BC7E4956FBEC}"/>
            </c:ext>
          </c:extLst>
        </c:ser>
        <c:ser>
          <c:idx val="6"/>
          <c:order val="6"/>
          <c:tx>
            <c:strRef>
              <c:f>AGRO!$A$302</c:f>
              <c:strCache>
                <c:ptCount val="1"/>
                <c:pt idx="0">
                  <c:v>Water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AGRO!$J$295:$M$295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AGRO!$J$302:$M$302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31-19C4-40D8-BEF7-BC7E4956FBEC}"/>
            </c:ext>
          </c:extLst>
        </c:ser>
        <c:ser>
          <c:idx val="7"/>
          <c:order val="7"/>
          <c:tx>
            <c:strRef>
              <c:f>AGRO!$A$303</c:f>
              <c:strCache>
                <c:ptCount val="1"/>
                <c:pt idx="0">
                  <c:v>Plant growth nutrients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AGRO!$J$295:$M$295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AGRO!$J$303:$M$303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33-19C4-40D8-BEF7-BC7E4956FBEC}"/>
            </c:ext>
          </c:extLst>
        </c:ser>
        <c:ser>
          <c:idx val="8"/>
          <c:order val="8"/>
          <c:tx>
            <c:strRef>
              <c:f>AGRO!$A$304</c:f>
              <c:strCache>
                <c:ptCount val="1"/>
                <c:pt idx="0">
                  <c:v>Carbon dioxide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AGRO!$J$295:$M$295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AGRO!$J$304:$M$304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35-19C4-40D8-BEF7-BC7E4956FBEC}"/>
            </c:ext>
          </c:extLst>
        </c:ser>
        <c:ser>
          <c:idx val="9"/>
          <c:order val="9"/>
          <c:tx>
            <c:strRef>
              <c:f>AGRO!$A$305</c:f>
              <c:strCache>
                <c:ptCount val="1"/>
                <c:pt idx="0">
                  <c:v>PTH-Fc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strRef>
              <c:f>AGRO!$J$295:$M$295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AGRO!$J$305:$M$305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37-19C4-40D8-BEF7-BC7E4956FBEC}"/>
            </c:ext>
          </c:extLst>
        </c:ser>
        <c:ser>
          <c:idx val="10"/>
          <c:order val="10"/>
          <c:tx>
            <c:strRef>
              <c:f>AGRO!$A$306</c:f>
              <c:strCache>
                <c:ptCount val="1"/>
                <c:pt idx="0">
                  <c:v>Plant biomass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</c:spPr>
          <c:invertIfNegative val="0"/>
          <c:cat>
            <c:strRef>
              <c:f>AGRO!$J$295:$M$295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AGRO!$J$306:$M$306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39-19C4-40D8-BEF7-BC7E4956FBEC}"/>
            </c:ext>
          </c:extLst>
        </c:ser>
        <c:ser>
          <c:idx val="11"/>
          <c:order val="11"/>
          <c:tx>
            <c:strRef>
              <c:f>AGRO!$A$307</c:f>
              <c:strCache>
                <c:ptCount val="1"/>
                <c:pt idx="0">
                  <c:v>Oxygen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AGRO!$J$295:$M$295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AGRO!$J$307:$M$307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3B-19C4-40D8-BEF7-BC7E4956FBEC}"/>
            </c:ext>
          </c:extLst>
        </c:ser>
        <c:ser>
          <c:idx val="12"/>
          <c:order val="12"/>
          <c:tx>
            <c:strRef>
              <c:f>AGRO!$A$308</c:f>
              <c:strCache>
                <c:ptCount val="1"/>
                <c:pt idx="0">
                  <c:v>Biomass waste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</c:spPr>
          <c:invertIfNegative val="0"/>
          <c:cat>
            <c:strRef>
              <c:f>AGRO!$J$295:$M$295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AGRO!$J$308:$M$308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3D-19C4-40D8-BEF7-BC7E4956FBEC}"/>
            </c:ext>
          </c:extLst>
        </c:ser>
        <c:ser>
          <c:idx val="13"/>
          <c:order val="13"/>
          <c:tx>
            <c:strRef>
              <c:f>AGRO!$A$309</c:f>
              <c:strCache>
                <c:ptCount val="1"/>
                <c:pt idx="0">
                  <c:v>Scale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AGRO!$J$295:$M$295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AGRO!$J$309:$M$309</c:f>
              <c:numCache>
                <c:formatCode>0.00E+00</c:formatCode>
                <c:ptCount val="4"/>
                <c:pt idx="0">
                  <c:v>3.6666666666666667E-4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F-19C4-40D8-BEF7-BC7E4956FBEC}"/>
            </c:ext>
          </c:extLst>
        </c:ser>
        <c:ser>
          <c:idx val="14"/>
          <c:order val="14"/>
          <c:tx>
            <c:strRef>
              <c:f>AGRO!$A$310</c:f>
              <c:strCache>
                <c:ptCount val="1"/>
                <c:pt idx="0">
                  <c:v>BSC</c:v>
                </c:pt>
              </c:strCache>
            </c:strRef>
          </c:tx>
          <c:spPr>
            <a:solidFill>
              <a:schemeClr val="accent6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AGRO!$J$295:$M$295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AGRO!$J$310:$M$310</c:f>
              <c:numCache>
                <c:formatCode>0.00E+00</c:formatCode>
                <c:ptCount val="4"/>
                <c:pt idx="0">
                  <c:v>0.11666666666666665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1-19C4-40D8-BEF7-BC7E4956FBEC}"/>
            </c:ext>
          </c:extLst>
        </c:ser>
        <c:ser>
          <c:idx val="15"/>
          <c:order val="15"/>
          <c:tx>
            <c:strRef>
              <c:f>AGRO!$A$311</c:f>
              <c:strCache>
                <c:ptCount val="1"/>
                <c:pt idx="0">
                  <c:v>Shaking incubator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AGRO!$J$295:$M$295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AGRO!$J$311:$M$311</c:f>
              <c:numCache>
                <c:formatCode>0.00E+00</c:formatCode>
                <c:ptCount val="4"/>
                <c:pt idx="0">
                  <c:v>0.12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3-19C4-40D8-BEF7-BC7E4956FBEC}"/>
            </c:ext>
          </c:extLst>
        </c:ser>
        <c:ser>
          <c:idx val="16"/>
          <c:order val="16"/>
          <c:tx>
            <c:strRef>
              <c:f>AGRO!$A$312</c:f>
              <c:strCache>
                <c:ptCount val="1"/>
                <c:pt idx="0">
                  <c:v>Vacuum pump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strRef>
              <c:f>AGRO!$J$295:$M$295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AGRO!$J$312:$M$312</c:f>
              <c:numCache>
                <c:formatCode>0.00E+00</c:formatCode>
                <c:ptCount val="4"/>
                <c:pt idx="0">
                  <c:v>7.2450000000000001E-2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5-19C4-40D8-BEF7-BC7E4956FBEC}"/>
            </c:ext>
          </c:extLst>
        </c:ser>
        <c:ser>
          <c:idx val="17"/>
          <c:order val="17"/>
          <c:tx>
            <c:strRef>
              <c:f>AGRO!$A$313</c:f>
              <c:strCache>
                <c:ptCount val="1"/>
                <c:pt idx="0">
                  <c:v>Autoclave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AGRO!$J$295:$M$295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AGRO!$J$313:$M$313</c:f>
              <c:numCache>
                <c:formatCode>0.00E+00</c:formatCode>
                <c:ptCount val="4"/>
                <c:pt idx="0">
                  <c:v>0.23333333333333331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7-19C4-40D8-BEF7-BC7E4956FBEC}"/>
            </c:ext>
          </c:extLst>
        </c:ser>
        <c:ser>
          <c:idx val="18"/>
          <c:order val="18"/>
          <c:tx>
            <c:strRef>
              <c:f>AGRO!$A$314</c:f>
              <c:strCache>
                <c:ptCount val="1"/>
                <c:pt idx="0">
                  <c:v>Centrifuge</c:v>
                </c:pt>
              </c:strCache>
            </c:strRef>
          </c:tx>
          <c:invertIfNegative val="0"/>
          <c:cat>
            <c:strRef>
              <c:f>AGRO!$J$295:$M$295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AGRO!$J$314:$M$314</c:f>
              <c:numCache>
                <c:formatCode>0.00E+00</c:formatCode>
                <c:ptCount val="4"/>
                <c:pt idx="0">
                  <c:v>0.15833333333333333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9-19C4-40D8-BEF7-BC7E4956FBEC}"/>
            </c:ext>
          </c:extLst>
        </c:ser>
        <c:ser>
          <c:idx val="19"/>
          <c:order val="19"/>
          <c:tx>
            <c:strRef>
              <c:f>AGRO!$A$315</c:f>
              <c:strCache>
                <c:ptCount val="1"/>
                <c:pt idx="0">
                  <c:v>Spectrophotometer</c:v>
                </c:pt>
              </c:strCache>
            </c:strRef>
          </c:tx>
          <c:invertIfNegative val="0"/>
          <c:cat>
            <c:strRef>
              <c:f>AGRO!$J$295:$M$295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AGRO!$J$315:$M$315</c:f>
              <c:numCache>
                <c:formatCode>0.00E+00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4B-19C4-40D8-BEF7-BC7E4956FBEC}"/>
            </c:ext>
          </c:extLst>
        </c:ser>
        <c:ser>
          <c:idx val="20"/>
          <c:order val="20"/>
          <c:tx>
            <c:strRef>
              <c:f>AGRO!$A$316</c:f>
              <c:strCache>
                <c:ptCount val="1"/>
                <c:pt idx="0">
                  <c:v>Flask</c:v>
                </c:pt>
              </c:strCache>
            </c:strRef>
          </c:tx>
          <c:invertIfNegative val="0"/>
          <c:cat>
            <c:strRef>
              <c:f>AGRO!$J$295:$M$295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AGRO!$J$316:$M$316</c:f>
              <c:numCache>
                <c:formatCode>0.00E+00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4D-19C4-40D8-BEF7-BC7E4956FBEC}"/>
            </c:ext>
          </c:extLst>
        </c:ser>
        <c:ser>
          <c:idx val="21"/>
          <c:order val="21"/>
          <c:tx>
            <c:strRef>
              <c:f>AGRO!$A$317</c:f>
              <c:strCache>
                <c:ptCount val="1"/>
                <c:pt idx="0">
                  <c:v>Cuvette</c:v>
                </c:pt>
              </c:strCache>
            </c:strRef>
          </c:tx>
          <c:invertIfNegative val="0"/>
          <c:cat>
            <c:strRef>
              <c:f>AGRO!$J$295:$M$295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AGRO!$J$317:$M$317</c:f>
              <c:numCache>
                <c:formatCode>0.00E+00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4F-19C4-40D8-BEF7-BC7E4956FBEC}"/>
            </c:ext>
          </c:extLst>
        </c:ser>
        <c:ser>
          <c:idx val="22"/>
          <c:order val="22"/>
          <c:tx>
            <c:strRef>
              <c:f>AGRO!$A$318</c:f>
              <c:strCache>
                <c:ptCount val="1"/>
                <c:pt idx="0">
                  <c:v>Bottle</c:v>
                </c:pt>
              </c:strCache>
            </c:strRef>
          </c:tx>
          <c:invertIfNegative val="0"/>
          <c:cat>
            <c:strRef>
              <c:f>AGRO!$J$295:$M$295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AGRO!$J$318:$M$318</c:f>
              <c:numCache>
                <c:formatCode>0.00E+00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51-19C4-40D8-BEF7-BC7E4956FBEC}"/>
            </c:ext>
          </c:extLst>
        </c:ser>
        <c:ser>
          <c:idx val="23"/>
          <c:order val="23"/>
          <c:tx>
            <c:strRef>
              <c:f>AGRO!$A$319</c:f>
              <c:strCache>
                <c:ptCount val="1"/>
                <c:pt idx="0">
                  <c:v>Beaker</c:v>
                </c:pt>
              </c:strCache>
            </c:strRef>
          </c:tx>
          <c:invertIfNegative val="0"/>
          <c:cat>
            <c:strRef>
              <c:f>AGRO!$J$295:$M$295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AGRO!$J$319:$M$319</c:f>
              <c:numCache>
                <c:formatCode>0.00E+00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53-19C4-40D8-BEF7-BC7E4956FBEC}"/>
            </c:ext>
          </c:extLst>
        </c:ser>
        <c:ser>
          <c:idx val="24"/>
          <c:order val="24"/>
          <c:tx>
            <c:strRef>
              <c:f>AGRO!$A$320</c:f>
              <c:strCache>
                <c:ptCount val="1"/>
                <c:pt idx="0">
                  <c:v>Vacuum chamber</c:v>
                </c:pt>
              </c:strCache>
            </c:strRef>
          </c:tx>
          <c:invertIfNegative val="0"/>
          <c:cat>
            <c:strRef>
              <c:f>AGRO!$J$295:$M$295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AGRO!$J$320:$M$320</c:f>
              <c:numCache>
                <c:formatCode>0.00E+00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55-19C4-40D8-BEF7-BC7E4956FBEC}"/>
            </c:ext>
          </c:extLst>
        </c:ser>
        <c:ser>
          <c:idx val="25"/>
          <c:order val="25"/>
          <c:tx>
            <c:strRef>
              <c:f>AGRO!$A$321</c:f>
              <c:strCache>
                <c:ptCount val="1"/>
                <c:pt idx="0">
                  <c:v>Centrifuge tubes</c:v>
                </c:pt>
              </c:strCache>
            </c:strRef>
          </c:tx>
          <c:invertIfNegative val="0"/>
          <c:cat>
            <c:strRef>
              <c:f>AGRO!$J$295:$M$295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AGRO!$J$321:$M$321</c:f>
              <c:numCache>
                <c:formatCode>0.00E+00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57-19C4-40D8-BEF7-BC7E4956FBEC}"/>
            </c:ext>
          </c:extLst>
        </c:ser>
        <c:ser>
          <c:idx val="26"/>
          <c:order val="26"/>
          <c:tx>
            <c:strRef>
              <c:f>AGRO!$A$322</c:f>
              <c:strCache>
                <c:ptCount val="1"/>
                <c:pt idx="0">
                  <c:v>LB Media mix</c:v>
                </c:pt>
              </c:strCache>
            </c:strRef>
          </c:tx>
          <c:invertIfNegative val="0"/>
          <c:cat>
            <c:strRef>
              <c:f>AGRO!$J$295:$M$295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AGRO!$J$322:$M$322</c:f>
              <c:numCache>
                <c:formatCode>0.00E+00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59-19C4-40D8-BEF7-BC7E4956FBEC}"/>
            </c:ext>
          </c:extLst>
        </c:ser>
        <c:ser>
          <c:idx val="27"/>
          <c:order val="27"/>
          <c:tx>
            <c:strRef>
              <c:f>AGRO!$A$323</c:f>
              <c:strCache>
                <c:ptCount val="1"/>
                <c:pt idx="0">
                  <c:v>Culture tubes</c:v>
                </c:pt>
              </c:strCache>
            </c:strRef>
          </c:tx>
          <c:invertIfNegative val="0"/>
          <c:cat>
            <c:strRef>
              <c:f>AGRO!$J$295:$M$295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AGRO!$J$323:$M$323</c:f>
              <c:numCache>
                <c:formatCode>0.00E+00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5A-19C4-40D8-BEF7-BC7E4956FBEC}"/>
            </c:ext>
          </c:extLst>
        </c:ser>
        <c:ser>
          <c:idx val="28"/>
          <c:order val="28"/>
          <c:tx>
            <c:strRef>
              <c:f>AGRO!$A$324</c:f>
              <c:strCache>
                <c:ptCount val="1"/>
                <c:pt idx="0">
                  <c:v>Kanamycin</c:v>
                </c:pt>
              </c:strCache>
            </c:strRef>
          </c:tx>
          <c:invertIfNegative val="0"/>
          <c:cat>
            <c:strRef>
              <c:f>AGRO!$J$295:$M$295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AGRO!$J$324:$M$324</c:f>
              <c:numCache>
                <c:formatCode>0.00E+00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5B-19C4-40D8-BEF7-BC7E4956FBEC}"/>
            </c:ext>
          </c:extLst>
        </c:ser>
        <c:ser>
          <c:idx val="29"/>
          <c:order val="29"/>
          <c:tx>
            <c:strRef>
              <c:f>AGRO!$A$325</c:f>
              <c:strCache>
                <c:ptCount val="1"/>
                <c:pt idx="0">
                  <c:v>Tetracycline</c:v>
                </c:pt>
              </c:strCache>
            </c:strRef>
          </c:tx>
          <c:invertIfNegative val="0"/>
          <c:cat>
            <c:strRef>
              <c:f>AGRO!$J$295:$M$295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AGRO!$J$325:$M$325</c:f>
              <c:numCache>
                <c:formatCode>0.00E+00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5C-19C4-40D8-BEF7-BC7E4956FBEC}"/>
            </c:ext>
          </c:extLst>
        </c:ser>
        <c:ser>
          <c:idx val="30"/>
          <c:order val="30"/>
          <c:tx>
            <c:strRef>
              <c:f>AGRO!$A$326</c:f>
              <c:strCache>
                <c:ptCount val="1"/>
                <c:pt idx="0">
                  <c:v>Rifampicin</c:v>
                </c:pt>
              </c:strCache>
            </c:strRef>
          </c:tx>
          <c:invertIfNegative val="0"/>
          <c:cat>
            <c:strRef>
              <c:f>AGRO!$J$295:$M$295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AGRO!$J$326:$M$326</c:f>
              <c:numCache>
                <c:formatCode>0.00E+00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5D-19C4-40D8-BEF7-BC7E4956FBEC}"/>
            </c:ext>
          </c:extLst>
        </c:ser>
        <c:ser>
          <c:idx val="31"/>
          <c:order val="31"/>
          <c:tx>
            <c:strRef>
              <c:f>AGRO!$A$327</c:f>
              <c:strCache>
                <c:ptCount val="1"/>
                <c:pt idx="0">
                  <c:v>Acetosyringone</c:v>
                </c:pt>
              </c:strCache>
            </c:strRef>
          </c:tx>
          <c:invertIfNegative val="0"/>
          <c:cat>
            <c:strRef>
              <c:f>AGRO!$J$295:$M$295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AGRO!$J$327:$M$327</c:f>
              <c:numCache>
                <c:formatCode>0.00E+00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5E-19C4-40D8-BEF7-BC7E4956FBEC}"/>
            </c:ext>
          </c:extLst>
        </c:ser>
        <c:ser>
          <c:idx val="32"/>
          <c:order val="32"/>
          <c:tx>
            <c:strRef>
              <c:f>AGRO!$A$328</c:f>
              <c:strCache>
                <c:ptCount val="1"/>
                <c:pt idx="0">
                  <c:v>MES</c:v>
                </c:pt>
              </c:strCache>
            </c:strRef>
          </c:tx>
          <c:invertIfNegative val="0"/>
          <c:cat>
            <c:strRef>
              <c:f>AGRO!$J$295:$M$295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AGRO!$J$328:$M$328</c:f>
              <c:numCache>
                <c:formatCode>0.00E+00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5F-19C4-40D8-BEF7-BC7E4956FBEC}"/>
            </c:ext>
          </c:extLst>
        </c:ser>
        <c:ser>
          <c:idx val="33"/>
          <c:order val="33"/>
          <c:tx>
            <c:strRef>
              <c:f>AGRO!$A$329</c:f>
              <c:strCache>
                <c:ptCount val="1"/>
                <c:pt idx="0">
                  <c:v>MgCl2</c:v>
                </c:pt>
              </c:strCache>
            </c:strRef>
          </c:tx>
          <c:invertIfNegative val="0"/>
          <c:cat>
            <c:strRef>
              <c:f>AGRO!$J$295:$M$295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AGRO!$J$329:$M$329</c:f>
              <c:numCache>
                <c:formatCode>0.00E+00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60-19C4-40D8-BEF7-BC7E4956FBEC}"/>
            </c:ext>
          </c:extLst>
        </c:ser>
        <c:ser>
          <c:idx val="34"/>
          <c:order val="34"/>
          <c:tx>
            <c:strRef>
              <c:f>AGRO!$A$330</c:f>
              <c:strCache>
                <c:ptCount val="1"/>
                <c:pt idx="0">
                  <c:v>Silwet L-77</c:v>
                </c:pt>
              </c:strCache>
            </c:strRef>
          </c:tx>
          <c:invertIfNegative val="0"/>
          <c:cat>
            <c:strRef>
              <c:f>AGRO!$J$295:$M$295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AGRO!$J$330:$M$330</c:f>
              <c:numCache>
                <c:formatCode>0.00E+00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61-19C4-40D8-BEF7-BC7E4956FBEC}"/>
            </c:ext>
          </c:extLst>
        </c:ser>
        <c:ser>
          <c:idx val="35"/>
          <c:order val="35"/>
          <c:tx>
            <c:strRef>
              <c:f>AGRO!$A$331</c:f>
              <c:strCache>
                <c:ptCount val="1"/>
                <c:pt idx="0">
                  <c:v>Agro stock tubes</c:v>
                </c:pt>
              </c:strCache>
            </c:strRef>
          </c:tx>
          <c:invertIfNegative val="0"/>
          <c:cat>
            <c:strRef>
              <c:f>AGRO!$J$295:$M$295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AGRO!$J$331:$M$331</c:f>
              <c:numCache>
                <c:formatCode>0.00E+00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62-19C4-40D8-BEF7-BC7E4956FB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100"/>
        <c:axId val="312382031"/>
        <c:axId val="312385871"/>
      </c:barChart>
      <c:catAx>
        <c:axId val="312382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2385871"/>
        <c:crosses val="autoZero"/>
        <c:auto val="1"/>
        <c:lblAlgn val="ctr"/>
        <c:lblOffset val="100"/>
        <c:noMultiLvlLbl val="0"/>
      </c:catAx>
      <c:valAx>
        <c:axId val="31238587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kern="1200" baseline="0">
                    <a:solidFill>
                      <a:sysClr val="windowText" lastClr="000000"/>
                    </a:solidFill>
                  </a:rPr>
                  <a:t>Power (kW/CM/Mission)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" sourceLinked="0"/>
        <c:majorTickMark val="out"/>
        <c:minorTickMark val="none"/>
        <c:tickLblPos val="nextTo"/>
        <c:spPr>
          <a:noFill/>
          <a:ln w="952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2382031"/>
        <c:crosses val="autoZero"/>
        <c:crossBetween val="between"/>
      </c:valAx>
      <c:spPr>
        <a:ln>
          <a:solidFill>
            <a:schemeClr val="tx1"/>
          </a:solidFill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/>
      </a:solidFill>
      <a:round/>
    </a:ln>
    <a:effectLst/>
  </c:spPr>
  <c:txPr>
    <a:bodyPr/>
    <a:lstStyle/>
    <a:p>
      <a:pPr>
        <a:defRPr sz="1000" b="1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baseline="0">
                <a:solidFill>
                  <a:sysClr val="windowText" lastClr="000000"/>
                </a:solidFill>
              </a:rPr>
              <a:t>AGRO Crew Time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AGRO!$A$296</c:f>
              <c:strCache>
                <c:ptCount val="1"/>
                <c:pt idx="0">
                  <c:v>Harvesting container</c:v>
                </c:pt>
              </c:strCache>
            </c:strRef>
          </c:tx>
          <c:spPr>
            <a:solidFill>
              <a:schemeClr val="accent2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AGRO!$N$295:$O$295</c:f>
              <c:strCache>
                <c:ptCount val="2"/>
                <c:pt idx="0">
                  <c:v>System</c:v>
                </c:pt>
                <c:pt idx="1">
                  <c:v>Process Operations</c:v>
                </c:pt>
              </c:strCache>
            </c:strRef>
          </c:cat>
          <c:val>
            <c:numRef>
              <c:f>AGRO!$N$296:$O$296</c:f>
              <c:numCache>
                <c:formatCode>General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25-19C4-40D8-BEF7-BC7E4956FBEC}"/>
            </c:ext>
          </c:extLst>
        </c:ser>
        <c:ser>
          <c:idx val="1"/>
          <c:order val="1"/>
          <c:tx>
            <c:strRef>
              <c:f>AGRO!$A$297</c:f>
              <c:strCache>
                <c:ptCount val="1"/>
                <c:pt idx="0">
                  <c:v>Harvesting tools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AGRO!$N$295:$O$295</c:f>
              <c:strCache>
                <c:ptCount val="2"/>
                <c:pt idx="0">
                  <c:v>System</c:v>
                </c:pt>
                <c:pt idx="1">
                  <c:v>Process Operations</c:v>
                </c:pt>
              </c:strCache>
            </c:strRef>
          </c:cat>
          <c:val>
            <c:numRef>
              <c:f>AGRO!$N$297:$O$297</c:f>
              <c:numCache>
                <c:formatCode>General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27-19C4-40D8-BEF7-BC7E4956FBEC}"/>
            </c:ext>
          </c:extLst>
        </c:ser>
        <c:ser>
          <c:idx val="2"/>
          <c:order val="2"/>
          <c:tx>
            <c:strRef>
              <c:f>AGRO!$A$298</c:f>
              <c:strCache>
                <c:ptCount val="1"/>
                <c:pt idx="0">
                  <c:v>Refrigerator/Freezer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AGRO!$N$295:$O$295</c:f>
              <c:strCache>
                <c:ptCount val="2"/>
                <c:pt idx="0">
                  <c:v>System</c:v>
                </c:pt>
                <c:pt idx="1">
                  <c:v>Process Operations</c:v>
                </c:pt>
              </c:strCache>
            </c:strRef>
          </c:cat>
          <c:val>
            <c:numRef>
              <c:f>AGRO!$N$298:$O$298</c:f>
              <c:numCache>
                <c:formatCode>General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29-19C4-40D8-BEF7-BC7E4956FBEC}"/>
            </c:ext>
          </c:extLst>
        </c:ser>
        <c:ser>
          <c:idx val="3"/>
          <c:order val="3"/>
          <c:tx>
            <c:strRef>
              <c:f>AGRO!$A$299</c:f>
              <c:strCache>
                <c:ptCount val="1"/>
                <c:pt idx="0">
                  <c:v>Lighting panels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AGRO!$N$295:$O$295</c:f>
              <c:strCache>
                <c:ptCount val="2"/>
                <c:pt idx="0">
                  <c:v>System</c:v>
                </c:pt>
                <c:pt idx="1">
                  <c:v>Process Operations</c:v>
                </c:pt>
              </c:strCache>
            </c:strRef>
          </c:cat>
          <c:val>
            <c:numRef>
              <c:f>AGRO!$N$299:$O$299</c:f>
              <c:numCache>
                <c:formatCode>General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2B-19C4-40D8-BEF7-BC7E4956FBEC}"/>
            </c:ext>
          </c:extLst>
        </c:ser>
        <c:ser>
          <c:idx val="4"/>
          <c:order val="4"/>
          <c:tx>
            <c:strRef>
              <c:f>AGRO!$A$300</c:f>
              <c:strCache>
                <c:ptCount val="1"/>
                <c:pt idx="0">
                  <c:v>Plant growth chamber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AGRO!$N$295:$O$295</c:f>
              <c:strCache>
                <c:ptCount val="2"/>
                <c:pt idx="0">
                  <c:v>System</c:v>
                </c:pt>
                <c:pt idx="1">
                  <c:v>Process Operations</c:v>
                </c:pt>
              </c:strCache>
            </c:strRef>
          </c:cat>
          <c:val>
            <c:numRef>
              <c:f>AGRO!$N$300:$O$300</c:f>
              <c:numCache>
                <c:formatCode>General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2D-19C4-40D8-BEF7-BC7E4956FBEC}"/>
            </c:ext>
          </c:extLst>
        </c:ser>
        <c:ser>
          <c:idx val="5"/>
          <c:order val="5"/>
          <c:tx>
            <c:strRef>
              <c:f>AGRO!$A$301</c:f>
              <c:strCache>
                <c:ptCount val="1"/>
                <c:pt idx="0">
                  <c:v>N benthamiana seeds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AGRO!$N$295:$O$295</c:f>
              <c:strCache>
                <c:ptCount val="2"/>
                <c:pt idx="0">
                  <c:v>System</c:v>
                </c:pt>
                <c:pt idx="1">
                  <c:v>Process Operations</c:v>
                </c:pt>
              </c:strCache>
            </c:strRef>
          </c:cat>
          <c:val>
            <c:numRef>
              <c:f>AGRO!$N$301:$O$301</c:f>
              <c:numCache>
                <c:formatCode>0.00E+00</c:formatCode>
                <c:ptCount val="2"/>
                <c:pt idx="1">
                  <c:v>2.2400000000000002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F-19C4-40D8-BEF7-BC7E4956FBEC}"/>
            </c:ext>
          </c:extLst>
        </c:ser>
        <c:ser>
          <c:idx val="6"/>
          <c:order val="6"/>
          <c:tx>
            <c:strRef>
              <c:f>AGRO!$A$302</c:f>
              <c:strCache>
                <c:ptCount val="1"/>
                <c:pt idx="0">
                  <c:v>Water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AGRO!$N$295:$O$295</c:f>
              <c:strCache>
                <c:ptCount val="2"/>
                <c:pt idx="0">
                  <c:v>System</c:v>
                </c:pt>
                <c:pt idx="1">
                  <c:v>Process Operations</c:v>
                </c:pt>
              </c:strCache>
            </c:strRef>
          </c:cat>
          <c:val>
            <c:numRef>
              <c:f>AGRO!$N$302:$O$302</c:f>
              <c:numCache>
                <c:formatCode>0.00E+00</c:formatCode>
                <c:ptCount val="2"/>
                <c:pt idx="1">
                  <c:v>3.6932694052220584E-2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1-19C4-40D8-BEF7-BC7E4956FBEC}"/>
            </c:ext>
          </c:extLst>
        </c:ser>
        <c:ser>
          <c:idx val="7"/>
          <c:order val="7"/>
          <c:tx>
            <c:strRef>
              <c:f>AGRO!$A$303</c:f>
              <c:strCache>
                <c:ptCount val="1"/>
                <c:pt idx="0">
                  <c:v>Plant growth nutrients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AGRO!$N$295:$O$295</c:f>
              <c:strCache>
                <c:ptCount val="2"/>
                <c:pt idx="0">
                  <c:v>System</c:v>
                </c:pt>
                <c:pt idx="1">
                  <c:v>Process Operations</c:v>
                </c:pt>
              </c:strCache>
            </c:strRef>
          </c:cat>
          <c:val>
            <c:numRef>
              <c:f>AGRO!$N$303:$O$303</c:f>
              <c:numCache>
                <c:formatCode>0.00E+00</c:formatCode>
                <c:ptCount val="2"/>
                <c:pt idx="1">
                  <c:v>7.5527872290875153E-2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3-19C4-40D8-BEF7-BC7E4956FBEC}"/>
            </c:ext>
          </c:extLst>
        </c:ser>
        <c:ser>
          <c:idx val="8"/>
          <c:order val="8"/>
          <c:tx>
            <c:strRef>
              <c:f>AGRO!$A$304</c:f>
              <c:strCache>
                <c:ptCount val="1"/>
                <c:pt idx="0">
                  <c:v>Carbon dioxide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AGRO!$N$295:$O$295</c:f>
              <c:strCache>
                <c:ptCount val="2"/>
                <c:pt idx="0">
                  <c:v>System</c:v>
                </c:pt>
                <c:pt idx="1">
                  <c:v>Process Operations</c:v>
                </c:pt>
              </c:strCache>
            </c:strRef>
          </c:cat>
          <c:val>
            <c:numRef>
              <c:f>AGRO!$N$304:$O$304</c:f>
              <c:numCache>
                <c:formatCode>0.00E+00</c:formatCode>
                <c:ptCount val="2"/>
                <c:pt idx="1">
                  <c:v>32.0565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5-19C4-40D8-BEF7-BC7E4956FBEC}"/>
            </c:ext>
          </c:extLst>
        </c:ser>
        <c:ser>
          <c:idx val="9"/>
          <c:order val="9"/>
          <c:tx>
            <c:strRef>
              <c:f>AGRO!$A$305</c:f>
              <c:strCache>
                <c:ptCount val="1"/>
                <c:pt idx="0">
                  <c:v>PTH-Fc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strRef>
              <c:f>AGRO!$N$295:$O$295</c:f>
              <c:strCache>
                <c:ptCount val="2"/>
                <c:pt idx="0">
                  <c:v>System</c:v>
                </c:pt>
                <c:pt idx="1">
                  <c:v>Process Operations</c:v>
                </c:pt>
              </c:strCache>
            </c:strRef>
          </c:cat>
          <c:val>
            <c:numRef>
              <c:f>AGRO!$N$305:$O$305</c:f>
              <c:numCache>
                <c:formatCode>General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37-19C4-40D8-BEF7-BC7E4956FBEC}"/>
            </c:ext>
          </c:extLst>
        </c:ser>
        <c:ser>
          <c:idx val="10"/>
          <c:order val="10"/>
          <c:tx>
            <c:strRef>
              <c:f>AGRO!$A$306</c:f>
              <c:strCache>
                <c:ptCount val="1"/>
                <c:pt idx="0">
                  <c:v>Plant biomass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</c:spPr>
          <c:invertIfNegative val="0"/>
          <c:cat>
            <c:strRef>
              <c:f>AGRO!$N$295:$O$295</c:f>
              <c:strCache>
                <c:ptCount val="2"/>
                <c:pt idx="0">
                  <c:v>System</c:v>
                </c:pt>
                <c:pt idx="1">
                  <c:v>Process Operations</c:v>
                </c:pt>
              </c:strCache>
            </c:strRef>
          </c:cat>
          <c:val>
            <c:numRef>
              <c:f>AGRO!$N$306:$O$306</c:f>
              <c:numCache>
                <c:formatCode>0.00E+00</c:formatCode>
                <c:ptCount val="2"/>
                <c:pt idx="1">
                  <c:v>5.3092579678938726E-2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9-19C4-40D8-BEF7-BC7E4956FBEC}"/>
            </c:ext>
          </c:extLst>
        </c:ser>
        <c:ser>
          <c:idx val="11"/>
          <c:order val="11"/>
          <c:tx>
            <c:strRef>
              <c:f>AGRO!$A$307</c:f>
              <c:strCache>
                <c:ptCount val="1"/>
                <c:pt idx="0">
                  <c:v>Oxygen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AGRO!$N$295:$O$295</c:f>
              <c:strCache>
                <c:ptCount val="2"/>
                <c:pt idx="0">
                  <c:v>System</c:v>
                </c:pt>
                <c:pt idx="1">
                  <c:v>Process Operations</c:v>
                </c:pt>
              </c:strCache>
            </c:strRef>
          </c:cat>
          <c:val>
            <c:numRef>
              <c:f>AGRO!$N$307:$O$307</c:f>
              <c:numCache>
                <c:formatCode>General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3B-19C4-40D8-BEF7-BC7E4956FBEC}"/>
            </c:ext>
          </c:extLst>
        </c:ser>
        <c:ser>
          <c:idx val="12"/>
          <c:order val="12"/>
          <c:tx>
            <c:strRef>
              <c:f>AGRO!$A$308</c:f>
              <c:strCache>
                <c:ptCount val="1"/>
                <c:pt idx="0">
                  <c:v>Biomass waste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</c:spPr>
          <c:invertIfNegative val="0"/>
          <c:cat>
            <c:strRef>
              <c:f>AGRO!$N$295:$O$295</c:f>
              <c:strCache>
                <c:ptCount val="2"/>
                <c:pt idx="0">
                  <c:v>System</c:v>
                </c:pt>
                <c:pt idx="1">
                  <c:v>Process Operations</c:v>
                </c:pt>
              </c:strCache>
            </c:strRef>
          </c:cat>
          <c:val>
            <c:numRef>
              <c:f>AGRO!$N$308:$O$308</c:f>
              <c:numCache>
                <c:formatCode>General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3D-19C4-40D8-BEF7-BC7E4956FBEC}"/>
            </c:ext>
          </c:extLst>
        </c:ser>
        <c:ser>
          <c:idx val="13"/>
          <c:order val="13"/>
          <c:tx>
            <c:strRef>
              <c:f>AGRO!$A$309</c:f>
              <c:strCache>
                <c:ptCount val="1"/>
                <c:pt idx="0">
                  <c:v>Scale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AGRO!$N$295:$O$295</c:f>
              <c:strCache>
                <c:ptCount val="2"/>
                <c:pt idx="0">
                  <c:v>System</c:v>
                </c:pt>
                <c:pt idx="1">
                  <c:v>Process Operations</c:v>
                </c:pt>
              </c:strCache>
            </c:strRef>
          </c:cat>
          <c:val>
            <c:numRef>
              <c:f>AGRO!$N$309:$O$309</c:f>
              <c:numCache>
                <c:formatCode>General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3F-19C4-40D8-BEF7-BC7E4956FBEC}"/>
            </c:ext>
          </c:extLst>
        </c:ser>
        <c:ser>
          <c:idx val="14"/>
          <c:order val="14"/>
          <c:tx>
            <c:strRef>
              <c:f>AGRO!$A$310</c:f>
              <c:strCache>
                <c:ptCount val="1"/>
                <c:pt idx="0">
                  <c:v>BSC</c:v>
                </c:pt>
              </c:strCache>
            </c:strRef>
          </c:tx>
          <c:spPr>
            <a:solidFill>
              <a:schemeClr val="accent6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AGRO!$N$295:$O$295</c:f>
              <c:strCache>
                <c:ptCount val="2"/>
                <c:pt idx="0">
                  <c:v>System</c:v>
                </c:pt>
                <c:pt idx="1">
                  <c:v>Process Operations</c:v>
                </c:pt>
              </c:strCache>
            </c:strRef>
          </c:cat>
          <c:val>
            <c:numRef>
              <c:f>AGRO!$N$310:$O$310</c:f>
              <c:numCache>
                <c:formatCode>General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41-19C4-40D8-BEF7-BC7E4956FBEC}"/>
            </c:ext>
          </c:extLst>
        </c:ser>
        <c:ser>
          <c:idx val="15"/>
          <c:order val="15"/>
          <c:tx>
            <c:strRef>
              <c:f>AGRO!$A$311</c:f>
              <c:strCache>
                <c:ptCount val="1"/>
                <c:pt idx="0">
                  <c:v>Shaking incubator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AGRO!$N$295:$O$295</c:f>
              <c:strCache>
                <c:ptCount val="2"/>
                <c:pt idx="0">
                  <c:v>System</c:v>
                </c:pt>
                <c:pt idx="1">
                  <c:v>Process Operations</c:v>
                </c:pt>
              </c:strCache>
            </c:strRef>
          </c:cat>
          <c:val>
            <c:numRef>
              <c:f>AGRO!$N$311:$O$311</c:f>
              <c:numCache>
                <c:formatCode>General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43-19C4-40D8-BEF7-BC7E4956FBEC}"/>
            </c:ext>
          </c:extLst>
        </c:ser>
        <c:ser>
          <c:idx val="16"/>
          <c:order val="16"/>
          <c:tx>
            <c:strRef>
              <c:f>AGRO!$A$312</c:f>
              <c:strCache>
                <c:ptCount val="1"/>
                <c:pt idx="0">
                  <c:v>Vacuum pump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strRef>
              <c:f>AGRO!$N$295:$O$295</c:f>
              <c:strCache>
                <c:ptCount val="2"/>
                <c:pt idx="0">
                  <c:v>System</c:v>
                </c:pt>
                <c:pt idx="1">
                  <c:v>Process Operations</c:v>
                </c:pt>
              </c:strCache>
            </c:strRef>
          </c:cat>
          <c:val>
            <c:numRef>
              <c:f>AGRO!$N$312:$O$312</c:f>
              <c:numCache>
                <c:formatCode>General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45-19C4-40D8-BEF7-BC7E4956FBEC}"/>
            </c:ext>
          </c:extLst>
        </c:ser>
        <c:ser>
          <c:idx val="17"/>
          <c:order val="17"/>
          <c:tx>
            <c:strRef>
              <c:f>AGRO!$A$313</c:f>
              <c:strCache>
                <c:ptCount val="1"/>
                <c:pt idx="0">
                  <c:v>Autoclave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AGRO!$N$295:$O$295</c:f>
              <c:strCache>
                <c:ptCount val="2"/>
                <c:pt idx="0">
                  <c:v>System</c:v>
                </c:pt>
                <c:pt idx="1">
                  <c:v>Process Operations</c:v>
                </c:pt>
              </c:strCache>
            </c:strRef>
          </c:cat>
          <c:val>
            <c:numRef>
              <c:f>AGRO!$N$313:$O$313</c:f>
              <c:numCache>
                <c:formatCode>General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47-19C4-40D8-BEF7-BC7E4956FBEC}"/>
            </c:ext>
          </c:extLst>
        </c:ser>
        <c:ser>
          <c:idx val="18"/>
          <c:order val="18"/>
          <c:tx>
            <c:strRef>
              <c:f>AGRO!$A$314</c:f>
              <c:strCache>
                <c:ptCount val="1"/>
                <c:pt idx="0">
                  <c:v>Centrifuge</c:v>
                </c:pt>
              </c:strCache>
            </c:strRef>
          </c:tx>
          <c:invertIfNegative val="0"/>
          <c:cat>
            <c:strRef>
              <c:f>AGRO!$N$295:$O$295</c:f>
              <c:strCache>
                <c:ptCount val="2"/>
                <c:pt idx="0">
                  <c:v>System</c:v>
                </c:pt>
                <c:pt idx="1">
                  <c:v>Process Operations</c:v>
                </c:pt>
              </c:strCache>
            </c:strRef>
          </c:cat>
          <c:val>
            <c:numRef>
              <c:f>AGRO!$N$314:$O$314</c:f>
              <c:numCache>
                <c:formatCode>General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49-19C4-40D8-BEF7-BC7E4956FBEC}"/>
            </c:ext>
          </c:extLst>
        </c:ser>
        <c:ser>
          <c:idx val="19"/>
          <c:order val="19"/>
          <c:tx>
            <c:strRef>
              <c:f>AGRO!$A$315</c:f>
              <c:strCache>
                <c:ptCount val="1"/>
                <c:pt idx="0">
                  <c:v>Spectrophotometer</c:v>
                </c:pt>
              </c:strCache>
            </c:strRef>
          </c:tx>
          <c:invertIfNegative val="0"/>
          <c:cat>
            <c:strRef>
              <c:f>AGRO!$N$295:$O$295</c:f>
              <c:strCache>
                <c:ptCount val="2"/>
                <c:pt idx="0">
                  <c:v>System</c:v>
                </c:pt>
                <c:pt idx="1">
                  <c:v>Process Operations</c:v>
                </c:pt>
              </c:strCache>
            </c:strRef>
          </c:cat>
          <c:val>
            <c:numRef>
              <c:f>AGRO!$N$315:$O$315</c:f>
              <c:numCache>
                <c:formatCode>General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4B-19C4-40D8-BEF7-BC7E4956FBEC}"/>
            </c:ext>
          </c:extLst>
        </c:ser>
        <c:ser>
          <c:idx val="20"/>
          <c:order val="20"/>
          <c:tx>
            <c:strRef>
              <c:f>AGRO!$A$316</c:f>
              <c:strCache>
                <c:ptCount val="1"/>
                <c:pt idx="0">
                  <c:v>Flask</c:v>
                </c:pt>
              </c:strCache>
            </c:strRef>
          </c:tx>
          <c:invertIfNegative val="0"/>
          <c:cat>
            <c:strRef>
              <c:f>AGRO!$N$295:$O$295</c:f>
              <c:strCache>
                <c:ptCount val="2"/>
                <c:pt idx="0">
                  <c:v>System</c:v>
                </c:pt>
                <c:pt idx="1">
                  <c:v>Process Operations</c:v>
                </c:pt>
              </c:strCache>
            </c:strRef>
          </c:cat>
          <c:val>
            <c:numRef>
              <c:f>AGRO!$N$316:$O$316</c:f>
              <c:numCache>
                <c:formatCode>General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4D-19C4-40D8-BEF7-BC7E4956FBEC}"/>
            </c:ext>
          </c:extLst>
        </c:ser>
        <c:ser>
          <c:idx val="21"/>
          <c:order val="21"/>
          <c:tx>
            <c:strRef>
              <c:f>AGRO!$A$317</c:f>
              <c:strCache>
                <c:ptCount val="1"/>
                <c:pt idx="0">
                  <c:v>Cuvette</c:v>
                </c:pt>
              </c:strCache>
            </c:strRef>
          </c:tx>
          <c:invertIfNegative val="0"/>
          <c:cat>
            <c:strRef>
              <c:f>AGRO!$N$295:$O$295</c:f>
              <c:strCache>
                <c:ptCount val="2"/>
                <c:pt idx="0">
                  <c:v>System</c:v>
                </c:pt>
                <c:pt idx="1">
                  <c:v>Process Operations</c:v>
                </c:pt>
              </c:strCache>
            </c:strRef>
          </c:cat>
          <c:val>
            <c:numRef>
              <c:f>AGRO!$N$317:$O$317</c:f>
              <c:numCache>
                <c:formatCode>General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4F-19C4-40D8-BEF7-BC7E4956FBEC}"/>
            </c:ext>
          </c:extLst>
        </c:ser>
        <c:ser>
          <c:idx val="22"/>
          <c:order val="22"/>
          <c:tx>
            <c:strRef>
              <c:f>AGRO!$A$318</c:f>
              <c:strCache>
                <c:ptCount val="1"/>
                <c:pt idx="0">
                  <c:v>Bottle</c:v>
                </c:pt>
              </c:strCache>
            </c:strRef>
          </c:tx>
          <c:invertIfNegative val="0"/>
          <c:cat>
            <c:strRef>
              <c:f>AGRO!$N$295:$O$295</c:f>
              <c:strCache>
                <c:ptCount val="2"/>
                <c:pt idx="0">
                  <c:v>System</c:v>
                </c:pt>
                <c:pt idx="1">
                  <c:v>Process Operations</c:v>
                </c:pt>
              </c:strCache>
            </c:strRef>
          </c:cat>
          <c:val>
            <c:numRef>
              <c:f>AGRO!$N$318:$O$318</c:f>
              <c:numCache>
                <c:formatCode>General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51-19C4-40D8-BEF7-BC7E4956FBEC}"/>
            </c:ext>
          </c:extLst>
        </c:ser>
        <c:ser>
          <c:idx val="23"/>
          <c:order val="23"/>
          <c:tx>
            <c:strRef>
              <c:f>AGRO!$A$319</c:f>
              <c:strCache>
                <c:ptCount val="1"/>
                <c:pt idx="0">
                  <c:v>Beaker</c:v>
                </c:pt>
              </c:strCache>
            </c:strRef>
          </c:tx>
          <c:invertIfNegative val="0"/>
          <c:cat>
            <c:strRef>
              <c:f>AGRO!$N$295:$O$295</c:f>
              <c:strCache>
                <c:ptCount val="2"/>
                <c:pt idx="0">
                  <c:v>System</c:v>
                </c:pt>
                <c:pt idx="1">
                  <c:v>Process Operations</c:v>
                </c:pt>
              </c:strCache>
            </c:strRef>
          </c:cat>
          <c:val>
            <c:numRef>
              <c:f>AGRO!$N$319:$O$319</c:f>
              <c:numCache>
                <c:formatCode>General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53-19C4-40D8-BEF7-BC7E4956FBEC}"/>
            </c:ext>
          </c:extLst>
        </c:ser>
        <c:ser>
          <c:idx val="24"/>
          <c:order val="24"/>
          <c:tx>
            <c:strRef>
              <c:f>AGRO!$A$320</c:f>
              <c:strCache>
                <c:ptCount val="1"/>
                <c:pt idx="0">
                  <c:v>Vacuum chamber</c:v>
                </c:pt>
              </c:strCache>
            </c:strRef>
          </c:tx>
          <c:invertIfNegative val="0"/>
          <c:cat>
            <c:strRef>
              <c:f>AGRO!$N$295:$O$295</c:f>
              <c:strCache>
                <c:ptCount val="2"/>
                <c:pt idx="0">
                  <c:v>System</c:v>
                </c:pt>
                <c:pt idx="1">
                  <c:v>Process Operations</c:v>
                </c:pt>
              </c:strCache>
            </c:strRef>
          </c:cat>
          <c:val>
            <c:numRef>
              <c:f>AGRO!$N$320:$O$320</c:f>
              <c:numCache>
                <c:formatCode>General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55-19C4-40D8-BEF7-BC7E4956FBEC}"/>
            </c:ext>
          </c:extLst>
        </c:ser>
        <c:ser>
          <c:idx val="25"/>
          <c:order val="25"/>
          <c:tx>
            <c:strRef>
              <c:f>AGRO!$A$321</c:f>
              <c:strCache>
                <c:ptCount val="1"/>
                <c:pt idx="0">
                  <c:v>Centrifuge tubes</c:v>
                </c:pt>
              </c:strCache>
            </c:strRef>
          </c:tx>
          <c:invertIfNegative val="0"/>
          <c:cat>
            <c:strRef>
              <c:f>AGRO!$N$295:$O$295</c:f>
              <c:strCache>
                <c:ptCount val="2"/>
                <c:pt idx="0">
                  <c:v>System</c:v>
                </c:pt>
                <c:pt idx="1">
                  <c:v>Process Operations</c:v>
                </c:pt>
              </c:strCache>
            </c:strRef>
          </c:cat>
          <c:val>
            <c:numRef>
              <c:f>AGRO!$N$321:$O$321</c:f>
              <c:numCache>
                <c:formatCode>General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57-19C4-40D8-BEF7-BC7E4956FBEC}"/>
            </c:ext>
          </c:extLst>
        </c:ser>
        <c:ser>
          <c:idx val="26"/>
          <c:order val="26"/>
          <c:tx>
            <c:strRef>
              <c:f>AGRO!$A$322</c:f>
              <c:strCache>
                <c:ptCount val="1"/>
                <c:pt idx="0">
                  <c:v>LB Media mix</c:v>
                </c:pt>
              </c:strCache>
            </c:strRef>
          </c:tx>
          <c:invertIfNegative val="0"/>
          <c:cat>
            <c:strRef>
              <c:f>AGRO!$N$295:$O$295</c:f>
              <c:strCache>
                <c:ptCount val="2"/>
                <c:pt idx="0">
                  <c:v>System</c:v>
                </c:pt>
                <c:pt idx="1">
                  <c:v>Process Operations</c:v>
                </c:pt>
              </c:strCache>
            </c:strRef>
          </c:cat>
          <c:val>
            <c:numRef>
              <c:f>AGRO!$N$322:$O$322</c:f>
              <c:numCache>
                <c:formatCode>General</c:formatCode>
                <c:ptCount val="2"/>
                <c:pt idx="1">
                  <c:v>344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9-19C4-40D8-BEF7-BC7E4956FBEC}"/>
            </c:ext>
          </c:extLst>
        </c:ser>
        <c:ser>
          <c:idx val="27"/>
          <c:order val="27"/>
          <c:tx>
            <c:strRef>
              <c:f>AGRO!$A$323</c:f>
              <c:strCache>
                <c:ptCount val="1"/>
                <c:pt idx="0">
                  <c:v>Culture tubes</c:v>
                </c:pt>
              </c:strCache>
            </c:strRef>
          </c:tx>
          <c:invertIfNegative val="0"/>
          <c:cat>
            <c:strRef>
              <c:f>AGRO!$N$295:$O$295</c:f>
              <c:strCache>
                <c:ptCount val="2"/>
                <c:pt idx="0">
                  <c:v>System</c:v>
                </c:pt>
                <c:pt idx="1">
                  <c:v>Process Operations</c:v>
                </c:pt>
              </c:strCache>
            </c:strRef>
          </c:cat>
          <c:val>
            <c:numRef>
              <c:f>AGRO!$N$323:$O$323</c:f>
              <c:numCache>
                <c:formatCode>General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5A-19C4-40D8-BEF7-BC7E4956FBEC}"/>
            </c:ext>
          </c:extLst>
        </c:ser>
        <c:ser>
          <c:idx val="28"/>
          <c:order val="28"/>
          <c:tx>
            <c:strRef>
              <c:f>AGRO!$A$324</c:f>
              <c:strCache>
                <c:ptCount val="1"/>
                <c:pt idx="0">
                  <c:v>Kanamycin</c:v>
                </c:pt>
              </c:strCache>
            </c:strRef>
          </c:tx>
          <c:invertIfNegative val="0"/>
          <c:cat>
            <c:strRef>
              <c:f>AGRO!$N$295:$O$295</c:f>
              <c:strCache>
                <c:ptCount val="2"/>
                <c:pt idx="0">
                  <c:v>System</c:v>
                </c:pt>
                <c:pt idx="1">
                  <c:v>Process Operations</c:v>
                </c:pt>
              </c:strCache>
            </c:strRef>
          </c:cat>
          <c:val>
            <c:numRef>
              <c:f>AGRO!$N$324:$O$324</c:f>
              <c:numCache>
                <c:formatCode>General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5B-19C4-40D8-BEF7-BC7E4956FBEC}"/>
            </c:ext>
          </c:extLst>
        </c:ser>
        <c:ser>
          <c:idx val="29"/>
          <c:order val="29"/>
          <c:tx>
            <c:strRef>
              <c:f>AGRO!$A$325</c:f>
              <c:strCache>
                <c:ptCount val="1"/>
                <c:pt idx="0">
                  <c:v>Tetracycline</c:v>
                </c:pt>
              </c:strCache>
            </c:strRef>
          </c:tx>
          <c:invertIfNegative val="0"/>
          <c:cat>
            <c:strRef>
              <c:f>AGRO!$N$295:$O$295</c:f>
              <c:strCache>
                <c:ptCount val="2"/>
                <c:pt idx="0">
                  <c:v>System</c:v>
                </c:pt>
                <c:pt idx="1">
                  <c:v>Process Operations</c:v>
                </c:pt>
              </c:strCache>
            </c:strRef>
          </c:cat>
          <c:val>
            <c:numRef>
              <c:f>AGRO!$N$325:$O$325</c:f>
              <c:numCache>
                <c:formatCode>General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5C-19C4-40D8-BEF7-BC7E4956FBEC}"/>
            </c:ext>
          </c:extLst>
        </c:ser>
        <c:ser>
          <c:idx val="30"/>
          <c:order val="30"/>
          <c:tx>
            <c:strRef>
              <c:f>AGRO!$A$326</c:f>
              <c:strCache>
                <c:ptCount val="1"/>
                <c:pt idx="0">
                  <c:v>Rifampicin</c:v>
                </c:pt>
              </c:strCache>
            </c:strRef>
          </c:tx>
          <c:invertIfNegative val="0"/>
          <c:cat>
            <c:strRef>
              <c:f>AGRO!$N$295:$O$295</c:f>
              <c:strCache>
                <c:ptCount val="2"/>
                <c:pt idx="0">
                  <c:v>System</c:v>
                </c:pt>
                <c:pt idx="1">
                  <c:v>Process Operations</c:v>
                </c:pt>
              </c:strCache>
            </c:strRef>
          </c:cat>
          <c:val>
            <c:numRef>
              <c:f>AGRO!$N$326:$O$326</c:f>
              <c:numCache>
                <c:formatCode>General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5D-19C4-40D8-BEF7-BC7E4956FBEC}"/>
            </c:ext>
          </c:extLst>
        </c:ser>
        <c:ser>
          <c:idx val="31"/>
          <c:order val="31"/>
          <c:tx>
            <c:strRef>
              <c:f>AGRO!$A$327</c:f>
              <c:strCache>
                <c:ptCount val="1"/>
                <c:pt idx="0">
                  <c:v>Acetosyringone</c:v>
                </c:pt>
              </c:strCache>
            </c:strRef>
          </c:tx>
          <c:invertIfNegative val="0"/>
          <c:cat>
            <c:strRef>
              <c:f>AGRO!$N$295:$O$295</c:f>
              <c:strCache>
                <c:ptCount val="2"/>
                <c:pt idx="0">
                  <c:v>System</c:v>
                </c:pt>
                <c:pt idx="1">
                  <c:v>Process Operations</c:v>
                </c:pt>
              </c:strCache>
            </c:strRef>
          </c:cat>
          <c:val>
            <c:numRef>
              <c:f>AGRO!$N$327:$O$327</c:f>
              <c:numCache>
                <c:formatCode>General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5E-19C4-40D8-BEF7-BC7E4956FBEC}"/>
            </c:ext>
          </c:extLst>
        </c:ser>
        <c:ser>
          <c:idx val="32"/>
          <c:order val="32"/>
          <c:tx>
            <c:strRef>
              <c:f>AGRO!$A$328</c:f>
              <c:strCache>
                <c:ptCount val="1"/>
                <c:pt idx="0">
                  <c:v>MES</c:v>
                </c:pt>
              </c:strCache>
            </c:strRef>
          </c:tx>
          <c:invertIfNegative val="0"/>
          <c:cat>
            <c:strRef>
              <c:f>AGRO!$N$295:$O$295</c:f>
              <c:strCache>
                <c:ptCount val="2"/>
                <c:pt idx="0">
                  <c:v>System</c:v>
                </c:pt>
                <c:pt idx="1">
                  <c:v>Process Operations</c:v>
                </c:pt>
              </c:strCache>
            </c:strRef>
          </c:cat>
          <c:val>
            <c:numRef>
              <c:f>AGRO!$N$328:$O$328</c:f>
              <c:numCache>
                <c:formatCode>General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5F-19C4-40D8-BEF7-BC7E4956FBEC}"/>
            </c:ext>
          </c:extLst>
        </c:ser>
        <c:ser>
          <c:idx val="33"/>
          <c:order val="33"/>
          <c:tx>
            <c:strRef>
              <c:f>AGRO!$A$329</c:f>
              <c:strCache>
                <c:ptCount val="1"/>
                <c:pt idx="0">
                  <c:v>MgCl2</c:v>
                </c:pt>
              </c:strCache>
            </c:strRef>
          </c:tx>
          <c:invertIfNegative val="0"/>
          <c:cat>
            <c:strRef>
              <c:f>AGRO!$N$295:$O$295</c:f>
              <c:strCache>
                <c:ptCount val="2"/>
                <c:pt idx="0">
                  <c:v>System</c:v>
                </c:pt>
                <c:pt idx="1">
                  <c:v>Process Operations</c:v>
                </c:pt>
              </c:strCache>
            </c:strRef>
          </c:cat>
          <c:val>
            <c:numRef>
              <c:f>AGRO!$N$329:$O$329</c:f>
              <c:numCache>
                <c:formatCode>General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60-19C4-40D8-BEF7-BC7E4956FBEC}"/>
            </c:ext>
          </c:extLst>
        </c:ser>
        <c:ser>
          <c:idx val="34"/>
          <c:order val="34"/>
          <c:tx>
            <c:strRef>
              <c:f>AGRO!$A$330</c:f>
              <c:strCache>
                <c:ptCount val="1"/>
                <c:pt idx="0">
                  <c:v>Silwet L-77</c:v>
                </c:pt>
              </c:strCache>
            </c:strRef>
          </c:tx>
          <c:invertIfNegative val="0"/>
          <c:cat>
            <c:strRef>
              <c:f>AGRO!$N$295:$O$295</c:f>
              <c:strCache>
                <c:ptCount val="2"/>
                <c:pt idx="0">
                  <c:v>System</c:v>
                </c:pt>
                <c:pt idx="1">
                  <c:v>Process Operations</c:v>
                </c:pt>
              </c:strCache>
            </c:strRef>
          </c:cat>
          <c:val>
            <c:numRef>
              <c:f>AGRO!$N$330:$O$330</c:f>
              <c:numCache>
                <c:formatCode>General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61-19C4-40D8-BEF7-BC7E4956FBEC}"/>
            </c:ext>
          </c:extLst>
        </c:ser>
        <c:ser>
          <c:idx val="35"/>
          <c:order val="35"/>
          <c:tx>
            <c:strRef>
              <c:f>AGRO!$A$331</c:f>
              <c:strCache>
                <c:ptCount val="1"/>
                <c:pt idx="0">
                  <c:v>Agro stock tubes</c:v>
                </c:pt>
              </c:strCache>
            </c:strRef>
          </c:tx>
          <c:invertIfNegative val="0"/>
          <c:cat>
            <c:strRef>
              <c:f>AGRO!$N$295:$O$295</c:f>
              <c:strCache>
                <c:ptCount val="2"/>
                <c:pt idx="0">
                  <c:v>System</c:v>
                </c:pt>
                <c:pt idx="1">
                  <c:v>Process Operations</c:v>
                </c:pt>
              </c:strCache>
            </c:strRef>
          </c:cat>
          <c:val>
            <c:numRef>
              <c:f>AGRO!$N$331:$O$331</c:f>
              <c:numCache>
                <c:formatCode>General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62-19C4-40D8-BEF7-BC7E4956FB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100"/>
        <c:axId val="312382031"/>
        <c:axId val="312385871"/>
      </c:barChart>
      <c:catAx>
        <c:axId val="312382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2385871"/>
        <c:crosses val="autoZero"/>
        <c:auto val="1"/>
        <c:lblAlgn val="ctr"/>
        <c:lblOffset val="100"/>
        <c:noMultiLvlLbl val="0"/>
      </c:catAx>
      <c:valAx>
        <c:axId val="31238587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kern="1200" baseline="0">
                    <a:solidFill>
                      <a:sysClr val="windowText" lastClr="000000"/>
                    </a:solidFill>
                  </a:rPr>
                  <a:t>Crew Time (CM-h/CM/Mission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" sourceLinked="0"/>
        <c:majorTickMark val="out"/>
        <c:minorTickMark val="none"/>
        <c:tickLblPos val="nextTo"/>
        <c:spPr>
          <a:noFill/>
          <a:ln w="952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2382031"/>
        <c:crosses val="autoZero"/>
        <c:crossBetween val="between"/>
      </c:valAx>
      <c:spPr>
        <a:ln>
          <a:solidFill>
            <a:schemeClr val="tx1"/>
          </a:solidFill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/>
      </a:solidFill>
      <a:round/>
    </a:ln>
    <a:effectLst/>
  </c:spPr>
  <c:txPr>
    <a:bodyPr/>
    <a:lstStyle/>
    <a:p>
      <a:pPr>
        <a:defRPr sz="1000" b="1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ysClr val="windowText" lastClr="000000"/>
                </a:solidFill>
              </a:rPr>
              <a:t>VIRAL Mass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VIRAL!$A$188</c:f>
              <c:strCache>
                <c:ptCount val="1"/>
                <c:pt idx="0">
                  <c:v>Harvesting container</c:v>
                </c:pt>
              </c:strCache>
            </c:strRef>
          </c:tx>
          <c:spPr>
            <a:solidFill>
              <a:schemeClr val="accent2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VIRAL!$B$187:$E$187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VIRAL!$B$188:$E$188</c:f>
              <c:numCache>
                <c:formatCode>General</c:formatCode>
                <c:ptCount val="4"/>
                <c:pt idx="0" formatCode="0.00E+00">
                  <c:v>1.3825423199999999E-2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EB76-44C4-8BF6-D3E08A767D2A}"/>
            </c:ext>
          </c:extLst>
        </c:ser>
        <c:ser>
          <c:idx val="1"/>
          <c:order val="1"/>
          <c:tx>
            <c:strRef>
              <c:f>VIRAL!$A$189</c:f>
              <c:strCache>
                <c:ptCount val="1"/>
                <c:pt idx="0">
                  <c:v>Harvesting tools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VIRAL!$B$187:$E$187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VIRAL!$B$189:$E$189</c:f>
              <c:numCache>
                <c:formatCode>General</c:formatCode>
                <c:ptCount val="4"/>
                <c:pt idx="0" formatCode="0.00E+00">
                  <c:v>3.4018333333333338E-2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EB76-44C4-8BF6-D3E08A767D2A}"/>
            </c:ext>
          </c:extLst>
        </c:ser>
        <c:ser>
          <c:idx val="2"/>
          <c:order val="2"/>
          <c:tx>
            <c:strRef>
              <c:f>VIRAL!$A$190</c:f>
              <c:strCache>
                <c:ptCount val="1"/>
                <c:pt idx="0">
                  <c:v>Refrigerator/Freezer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VIRAL!$B$187:$E$187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VIRAL!$B$190:$E$190</c:f>
              <c:numCache>
                <c:formatCode>General</c:formatCode>
                <c:ptCount val="4"/>
                <c:pt idx="0" formatCode="0.00E+00">
                  <c:v>412.01249999999999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EB76-44C4-8BF6-D3E08A767D2A}"/>
            </c:ext>
          </c:extLst>
        </c:ser>
        <c:ser>
          <c:idx val="3"/>
          <c:order val="3"/>
          <c:tx>
            <c:strRef>
              <c:f>VIRAL!$A$191</c:f>
              <c:strCache>
                <c:ptCount val="1"/>
                <c:pt idx="0">
                  <c:v>Lighting panels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VIRAL!$B$187:$E$187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VIRAL!$B$191:$E$191</c:f>
              <c:numCache>
                <c:formatCode>General</c:formatCode>
                <c:ptCount val="4"/>
                <c:pt idx="0" formatCode="0.00E+00">
                  <c:v>0.24299999999999999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EB76-44C4-8BF6-D3E08A767D2A}"/>
            </c:ext>
          </c:extLst>
        </c:ser>
        <c:ser>
          <c:idx val="4"/>
          <c:order val="4"/>
          <c:tx>
            <c:strRef>
              <c:f>VIRAL!$A$192</c:f>
              <c:strCache>
                <c:ptCount val="1"/>
                <c:pt idx="0">
                  <c:v>Plant growth chamber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VIRAL!$B$187:$E$187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VIRAL!$B$192:$E$192</c:f>
              <c:numCache>
                <c:formatCode>General</c:formatCode>
                <c:ptCount val="4"/>
                <c:pt idx="0" formatCode="0.00E+00">
                  <c:v>3.2607899999999987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EB76-44C4-8BF6-D3E08A767D2A}"/>
            </c:ext>
          </c:extLst>
        </c:ser>
        <c:ser>
          <c:idx val="5"/>
          <c:order val="5"/>
          <c:tx>
            <c:strRef>
              <c:f>VIRAL!$A$193</c:f>
              <c:strCache>
                <c:ptCount val="1"/>
                <c:pt idx="0">
                  <c:v>N benthamiana seeds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VIRAL!$B$187:$E$187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VIRAL!$B$193:$E$193</c:f>
              <c:numCache>
                <c:formatCode>0.00E+00</c:formatCode>
                <c:ptCount val="4"/>
                <c:pt idx="1">
                  <c:v>0.1475072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EB76-44C4-8BF6-D3E08A767D2A}"/>
            </c:ext>
          </c:extLst>
        </c:ser>
        <c:ser>
          <c:idx val="6"/>
          <c:order val="6"/>
          <c:tx>
            <c:strRef>
              <c:f>VIRAL!$A$194</c:f>
              <c:strCache>
                <c:ptCount val="1"/>
                <c:pt idx="0">
                  <c:v>Water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VIRAL!$B$187:$E$187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VIRAL!$B$194:$E$194</c:f>
              <c:numCache>
                <c:formatCode>0.00E+00</c:formatCode>
                <c:ptCount val="4"/>
                <c:pt idx="1">
                  <c:v>57.777761342488979</c:v>
                </c:pt>
                <c:pt idx="2">
                  <c:v>48.891485641912503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EB76-44C4-8BF6-D3E08A767D2A}"/>
            </c:ext>
          </c:extLst>
        </c:ser>
        <c:ser>
          <c:idx val="7"/>
          <c:order val="7"/>
          <c:tx>
            <c:strRef>
              <c:f>VIRAL!$A$195</c:f>
              <c:strCache>
                <c:ptCount val="1"/>
                <c:pt idx="0">
                  <c:v>Plant growth nutrients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VIRAL!$B$187:$E$187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VIRAL!$B$195:$E$195</c:f>
              <c:numCache>
                <c:formatCode>0.00E+00</c:formatCode>
                <c:ptCount val="4"/>
                <c:pt idx="1">
                  <c:v>2.2177415913700971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EB76-44C4-8BF6-D3E08A767D2A}"/>
            </c:ext>
          </c:extLst>
        </c:ser>
        <c:ser>
          <c:idx val="8"/>
          <c:order val="8"/>
          <c:tx>
            <c:strRef>
              <c:f>VIRAL!$A$196</c:f>
              <c:strCache>
                <c:ptCount val="1"/>
                <c:pt idx="0">
                  <c:v>Carbon dioxide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VIRAL!$B$187:$E$187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VIRAL!$B$196:$E$196</c:f>
              <c:numCache>
                <c:formatCode>0.00E+00</c:formatCode>
                <c:ptCount val="4"/>
                <c:pt idx="1">
                  <c:v>0.24908221046117321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EB76-44C4-8BF6-D3E08A767D2A}"/>
            </c:ext>
          </c:extLst>
        </c:ser>
        <c:ser>
          <c:idx val="9"/>
          <c:order val="9"/>
          <c:tx>
            <c:strRef>
              <c:f>VIRAL!$A$197</c:f>
              <c:strCache>
                <c:ptCount val="1"/>
                <c:pt idx="0">
                  <c:v>Oxygen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strRef>
              <c:f>VIRAL!$B$187:$E$187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VIRAL!$B$197:$E$197</c:f>
              <c:numCache>
                <c:formatCode>0.00E+00</c:formatCode>
                <c:ptCount val="4"/>
                <c:pt idx="2">
                  <c:v>0.18110837358765683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EB76-44C4-8BF6-D3E08A767D2A}"/>
            </c:ext>
          </c:extLst>
        </c:ser>
        <c:ser>
          <c:idx val="10"/>
          <c:order val="10"/>
          <c:tx>
            <c:strRef>
              <c:f>VIRAL!$A$198</c:f>
              <c:strCache>
                <c:ptCount val="1"/>
                <c:pt idx="0">
                  <c:v>PTH-Fc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</c:spPr>
          <c:invertIfNegative val="0"/>
          <c:cat>
            <c:strRef>
              <c:f>VIRAL!$B$187:$E$187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VIRAL!$B$198:$E$198</c:f>
              <c:numCache>
                <c:formatCode>0.00E+00</c:formatCode>
                <c:ptCount val="4"/>
                <c:pt idx="2">
                  <c:v>4.3000000000000004E-4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EB76-44C4-8BF6-D3E08A767D2A}"/>
            </c:ext>
          </c:extLst>
        </c:ser>
        <c:ser>
          <c:idx val="11"/>
          <c:order val="11"/>
          <c:tx>
            <c:strRef>
              <c:f>VIRAL!$A$199</c:f>
              <c:strCache>
                <c:ptCount val="1"/>
                <c:pt idx="0">
                  <c:v>Plant biomass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VIRAL!$B$187:$E$187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VIRAL!$B$199:$E$199</c:f>
              <c:numCache>
                <c:formatCode>0.00E+00</c:formatCode>
                <c:ptCount val="4"/>
                <c:pt idx="2">
                  <c:v>1.4333333333333333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EB76-44C4-8BF6-D3E08A767D2A}"/>
            </c:ext>
          </c:extLst>
        </c:ser>
        <c:ser>
          <c:idx val="12"/>
          <c:order val="12"/>
          <c:tx>
            <c:strRef>
              <c:f>VIRAL!$A$200</c:f>
              <c:strCache>
                <c:ptCount val="1"/>
                <c:pt idx="0">
                  <c:v>Biomass waste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</c:spPr>
          <c:invertIfNegative val="0"/>
          <c:cat>
            <c:strRef>
              <c:f>VIRAL!$B$187:$E$187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VIRAL!$B$200:$E$200</c:f>
              <c:numCache>
                <c:formatCode>0.00E+00</c:formatCode>
                <c:ptCount val="4"/>
                <c:pt idx="3">
                  <c:v>1.6032679255171245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EB76-44C4-8BF6-D3E08A767D2A}"/>
            </c:ext>
          </c:extLst>
        </c:ser>
        <c:ser>
          <c:idx val="13"/>
          <c:order val="13"/>
          <c:tx>
            <c:strRef>
              <c:f>VIRAL!$A$201</c:f>
              <c:strCache>
                <c:ptCount val="1"/>
                <c:pt idx="0">
                  <c:v>Scale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VIRAL!$B$187:$E$187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VIRAL!$B$201:$E$201</c:f>
              <c:numCache>
                <c:formatCode>0.00E+00</c:formatCode>
                <c:ptCount val="4"/>
                <c:pt idx="0">
                  <c:v>1.25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C-EB76-44C4-8BF6-D3E08A767D2A}"/>
            </c:ext>
          </c:extLst>
        </c:ser>
        <c:ser>
          <c:idx val="14"/>
          <c:order val="14"/>
          <c:tx>
            <c:strRef>
              <c:f>VIRAL!$A$202</c:f>
              <c:strCache>
                <c:ptCount val="1"/>
                <c:pt idx="0">
                  <c:v>Viral stock</c:v>
                </c:pt>
              </c:strCache>
            </c:strRef>
          </c:tx>
          <c:spPr>
            <a:solidFill>
              <a:schemeClr val="accent6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VIRAL!$B$187:$E$187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VIRAL!$B$202:$E$202</c:f>
              <c:numCache>
                <c:formatCode>0.00E+00</c:formatCode>
                <c:ptCount val="4"/>
                <c:pt idx="1">
                  <c:v>1.8096880000000001E-3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E-EB76-44C4-8BF6-D3E08A767D2A}"/>
            </c:ext>
          </c:extLst>
        </c:ser>
        <c:ser>
          <c:idx val="15"/>
          <c:order val="15"/>
          <c:tx>
            <c:strRef>
              <c:f>VIRAL!$A$203</c:f>
              <c:strCache>
                <c:ptCount val="1"/>
                <c:pt idx="0">
                  <c:v>Carborundum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VIRAL!$B$187:$E$187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VIRAL!$B$203:$E$203</c:f>
              <c:numCache>
                <c:formatCode>0.00E+00</c:formatCode>
                <c:ptCount val="4"/>
                <c:pt idx="1">
                  <c:v>1.6481000000000003E-2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0-EB76-44C4-8BF6-D3E08A767D2A}"/>
            </c:ext>
          </c:extLst>
        </c:ser>
        <c:ser>
          <c:idx val="16"/>
          <c:order val="16"/>
          <c:tx>
            <c:strRef>
              <c:f>VIRAL!$A$204</c:f>
              <c:strCache>
                <c:ptCount val="1"/>
                <c:pt idx="0">
                  <c:v>Mixing tube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strRef>
              <c:f>VIRAL!$B$187:$E$187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VIRAL!$B$204:$E$204</c:f>
              <c:numCache>
                <c:formatCode>0.00E+00</c:formatCode>
                <c:ptCount val="4"/>
                <c:pt idx="1">
                  <c:v>9.6406000000000006E-2</c:v>
                </c:pt>
                <c:pt idx="3">
                  <c:v>9.6406000000000006E-2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2-EB76-44C4-8BF6-D3E08A767D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100"/>
        <c:axId val="312382031"/>
        <c:axId val="312385871"/>
      </c:barChart>
      <c:catAx>
        <c:axId val="312382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2385871"/>
        <c:crosses val="autoZero"/>
        <c:auto val="1"/>
        <c:lblAlgn val="ctr"/>
        <c:lblOffset val="100"/>
        <c:noMultiLvlLbl val="0"/>
      </c:catAx>
      <c:valAx>
        <c:axId val="31238587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kern="1200" baseline="0">
                    <a:solidFill>
                      <a:sysClr val="windowText" lastClr="000000"/>
                    </a:solidFill>
                  </a:rPr>
                  <a:t>Mass (kg/CM/Mission)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" sourceLinked="0"/>
        <c:majorTickMark val="out"/>
        <c:minorTickMark val="none"/>
        <c:tickLblPos val="nextTo"/>
        <c:spPr>
          <a:noFill/>
          <a:ln w="952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2382031"/>
        <c:crosses val="autoZero"/>
        <c:crossBetween val="between"/>
      </c:valAx>
      <c:spPr>
        <a:ln>
          <a:solidFill>
            <a:schemeClr val="tx1"/>
          </a:solidFill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/>
      </a:solidFill>
      <a:round/>
    </a:ln>
    <a:effectLst/>
  </c:spPr>
  <c:txPr>
    <a:bodyPr/>
    <a:lstStyle/>
    <a:p>
      <a:pPr>
        <a:defRPr sz="1000" b="1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ysClr val="windowText" lastClr="000000"/>
                </a:solidFill>
              </a:rPr>
              <a:t>VIRAL Volume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VIRAL!$A$188</c:f>
              <c:strCache>
                <c:ptCount val="1"/>
                <c:pt idx="0">
                  <c:v>Harvesting container</c:v>
                </c:pt>
              </c:strCache>
            </c:strRef>
          </c:tx>
          <c:spPr>
            <a:solidFill>
              <a:schemeClr val="accent2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VIRAL!$F$187:$I$187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VIRAL!$F$188:$I$188</c:f>
              <c:numCache>
                <c:formatCode>General</c:formatCode>
                <c:ptCount val="4"/>
                <c:pt idx="0" formatCode="0.00E+00">
                  <c:v>7.4585973E-6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EB76-44C4-8BF6-D3E08A767D2A}"/>
            </c:ext>
          </c:extLst>
        </c:ser>
        <c:ser>
          <c:idx val="1"/>
          <c:order val="1"/>
          <c:tx>
            <c:strRef>
              <c:f>VIRAL!$A$189</c:f>
              <c:strCache>
                <c:ptCount val="1"/>
                <c:pt idx="0">
                  <c:v>Harvesting tools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VIRAL!$F$187:$I$187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VIRAL!$F$189:$I$189</c:f>
              <c:numCache>
                <c:formatCode>General</c:formatCode>
                <c:ptCount val="4"/>
                <c:pt idx="0" formatCode="0.00E+00">
                  <c:v>1.0735999999999999E-4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EB76-44C4-8BF6-D3E08A767D2A}"/>
            </c:ext>
          </c:extLst>
        </c:ser>
        <c:ser>
          <c:idx val="2"/>
          <c:order val="2"/>
          <c:tx>
            <c:strRef>
              <c:f>VIRAL!$A$190</c:f>
              <c:strCache>
                <c:ptCount val="1"/>
                <c:pt idx="0">
                  <c:v>Refrigerator/Freezer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VIRAL!$F$187:$I$187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VIRAL!$F$190:$I$190</c:f>
              <c:numCache>
                <c:formatCode>General</c:formatCode>
                <c:ptCount val="4"/>
                <c:pt idx="0" formatCode="0.00E+00">
                  <c:v>2.0000654999999998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EB76-44C4-8BF6-D3E08A767D2A}"/>
            </c:ext>
          </c:extLst>
        </c:ser>
        <c:ser>
          <c:idx val="3"/>
          <c:order val="3"/>
          <c:tx>
            <c:strRef>
              <c:f>VIRAL!$A$191</c:f>
              <c:strCache>
                <c:ptCount val="1"/>
                <c:pt idx="0">
                  <c:v>Lighting panels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VIRAL!$F$187:$I$187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VIRAL!$F$191:$I$191</c:f>
              <c:numCache>
                <c:formatCode>General</c:formatCode>
                <c:ptCount val="4"/>
                <c:pt idx="0" formatCode="0.00E+00">
                  <c:v>8.9999999999999992E-5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EB76-44C4-8BF6-D3E08A767D2A}"/>
            </c:ext>
          </c:extLst>
        </c:ser>
        <c:ser>
          <c:idx val="4"/>
          <c:order val="4"/>
          <c:tx>
            <c:strRef>
              <c:f>VIRAL!$A$192</c:f>
              <c:strCache>
                <c:ptCount val="1"/>
                <c:pt idx="0">
                  <c:v>Plant growth chamber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VIRAL!$F$187:$I$187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VIRAL!$F$192:$I$192</c:f>
              <c:numCache>
                <c:formatCode>General</c:formatCode>
                <c:ptCount val="4"/>
                <c:pt idx="0" formatCode="0.00E+00">
                  <c:v>3.6230999999999992E-2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EB76-44C4-8BF6-D3E08A767D2A}"/>
            </c:ext>
          </c:extLst>
        </c:ser>
        <c:ser>
          <c:idx val="5"/>
          <c:order val="5"/>
          <c:tx>
            <c:strRef>
              <c:f>VIRAL!$A$193</c:f>
              <c:strCache>
                <c:ptCount val="1"/>
                <c:pt idx="0">
                  <c:v>N benthamiana seeds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VIRAL!$F$187:$I$187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VIRAL!$F$193:$I$193</c:f>
              <c:numCache>
                <c:formatCode>0.00E+00</c:formatCode>
                <c:ptCount val="4"/>
                <c:pt idx="1">
                  <c:v>4.1033127046699689E-9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EB76-44C4-8BF6-D3E08A767D2A}"/>
            </c:ext>
          </c:extLst>
        </c:ser>
        <c:ser>
          <c:idx val="6"/>
          <c:order val="6"/>
          <c:tx>
            <c:strRef>
              <c:f>VIRAL!$A$194</c:f>
              <c:strCache>
                <c:ptCount val="1"/>
                <c:pt idx="0">
                  <c:v>Water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VIRAL!$F$187:$I$187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VIRAL!$F$194:$I$194</c:f>
              <c:numCache>
                <c:formatCode>0.00E+00</c:formatCode>
                <c:ptCount val="4"/>
                <c:pt idx="1">
                  <c:v>5.7783953342488981E-2</c:v>
                </c:pt>
                <c:pt idx="2">
                  <c:v>4.8885293641912506E-2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EB76-44C4-8BF6-D3E08A767D2A}"/>
            </c:ext>
          </c:extLst>
        </c:ser>
        <c:ser>
          <c:idx val="7"/>
          <c:order val="7"/>
          <c:tx>
            <c:strRef>
              <c:f>VIRAL!$A$195</c:f>
              <c:strCache>
                <c:ptCount val="1"/>
                <c:pt idx="0">
                  <c:v>Plant growth nutrients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VIRAL!$F$187:$I$187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VIRAL!$F$195:$I$195</c:f>
              <c:numCache>
                <c:formatCode>0.00E+00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20-EB76-44C4-8BF6-D3E08A767D2A}"/>
            </c:ext>
          </c:extLst>
        </c:ser>
        <c:ser>
          <c:idx val="8"/>
          <c:order val="8"/>
          <c:tx>
            <c:strRef>
              <c:f>VIRAL!$A$196</c:f>
              <c:strCache>
                <c:ptCount val="1"/>
                <c:pt idx="0">
                  <c:v>Carbon dioxide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VIRAL!$F$187:$I$187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VIRAL!$F$196:$I$196</c:f>
              <c:numCache>
                <c:formatCode>0.00E+00</c:formatCode>
                <c:ptCount val="4"/>
                <c:pt idx="1">
                  <c:v>0.13685835739624902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EB76-44C4-8BF6-D3E08A767D2A}"/>
            </c:ext>
          </c:extLst>
        </c:ser>
        <c:ser>
          <c:idx val="9"/>
          <c:order val="9"/>
          <c:tx>
            <c:strRef>
              <c:f>VIRAL!$A$197</c:f>
              <c:strCache>
                <c:ptCount val="1"/>
                <c:pt idx="0">
                  <c:v>Oxygen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strRef>
              <c:f>VIRAL!$F$187:$I$187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VIRAL!$F$197:$I$197</c:f>
              <c:numCache>
                <c:formatCode>0.00E+00</c:formatCode>
                <c:ptCount val="4"/>
                <c:pt idx="2">
                  <c:v>0.13931413352896679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EB76-44C4-8BF6-D3E08A767D2A}"/>
            </c:ext>
          </c:extLst>
        </c:ser>
        <c:ser>
          <c:idx val="10"/>
          <c:order val="10"/>
          <c:tx>
            <c:strRef>
              <c:f>VIRAL!$A$198</c:f>
              <c:strCache>
                <c:ptCount val="1"/>
                <c:pt idx="0">
                  <c:v>PTH-Fc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</c:spPr>
          <c:invertIfNegative val="0"/>
          <c:cat>
            <c:strRef>
              <c:f>VIRAL!$F$187:$I$187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VIRAL!$F$198:$I$198</c:f>
              <c:numCache>
                <c:formatCode>0.00E+00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26-EB76-44C4-8BF6-D3E08A767D2A}"/>
            </c:ext>
          </c:extLst>
        </c:ser>
        <c:ser>
          <c:idx val="11"/>
          <c:order val="11"/>
          <c:tx>
            <c:strRef>
              <c:f>VIRAL!$A$199</c:f>
              <c:strCache>
                <c:ptCount val="1"/>
                <c:pt idx="0">
                  <c:v>Plant biomass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VIRAL!$F$187:$I$187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VIRAL!$F$199:$I$199</c:f>
              <c:numCache>
                <c:formatCode>0.00E+00</c:formatCode>
                <c:ptCount val="4"/>
                <c:pt idx="2">
                  <c:v>2.388888888888889E-2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EB76-44C4-8BF6-D3E08A767D2A}"/>
            </c:ext>
          </c:extLst>
        </c:ser>
        <c:ser>
          <c:idx val="12"/>
          <c:order val="12"/>
          <c:tx>
            <c:strRef>
              <c:f>VIRAL!$A$200</c:f>
              <c:strCache>
                <c:ptCount val="1"/>
                <c:pt idx="0">
                  <c:v>Biomass waste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</c:spPr>
          <c:invertIfNegative val="0"/>
          <c:cat>
            <c:strRef>
              <c:f>VIRAL!$F$187:$I$187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VIRAL!$F$200:$I$200</c:f>
              <c:numCache>
                <c:formatCode>0.00E+00</c:formatCode>
                <c:ptCount val="4"/>
                <c:pt idx="3">
                  <c:v>2.6721132091952073E-2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EB76-44C4-8BF6-D3E08A767D2A}"/>
            </c:ext>
          </c:extLst>
        </c:ser>
        <c:ser>
          <c:idx val="13"/>
          <c:order val="13"/>
          <c:tx>
            <c:strRef>
              <c:f>VIRAL!$A$201</c:f>
              <c:strCache>
                <c:ptCount val="1"/>
                <c:pt idx="0">
                  <c:v>Scale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VIRAL!$F$187:$I$187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VIRAL!$F$201:$I$201</c:f>
              <c:numCache>
                <c:formatCode>0.00E+00</c:formatCode>
                <c:ptCount val="4"/>
                <c:pt idx="0">
                  <c:v>4.9501190000000002E-3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C-EB76-44C4-8BF6-D3E08A767D2A}"/>
            </c:ext>
          </c:extLst>
        </c:ser>
        <c:ser>
          <c:idx val="14"/>
          <c:order val="14"/>
          <c:tx>
            <c:strRef>
              <c:f>VIRAL!$A$202</c:f>
              <c:strCache>
                <c:ptCount val="1"/>
                <c:pt idx="0">
                  <c:v>Viral stock</c:v>
                </c:pt>
              </c:strCache>
            </c:strRef>
          </c:tx>
          <c:spPr>
            <a:solidFill>
              <a:schemeClr val="accent6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VIRAL!$F$187:$I$187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VIRAL!$F$202:$I$202</c:f>
              <c:numCache>
                <c:formatCode>0.00E+00</c:formatCode>
                <c:ptCount val="4"/>
                <c:pt idx="1">
                  <c:v>4.7500880922277672E-6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E-EB76-44C4-8BF6-D3E08A767D2A}"/>
            </c:ext>
          </c:extLst>
        </c:ser>
        <c:ser>
          <c:idx val="15"/>
          <c:order val="15"/>
          <c:tx>
            <c:strRef>
              <c:f>VIRAL!$A$203</c:f>
              <c:strCache>
                <c:ptCount val="1"/>
                <c:pt idx="0">
                  <c:v>Carborundum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VIRAL!$F$187:$I$187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VIRAL!$F$203:$I$203</c:f>
              <c:numCache>
                <c:formatCode>0.00E+00</c:formatCode>
                <c:ptCount val="4"/>
                <c:pt idx="1">
                  <c:v>1.0531875211894423E-4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0-EB76-44C4-8BF6-D3E08A767D2A}"/>
            </c:ext>
          </c:extLst>
        </c:ser>
        <c:ser>
          <c:idx val="16"/>
          <c:order val="16"/>
          <c:tx>
            <c:strRef>
              <c:f>VIRAL!$A$204</c:f>
              <c:strCache>
                <c:ptCount val="1"/>
                <c:pt idx="0">
                  <c:v>Mixing tube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strRef>
              <c:f>VIRAL!$F$187:$I$187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VIRAL!$F$204:$I$204</c:f>
              <c:numCache>
                <c:formatCode>0.00E+00</c:formatCode>
                <c:ptCount val="4"/>
                <c:pt idx="1">
                  <c:v>4.0850757593158797E-4</c:v>
                </c:pt>
                <c:pt idx="3">
                  <c:v>4.0850757593158797E-4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2-EB76-44C4-8BF6-D3E08A767D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100"/>
        <c:axId val="312382031"/>
        <c:axId val="312385871"/>
      </c:barChart>
      <c:catAx>
        <c:axId val="312382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2385871"/>
        <c:crosses val="autoZero"/>
        <c:auto val="1"/>
        <c:lblAlgn val="ctr"/>
        <c:lblOffset val="100"/>
        <c:noMultiLvlLbl val="0"/>
      </c:catAx>
      <c:valAx>
        <c:axId val="31238587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kern="1200" baseline="0">
                    <a:solidFill>
                      <a:schemeClr val="tx1"/>
                    </a:solidFill>
                  </a:rPr>
                  <a:t>Volume (m</a:t>
                </a:r>
                <a:r>
                  <a:rPr lang="en-US" sz="1000" b="1" i="0" u="none" strike="noStrike" kern="1200" baseline="30000">
                    <a:solidFill>
                      <a:schemeClr val="tx1"/>
                    </a:solidFill>
                  </a:rPr>
                  <a:t>3</a:t>
                </a:r>
                <a:r>
                  <a:rPr lang="en-US" sz="1000" b="1" i="0" u="none" strike="noStrike" kern="1200" baseline="0">
                    <a:solidFill>
                      <a:schemeClr val="tx1"/>
                    </a:solidFill>
                  </a:rPr>
                  <a:t>/CM/Mission)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" sourceLinked="0"/>
        <c:majorTickMark val="out"/>
        <c:minorTickMark val="none"/>
        <c:tickLblPos val="nextTo"/>
        <c:spPr>
          <a:noFill/>
          <a:ln w="952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2382031"/>
        <c:crosses val="autoZero"/>
        <c:crossBetween val="between"/>
      </c:valAx>
      <c:spPr>
        <a:ln>
          <a:solidFill>
            <a:schemeClr val="tx1"/>
          </a:solidFill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/>
      </a:solidFill>
      <a:round/>
    </a:ln>
    <a:effectLst/>
  </c:spPr>
  <c:txPr>
    <a:bodyPr/>
    <a:lstStyle/>
    <a:p>
      <a:pPr>
        <a:defRPr sz="1000" b="1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ysClr val="windowText" lastClr="000000"/>
                </a:solidFill>
              </a:rPr>
              <a:t>VIRAL Power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VIRAL!$A$188</c:f>
              <c:strCache>
                <c:ptCount val="1"/>
                <c:pt idx="0">
                  <c:v>Harvesting container</c:v>
                </c:pt>
              </c:strCache>
            </c:strRef>
          </c:tx>
          <c:spPr>
            <a:solidFill>
              <a:schemeClr val="accent2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VIRAL!$J$187:$M$187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VIRAL!$J$188:$M$188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12-EB76-44C4-8BF6-D3E08A767D2A}"/>
            </c:ext>
          </c:extLst>
        </c:ser>
        <c:ser>
          <c:idx val="1"/>
          <c:order val="1"/>
          <c:tx>
            <c:strRef>
              <c:f>VIRAL!$A$189</c:f>
              <c:strCache>
                <c:ptCount val="1"/>
                <c:pt idx="0">
                  <c:v>Harvesting tools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VIRAL!$J$187:$M$187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VIRAL!$J$189:$M$189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14-EB76-44C4-8BF6-D3E08A767D2A}"/>
            </c:ext>
          </c:extLst>
        </c:ser>
        <c:ser>
          <c:idx val="2"/>
          <c:order val="2"/>
          <c:tx>
            <c:strRef>
              <c:f>VIRAL!$A$190</c:f>
              <c:strCache>
                <c:ptCount val="1"/>
                <c:pt idx="0">
                  <c:v>Refrigerator/Freezer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VIRAL!$J$187:$M$187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VIRAL!$J$190:$M$190</c:f>
              <c:numCache>
                <c:formatCode>General</c:formatCode>
                <c:ptCount val="4"/>
                <c:pt idx="0" formatCode="0.00E+00">
                  <c:v>0.20500549999999998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EB76-44C4-8BF6-D3E08A767D2A}"/>
            </c:ext>
          </c:extLst>
        </c:ser>
        <c:ser>
          <c:idx val="3"/>
          <c:order val="3"/>
          <c:tx>
            <c:strRef>
              <c:f>VIRAL!$A$191</c:f>
              <c:strCache>
                <c:ptCount val="1"/>
                <c:pt idx="0">
                  <c:v>Lighting panels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VIRAL!$J$187:$M$187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VIRAL!$J$191:$M$191</c:f>
              <c:numCache>
                <c:formatCode>General</c:formatCode>
                <c:ptCount val="4"/>
                <c:pt idx="0" formatCode="0.00E+00">
                  <c:v>5.0700000000000002E-2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EB76-44C4-8BF6-D3E08A767D2A}"/>
            </c:ext>
          </c:extLst>
        </c:ser>
        <c:ser>
          <c:idx val="4"/>
          <c:order val="4"/>
          <c:tx>
            <c:strRef>
              <c:f>VIRAL!$A$192</c:f>
              <c:strCache>
                <c:ptCount val="1"/>
                <c:pt idx="0">
                  <c:v>Plant growth chamber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VIRAL!$J$187:$M$187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VIRAL!$J$192:$M$192</c:f>
              <c:numCache>
                <c:formatCode>General</c:formatCode>
                <c:ptCount val="4"/>
                <c:pt idx="0" formatCode="0.00E+00">
                  <c:v>1.9741249999999995E-2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EB76-44C4-8BF6-D3E08A767D2A}"/>
            </c:ext>
          </c:extLst>
        </c:ser>
        <c:ser>
          <c:idx val="5"/>
          <c:order val="5"/>
          <c:tx>
            <c:strRef>
              <c:f>VIRAL!$A$193</c:f>
              <c:strCache>
                <c:ptCount val="1"/>
                <c:pt idx="0">
                  <c:v>N benthamiana seeds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VIRAL!$J$187:$M$187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VIRAL!$J$193:$M$193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1C-EB76-44C4-8BF6-D3E08A767D2A}"/>
            </c:ext>
          </c:extLst>
        </c:ser>
        <c:ser>
          <c:idx val="6"/>
          <c:order val="6"/>
          <c:tx>
            <c:strRef>
              <c:f>VIRAL!$A$194</c:f>
              <c:strCache>
                <c:ptCount val="1"/>
                <c:pt idx="0">
                  <c:v>Water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VIRAL!$J$187:$M$187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VIRAL!$J$194:$M$194</c:f>
              <c:numCache>
                <c:formatCode>0.00E+00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1E-EB76-44C4-8BF6-D3E08A767D2A}"/>
            </c:ext>
          </c:extLst>
        </c:ser>
        <c:ser>
          <c:idx val="7"/>
          <c:order val="7"/>
          <c:tx>
            <c:strRef>
              <c:f>VIRAL!$A$195</c:f>
              <c:strCache>
                <c:ptCount val="1"/>
                <c:pt idx="0">
                  <c:v>Plant growth nutrients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VIRAL!$J$187:$M$187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VIRAL!$J$195:$M$195</c:f>
              <c:numCache>
                <c:formatCode>0.00E+00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20-EB76-44C4-8BF6-D3E08A767D2A}"/>
            </c:ext>
          </c:extLst>
        </c:ser>
        <c:ser>
          <c:idx val="8"/>
          <c:order val="8"/>
          <c:tx>
            <c:strRef>
              <c:f>VIRAL!$A$196</c:f>
              <c:strCache>
                <c:ptCount val="1"/>
                <c:pt idx="0">
                  <c:v>Carbon dioxide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VIRAL!$J$187:$M$187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VIRAL!$J$196:$M$196</c:f>
              <c:numCache>
                <c:formatCode>0.00E+00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22-EB76-44C4-8BF6-D3E08A767D2A}"/>
            </c:ext>
          </c:extLst>
        </c:ser>
        <c:ser>
          <c:idx val="9"/>
          <c:order val="9"/>
          <c:tx>
            <c:strRef>
              <c:f>VIRAL!$A$197</c:f>
              <c:strCache>
                <c:ptCount val="1"/>
                <c:pt idx="0">
                  <c:v>Oxygen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strRef>
              <c:f>VIRAL!$J$187:$M$187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VIRAL!$J$197:$M$197</c:f>
              <c:numCache>
                <c:formatCode>0.00E+00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24-EB76-44C4-8BF6-D3E08A767D2A}"/>
            </c:ext>
          </c:extLst>
        </c:ser>
        <c:ser>
          <c:idx val="10"/>
          <c:order val="10"/>
          <c:tx>
            <c:strRef>
              <c:f>VIRAL!$A$198</c:f>
              <c:strCache>
                <c:ptCount val="1"/>
                <c:pt idx="0">
                  <c:v>PTH-Fc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</c:spPr>
          <c:invertIfNegative val="0"/>
          <c:cat>
            <c:strRef>
              <c:f>VIRAL!$J$187:$M$187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VIRAL!$J$198:$M$198</c:f>
              <c:numCache>
                <c:formatCode>0.00E+00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26-EB76-44C4-8BF6-D3E08A767D2A}"/>
            </c:ext>
          </c:extLst>
        </c:ser>
        <c:ser>
          <c:idx val="11"/>
          <c:order val="11"/>
          <c:tx>
            <c:strRef>
              <c:f>VIRAL!$A$199</c:f>
              <c:strCache>
                <c:ptCount val="1"/>
                <c:pt idx="0">
                  <c:v>Plant biomass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VIRAL!$J$187:$M$187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VIRAL!$J$199:$M$199</c:f>
              <c:numCache>
                <c:formatCode>0.00E+00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28-EB76-44C4-8BF6-D3E08A767D2A}"/>
            </c:ext>
          </c:extLst>
        </c:ser>
        <c:ser>
          <c:idx val="12"/>
          <c:order val="12"/>
          <c:tx>
            <c:strRef>
              <c:f>VIRAL!$A$200</c:f>
              <c:strCache>
                <c:ptCount val="1"/>
                <c:pt idx="0">
                  <c:v>Biomass waste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</c:spPr>
          <c:invertIfNegative val="0"/>
          <c:cat>
            <c:strRef>
              <c:f>VIRAL!$J$187:$M$187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VIRAL!$J$200:$M$200</c:f>
              <c:numCache>
                <c:formatCode>0.00E+00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2A-EB76-44C4-8BF6-D3E08A767D2A}"/>
            </c:ext>
          </c:extLst>
        </c:ser>
        <c:ser>
          <c:idx val="13"/>
          <c:order val="13"/>
          <c:tx>
            <c:strRef>
              <c:f>VIRAL!$A$201</c:f>
              <c:strCache>
                <c:ptCount val="1"/>
                <c:pt idx="0">
                  <c:v>Scale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VIRAL!$J$187:$M$187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VIRAL!$J$201:$M$201</c:f>
              <c:numCache>
                <c:formatCode>0.00E+00</c:formatCode>
                <c:ptCount val="4"/>
                <c:pt idx="0">
                  <c:v>3.6666666666666667E-4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C-EB76-44C4-8BF6-D3E08A767D2A}"/>
            </c:ext>
          </c:extLst>
        </c:ser>
        <c:ser>
          <c:idx val="14"/>
          <c:order val="14"/>
          <c:tx>
            <c:strRef>
              <c:f>VIRAL!$A$202</c:f>
              <c:strCache>
                <c:ptCount val="1"/>
                <c:pt idx="0">
                  <c:v>Viral stock</c:v>
                </c:pt>
              </c:strCache>
            </c:strRef>
          </c:tx>
          <c:spPr>
            <a:solidFill>
              <a:schemeClr val="accent6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VIRAL!$J$187:$M$187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VIRAL!$J$202:$M$202</c:f>
              <c:numCache>
                <c:formatCode>0.00E+00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2E-EB76-44C4-8BF6-D3E08A767D2A}"/>
            </c:ext>
          </c:extLst>
        </c:ser>
        <c:ser>
          <c:idx val="15"/>
          <c:order val="15"/>
          <c:tx>
            <c:strRef>
              <c:f>VIRAL!$A$203</c:f>
              <c:strCache>
                <c:ptCount val="1"/>
                <c:pt idx="0">
                  <c:v>Carborundum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VIRAL!$J$187:$M$187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VIRAL!$J$203:$M$203</c:f>
              <c:numCache>
                <c:formatCode>0.00E+00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30-EB76-44C4-8BF6-D3E08A767D2A}"/>
            </c:ext>
          </c:extLst>
        </c:ser>
        <c:ser>
          <c:idx val="16"/>
          <c:order val="16"/>
          <c:tx>
            <c:strRef>
              <c:f>VIRAL!$A$204</c:f>
              <c:strCache>
                <c:ptCount val="1"/>
                <c:pt idx="0">
                  <c:v>Mixing tube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strRef>
              <c:f>VIRAL!$J$187:$M$187</c:f>
              <c:strCache>
                <c:ptCount val="4"/>
                <c:pt idx="0">
                  <c:v>System</c:v>
                </c:pt>
                <c:pt idx="1">
                  <c:v>Input</c:v>
                </c:pt>
                <c:pt idx="2">
                  <c:v>Output</c:v>
                </c:pt>
                <c:pt idx="3">
                  <c:v>Waste</c:v>
                </c:pt>
              </c:strCache>
            </c:strRef>
          </c:cat>
          <c:val>
            <c:numRef>
              <c:f>VIRAL!$J$204:$M$204</c:f>
              <c:numCache>
                <c:formatCode>0.00E+00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32-EB76-44C4-8BF6-D3E08A767D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100"/>
        <c:axId val="312382031"/>
        <c:axId val="312385871"/>
      </c:barChart>
      <c:catAx>
        <c:axId val="312382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2385871"/>
        <c:crosses val="autoZero"/>
        <c:auto val="1"/>
        <c:lblAlgn val="ctr"/>
        <c:lblOffset val="100"/>
        <c:noMultiLvlLbl val="0"/>
      </c:catAx>
      <c:valAx>
        <c:axId val="31238587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kern="1200" baseline="0">
                    <a:solidFill>
                      <a:schemeClr val="tx1"/>
                    </a:solidFill>
                  </a:rPr>
                  <a:t>Power (kW/CM/Mission)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0" sourceLinked="0"/>
        <c:majorTickMark val="out"/>
        <c:minorTickMark val="none"/>
        <c:tickLblPos val="nextTo"/>
        <c:spPr>
          <a:noFill/>
          <a:ln w="952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2382031"/>
        <c:crosses val="autoZero"/>
        <c:crossBetween val="between"/>
      </c:valAx>
      <c:spPr>
        <a:ln>
          <a:solidFill>
            <a:schemeClr val="tx1"/>
          </a:solidFill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/>
      </a:solidFill>
      <a:round/>
    </a:ln>
    <a:effectLst/>
  </c:spPr>
  <c:txPr>
    <a:bodyPr/>
    <a:lstStyle/>
    <a:p>
      <a:pPr>
        <a:defRPr sz="1000" b="1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ysClr val="windowText" lastClr="000000"/>
                </a:solidFill>
              </a:rPr>
              <a:t>VIRAL Crew Time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VIRAL!$A$188</c:f>
              <c:strCache>
                <c:ptCount val="1"/>
                <c:pt idx="0">
                  <c:v>Harvesting container</c:v>
                </c:pt>
              </c:strCache>
            </c:strRef>
          </c:tx>
          <c:spPr>
            <a:solidFill>
              <a:schemeClr val="accent2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VIRAL!$N$187:$O$187</c:f>
              <c:strCache>
                <c:ptCount val="2"/>
                <c:pt idx="0">
                  <c:v>System</c:v>
                </c:pt>
                <c:pt idx="1">
                  <c:v>Process Operations</c:v>
                </c:pt>
              </c:strCache>
            </c:strRef>
          </c:cat>
          <c:val>
            <c:numRef>
              <c:f>VIRAL!$N$188:$O$188</c:f>
              <c:numCache>
                <c:formatCode>General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12-EB76-44C4-8BF6-D3E08A767D2A}"/>
            </c:ext>
          </c:extLst>
        </c:ser>
        <c:ser>
          <c:idx val="1"/>
          <c:order val="1"/>
          <c:tx>
            <c:strRef>
              <c:f>VIRAL!$A$189</c:f>
              <c:strCache>
                <c:ptCount val="1"/>
                <c:pt idx="0">
                  <c:v>Harvesting tools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VIRAL!$N$187:$O$187</c:f>
              <c:strCache>
                <c:ptCount val="2"/>
                <c:pt idx="0">
                  <c:v>System</c:v>
                </c:pt>
                <c:pt idx="1">
                  <c:v>Process Operations</c:v>
                </c:pt>
              </c:strCache>
            </c:strRef>
          </c:cat>
          <c:val>
            <c:numRef>
              <c:f>VIRAL!$N$189:$O$189</c:f>
              <c:numCache>
                <c:formatCode>General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14-EB76-44C4-8BF6-D3E08A767D2A}"/>
            </c:ext>
          </c:extLst>
        </c:ser>
        <c:ser>
          <c:idx val="2"/>
          <c:order val="2"/>
          <c:tx>
            <c:strRef>
              <c:f>VIRAL!$A$190</c:f>
              <c:strCache>
                <c:ptCount val="1"/>
                <c:pt idx="0">
                  <c:v>Refrigerator/Freezer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VIRAL!$N$187:$O$187</c:f>
              <c:strCache>
                <c:ptCount val="2"/>
                <c:pt idx="0">
                  <c:v>System</c:v>
                </c:pt>
                <c:pt idx="1">
                  <c:v>Process Operations</c:v>
                </c:pt>
              </c:strCache>
            </c:strRef>
          </c:cat>
          <c:val>
            <c:numRef>
              <c:f>VIRAL!$N$190:$O$190</c:f>
              <c:numCache>
                <c:formatCode>General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16-EB76-44C4-8BF6-D3E08A767D2A}"/>
            </c:ext>
          </c:extLst>
        </c:ser>
        <c:ser>
          <c:idx val="3"/>
          <c:order val="3"/>
          <c:tx>
            <c:strRef>
              <c:f>VIRAL!$A$191</c:f>
              <c:strCache>
                <c:ptCount val="1"/>
                <c:pt idx="0">
                  <c:v>Lighting panels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VIRAL!$N$187:$O$187</c:f>
              <c:strCache>
                <c:ptCount val="2"/>
                <c:pt idx="0">
                  <c:v>System</c:v>
                </c:pt>
                <c:pt idx="1">
                  <c:v>Process Operations</c:v>
                </c:pt>
              </c:strCache>
            </c:strRef>
          </c:cat>
          <c:val>
            <c:numRef>
              <c:f>VIRAL!$N$191:$O$191</c:f>
              <c:numCache>
                <c:formatCode>General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18-EB76-44C4-8BF6-D3E08A767D2A}"/>
            </c:ext>
          </c:extLst>
        </c:ser>
        <c:ser>
          <c:idx val="4"/>
          <c:order val="4"/>
          <c:tx>
            <c:strRef>
              <c:f>VIRAL!$A$192</c:f>
              <c:strCache>
                <c:ptCount val="1"/>
                <c:pt idx="0">
                  <c:v>Plant growth chamber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VIRAL!$N$187:$O$187</c:f>
              <c:strCache>
                <c:ptCount val="2"/>
                <c:pt idx="0">
                  <c:v>System</c:v>
                </c:pt>
                <c:pt idx="1">
                  <c:v>Process Operations</c:v>
                </c:pt>
              </c:strCache>
            </c:strRef>
          </c:cat>
          <c:val>
            <c:numRef>
              <c:f>VIRAL!$N$192:$O$192</c:f>
              <c:numCache>
                <c:formatCode>General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1A-EB76-44C4-8BF6-D3E08A767D2A}"/>
            </c:ext>
          </c:extLst>
        </c:ser>
        <c:ser>
          <c:idx val="5"/>
          <c:order val="5"/>
          <c:tx>
            <c:strRef>
              <c:f>VIRAL!$A$193</c:f>
              <c:strCache>
                <c:ptCount val="1"/>
                <c:pt idx="0">
                  <c:v>N benthamiana seeds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VIRAL!$N$187:$O$187</c:f>
              <c:strCache>
                <c:ptCount val="2"/>
                <c:pt idx="0">
                  <c:v>System</c:v>
                </c:pt>
                <c:pt idx="1">
                  <c:v>Process Operations</c:v>
                </c:pt>
              </c:strCache>
            </c:strRef>
          </c:cat>
          <c:val>
            <c:numRef>
              <c:f>VIRAL!$N$193:$O$193</c:f>
              <c:numCache>
                <c:formatCode>0.00E+00</c:formatCode>
                <c:ptCount val="2"/>
                <c:pt idx="1">
                  <c:v>2.2400000000000002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EB76-44C4-8BF6-D3E08A767D2A}"/>
            </c:ext>
          </c:extLst>
        </c:ser>
        <c:ser>
          <c:idx val="6"/>
          <c:order val="6"/>
          <c:tx>
            <c:strRef>
              <c:f>VIRAL!$A$194</c:f>
              <c:strCache>
                <c:ptCount val="1"/>
                <c:pt idx="0">
                  <c:v>Water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VIRAL!$N$187:$O$187</c:f>
              <c:strCache>
                <c:ptCount val="2"/>
                <c:pt idx="0">
                  <c:v>System</c:v>
                </c:pt>
                <c:pt idx="1">
                  <c:v>Process Operations</c:v>
                </c:pt>
              </c:strCache>
            </c:strRef>
          </c:cat>
          <c:val>
            <c:numRef>
              <c:f>VIRAL!$N$194:$O$194</c:f>
              <c:numCache>
                <c:formatCode>0.00E+00</c:formatCode>
                <c:ptCount val="2"/>
                <c:pt idx="1">
                  <c:v>4.5919649604927594E-2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EB76-44C4-8BF6-D3E08A767D2A}"/>
            </c:ext>
          </c:extLst>
        </c:ser>
        <c:ser>
          <c:idx val="7"/>
          <c:order val="7"/>
          <c:tx>
            <c:strRef>
              <c:f>VIRAL!$A$195</c:f>
              <c:strCache>
                <c:ptCount val="1"/>
                <c:pt idx="0">
                  <c:v>Plant growth nutrients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VIRAL!$N$187:$O$187</c:f>
              <c:strCache>
                <c:ptCount val="2"/>
                <c:pt idx="0">
                  <c:v>System</c:v>
                </c:pt>
                <c:pt idx="1">
                  <c:v>Process Operations</c:v>
                </c:pt>
              </c:strCache>
            </c:strRef>
          </c:cat>
          <c:val>
            <c:numRef>
              <c:f>VIRAL!$N$195:$O$195</c:f>
              <c:numCache>
                <c:formatCode>0.00E+00</c:formatCode>
                <c:ptCount val="2"/>
                <c:pt idx="1">
                  <c:v>9.3906321214988112E-2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EB76-44C4-8BF6-D3E08A767D2A}"/>
            </c:ext>
          </c:extLst>
        </c:ser>
        <c:ser>
          <c:idx val="8"/>
          <c:order val="8"/>
          <c:tx>
            <c:strRef>
              <c:f>VIRAL!$A$196</c:f>
              <c:strCache>
                <c:ptCount val="1"/>
                <c:pt idx="0">
                  <c:v>Carbon dioxide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VIRAL!$N$187:$O$187</c:f>
              <c:strCache>
                <c:ptCount val="2"/>
                <c:pt idx="0">
                  <c:v>System</c:v>
                </c:pt>
                <c:pt idx="1">
                  <c:v>Process Operations</c:v>
                </c:pt>
              </c:strCache>
            </c:strRef>
          </c:cat>
          <c:val>
            <c:numRef>
              <c:f>VIRAL!$N$196:$O$196</c:f>
              <c:numCache>
                <c:formatCode>0.00E+00</c:formatCode>
                <c:ptCount val="2"/>
                <c:pt idx="1">
                  <c:v>32.0565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EB76-44C4-8BF6-D3E08A767D2A}"/>
            </c:ext>
          </c:extLst>
        </c:ser>
        <c:ser>
          <c:idx val="9"/>
          <c:order val="9"/>
          <c:tx>
            <c:strRef>
              <c:f>VIRAL!$A$197</c:f>
              <c:strCache>
                <c:ptCount val="1"/>
                <c:pt idx="0">
                  <c:v>Oxygen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strRef>
              <c:f>VIRAL!$N$187:$O$187</c:f>
              <c:strCache>
                <c:ptCount val="2"/>
                <c:pt idx="0">
                  <c:v>System</c:v>
                </c:pt>
                <c:pt idx="1">
                  <c:v>Process Operations</c:v>
                </c:pt>
              </c:strCache>
            </c:strRef>
          </c:cat>
          <c:val>
            <c:numRef>
              <c:f>VIRAL!$N$197:$O$197</c:f>
              <c:numCache>
                <c:formatCode>0.00E+00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24-EB76-44C4-8BF6-D3E08A767D2A}"/>
            </c:ext>
          </c:extLst>
        </c:ser>
        <c:ser>
          <c:idx val="10"/>
          <c:order val="10"/>
          <c:tx>
            <c:strRef>
              <c:f>VIRAL!$A$198</c:f>
              <c:strCache>
                <c:ptCount val="1"/>
                <c:pt idx="0">
                  <c:v>PTH-Fc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</c:spPr>
          <c:invertIfNegative val="0"/>
          <c:cat>
            <c:strRef>
              <c:f>VIRAL!$N$187:$O$187</c:f>
              <c:strCache>
                <c:ptCount val="2"/>
                <c:pt idx="0">
                  <c:v>System</c:v>
                </c:pt>
                <c:pt idx="1">
                  <c:v>Process Operations</c:v>
                </c:pt>
              </c:strCache>
            </c:strRef>
          </c:cat>
          <c:val>
            <c:numRef>
              <c:f>VIRAL!$N$198:$O$198</c:f>
              <c:numCache>
                <c:formatCode>0.00E+00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26-EB76-44C4-8BF6-D3E08A767D2A}"/>
            </c:ext>
          </c:extLst>
        </c:ser>
        <c:ser>
          <c:idx val="11"/>
          <c:order val="11"/>
          <c:tx>
            <c:strRef>
              <c:f>VIRAL!$A$199</c:f>
              <c:strCache>
                <c:ptCount val="1"/>
                <c:pt idx="0">
                  <c:v>Plant biomass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VIRAL!$N$187:$O$187</c:f>
              <c:strCache>
                <c:ptCount val="2"/>
                <c:pt idx="0">
                  <c:v>System</c:v>
                </c:pt>
                <c:pt idx="1">
                  <c:v>Process Operations</c:v>
                </c:pt>
              </c:strCache>
            </c:strRef>
          </c:cat>
          <c:val>
            <c:numRef>
              <c:f>VIRAL!$N$199:$O$199</c:f>
              <c:numCache>
                <c:formatCode>0.00E+00</c:formatCode>
                <c:ptCount val="2"/>
                <c:pt idx="1">
                  <c:v>6.6011774067480489E-2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EB76-44C4-8BF6-D3E08A767D2A}"/>
            </c:ext>
          </c:extLst>
        </c:ser>
        <c:ser>
          <c:idx val="12"/>
          <c:order val="12"/>
          <c:tx>
            <c:strRef>
              <c:f>VIRAL!$A$200</c:f>
              <c:strCache>
                <c:ptCount val="1"/>
                <c:pt idx="0">
                  <c:v>Biomass waste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</c:spPr>
          <c:invertIfNegative val="0"/>
          <c:cat>
            <c:strRef>
              <c:f>VIRAL!$N$187:$O$187</c:f>
              <c:strCache>
                <c:ptCount val="2"/>
                <c:pt idx="0">
                  <c:v>System</c:v>
                </c:pt>
                <c:pt idx="1">
                  <c:v>Process Operations</c:v>
                </c:pt>
              </c:strCache>
            </c:strRef>
          </c:cat>
          <c:val>
            <c:numRef>
              <c:f>VIRAL!$N$200:$O$200</c:f>
              <c:numCache>
                <c:formatCode>0.00E+00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2A-EB76-44C4-8BF6-D3E08A767D2A}"/>
            </c:ext>
          </c:extLst>
        </c:ser>
        <c:ser>
          <c:idx val="13"/>
          <c:order val="13"/>
          <c:tx>
            <c:strRef>
              <c:f>VIRAL!$A$201</c:f>
              <c:strCache>
                <c:ptCount val="1"/>
                <c:pt idx="0">
                  <c:v>Scale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VIRAL!$N$187:$O$187</c:f>
              <c:strCache>
                <c:ptCount val="2"/>
                <c:pt idx="0">
                  <c:v>System</c:v>
                </c:pt>
                <c:pt idx="1">
                  <c:v>Process Operations</c:v>
                </c:pt>
              </c:strCache>
            </c:strRef>
          </c:cat>
          <c:val>
            <c:numRef>
              <c:f>VIRAL!$N$201:$O$201</c:f>
              <c:numCache>
                <c:formatCode>0.00E+00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2C-EB76-44C4-8BF6-D3E08A767D2A}"/>
            </c:ext>
          </c:extLst>
        </c:ser>
        <c:ser>
          <c:idx val="14"/>
          <c:order val="14"/>
          <c:tx>
            <c:strRef>
              <c:f>VIRAL!$A$202</c:f>
              <c:strCache>
                <c:ptCount val="1"/>
                <c:pt idx="0">
                  <c:v>Viral stock</c:v>
                </c:pt>
              </c:strCache>
            </c:strRef>
          </c:tx>
          <c:spPr>
            <a:solidFill>
              <a:schemeClr val="accent6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VIRAL!$N$187:$O$187</c:f>
              <c:strCache>
                <c:ptCount val="2"/>
                <c:pt idx="0">
                  <c:v>System</c:v>
                </c:pt>
                <c:pt idx="1">
                  <c:v>Process Operations</c:v>
                </c:pt>
              </c:strCache>
            </c:strRef>
          </c:cat>
          <c:val>
            <c:numRef>
              <c:f>VIRAL!$N$202:$O$202</c:f>
              <c:numCache>
                <c:formatCode>0.00E+00</c:formatCode>
                <c:ptCount val="2"/>
                <c:pt idx="1">
                  <c:v>8.6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E-EB76-44C4-8BF6-D3E08A767D2A}"/>
            </c:ext>
          </c:extLst>
        </c:ser>
        <c:ser>
          <c:idx val="15"/>
          <c:order val="15"/>
          <c:tx>
            <c:strRef>
              <c:f>VIRAL!$A$203</c:f>
              <c:strCache>
                <c:ptCount val="1"/>
                <c:pt idx="0">
                  <c:v>Carborundum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VIRAL!$N$187:$O$187</c:f>
              <c:strCache>
                <c:ptCount val="2"/>
                <c:pt idx="0">
                  <c:v>System</c:v>
                </c:pt>
                <c:pt idx="1">
                  <c:v>Process Operations</c:v>
                </c:pt>
              </c:strCache>
            </c:strRef>
          </c:cat>
          <c:val>
            <c:numRef>
              <c:f>VIRAL!$N$203:$O$203</c:f>
              <c:numCache>
                <c:formatCode>0.00E+00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30-EB76-44C4-8BF6-D3E08A767D2A}"/>
            </c:ext>
          </c:extLst>
        </c:ser>
        <c:ser>
          <c:idx val="16"/>
          <c:order val="16"/>
          <c:tx>
            <c:strRef>
              <c:f>VIRAL!$A$204</c:f>
              <c:strCache>
                <c:ptCount val="1"/>
                <c:pt idx="0">
                  <c:v>Mixing tube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strRef>
              <c:f>VIRAL!$N$187:$O$187</c:f>
              <c:strCache>
                <c:ptCount val="2"/>
                <c:pt idx="0">
                  <c:v>System</c:v>
                </c:pt>
                <c:pt idx="1">
                  <c:v>Process Operations</c:v>
                </c:pt>
              </c:strCache>
            </c:strRef>
          </c:cat>
          <c:val>
            <c:numRef>
              <c:f>VIRAL!$N$204:$O$204</c:f>
              <c:numCache>
                <c:formatCode>0.00E+00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32-EB76-44C4-8BF6-D3E08A767D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100"/>
        <c:axId val="312382031"/>
        <c:axId val="312385871"/>
      </c:barChart>
      <c:catAx>
        <c:axId val="312382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2385871"/>
        <c:crosses val="autoZero"/>
        <c:auto val="1"/>
        <c:lblAlgn val="ctr"/>
        <c:lblOffset val="100"/>
        <c:noMultiLvlLbl val="0"/>
      </c:catAx>
      <c:valAx>
        <c:axId val="31238587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kern="1200" baseline="0">
                    <a:solidFill>
                      <a:schemeClr val="tx1"/>
                    </a:solidFill>
                  </a:rPr>
                  <a:t>Crewtime (CM-hr/CM/Mission)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" sourceLinked="0"/>
        <c:majorTickMark val="out"/>
        <c:minorTickMark val="none"/>
        <c:tickLblPos val="nextTo"/>
        <c:spPr>
          <a:noFill/>
          <a:ln w="952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2382031"/>
        <c:crosses val="autoZero"/>
        <c:crossBetween val="between"/>
      </c:valAx>
      <c:spPr>
        <a:ln>
          <a:solidFill>
            <a:schemeClr val="tx1"/>
          </a:solidFill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/>
      </a:solidFill>
      <a:round/>
    </a:ln>
    <a:effectLst/>
  </c:spPr>
  <c:txPr>
    <a:bodyPr/>
    <a:lstStyle/>
    <a:p>
      <a:pPr>
        <a:defRPr sz="1000" b="1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4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Relationship Id="rId4" Type="http://schemas.openxmlformats.org/officeDocument/2006/relationships/chart" Target="../charts/chart15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8.xml"/><Relationship Id="rId2" Type="http://schemas.openxmlformats.org/officeDocument/2006/relationships/chart" Target="../charts/chart17.xml"/><Relationship Id="rId1" Type="http://schemas.openxmlformats.org/officeDocument/2006/relationships/chart" Target="../charts/chart16.xml"/><Relationship Id="rId4" Type="http://schemas.openxmlformats.org/officeDocument/2006/relationships/chart" Target="../charts/chart19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2.xml"/><Relationship Id="rId2" Type="http://schemas.openxmlformats.org/officeDocument/2006/relationships/chart" Target="../charts/chart21.xml"/><Relationship Id="rId1" Type="http://schemas.openxmlformats.org/officeDocument/2006/relationships/chart" Target="../charts/chart20.xml"/><Relationship Id="rId4" Type="http://schemas.openxmlformats.org/officeDocument/2006/relationships/chart" Target="../charts/chart2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11906</xdr:colOff>
      <xdr:row>66</xdr:row>
      <xdr:rowOff>127007</xdr:rowOff>
    </xdr:from>
    <xdr:to>
      <xdr:col>3</xdr:col>
      <xdr:colOff>932656</xdr:colOff>
      <xdr:row>81</xdr:row>
      <xdr:rowOff>131770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18030B4-FF2E-E22B-193D-26557F65E8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283368</xdr:colOff>
      <xdr:row>66</xdr:row>
      <xdr:rowOff>136532</xdr:rowOff>
    </xdr:from>
    <xdr:to>
      <xdr:col>6</xdr:col>
      <xdr:colOff>148431</xdr:colOff>
      <xdr:row>81</xdr:row>
      <xdr:rowOff>141295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013FEBA-C5C0-4275-863C-E9D7A27B05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1443831</xdr:colOff>
      <xdr:row>66</xdr:row>
      <xdr:rowOff>153995</xdr:rowOff>
    </xdr:from>
    <xdr:to>
      <xdr:col>12</xdr:col>
      <xdr:colOff>54768</xdr:colOff>
      <xdr:row>81</xdr:row>
      <xdr:rowOff>158758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0CBEBFD-3518-256F-7EC3-4FFD64CFCC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2460984</xdr:colOff>
      <xdr:row>102</xdr:row>
      <xdr:rowOff>160698</xdr:rowOff>
    </xdr:from>
    <xdr:to>
      <xdr:col>3</xdr:col>
      <xdr:colOff>423575</xdr:colOff>
      <xdr:row>117</xdr:row>
      <xdr:rowOff>165460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DBCF0BA-601B-613D-3AFB-F42F32BBDC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662060</xdr:colOff>
      <xdr:row>102</xdr:row>
      <xdr:rowOff>144822</xdr:rowOff>
    </xdr:from>
    <xdr:to>
      <xdr:col>6</xdr:col>
      <xdr:colOff>566810</xdr:colOff>
      <xdr:row>117</xdr:row>
      <xdr:rowOff>149584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BB1D7CB-C3E4-ABEE-8953-3DE37C4E0A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800605</xdr:colOff>
      <xdr:row>102</xdr:row>
      <xdr:rowOff>122454</xdr:rowOff>
    </xdr:from>
    <xdr:to>
      <xdr:col>11</xdr:col>
      <xdr:colOff>594951</xdr:colOff>
      <xdr:row>117</xdr:row>
      <xdr:rowOff>129381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94D7496-4B71-02E3-0680-9BF7E996D9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148432</xdr:colOff>
      <xdr:row>102</xdr:row>
      <xdr:rowOff>104558</xdr:rowOff>
    </xdr:from>
    <xdr:to>
      <xdr:col>17</xdr:col>
      <xdr:colOff>254001</xdr:colOff>
      <xdr:row>117</xdr:row>
      <xdr:rowOff>109320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A818E59-9119-A965-BB3D-A307019F29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1035050</xdr:colOff>
      <xdr:row>93</xdr:row>
      <xdr:rowOff>38100</xdr:rowOff>
    </xdr:from>
    <xdr:to>
      <xdr:col>4</xdr:col>
      <xdr:colOff>101600</xdr:colOff>
      <xdr:row>108</xdr:row>
      <xdr:rowOff>19050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489D4E0-2AD8-9239-B52A-AA24D44943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482600</xdr:colOff>
      <xdr:row>93</xdr:row>
      <xdr:rowOff>82550</xdr:rowOff>
    </xdr:from>
    <xdr:to>
      <xdr:col>7</xdr:col>
      <xdr:colOff>374650</xdr:colOff>
      <xdr:row>108</xdr:row>
      <xdr:rowOff>63500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10A838DD-DC6D-66B4-C116-254C7D9F65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558800</xdr:colOff>
      <xdr:row>93</xdr:row>
      <xdr:rowOff>58737</xdr:rowOff>
    </xdr:from>
    <xdr:to>
      <xdr:col>14</xdr:col>
      <xdr:colOff>158750</xdr:colOff>
      <xdr:row>108</xdr:row>
      <xdr:rowOff>39687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D687AB35-52A8-7D8A-AA16-0CC5FA148C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360830</xdr:colOff>
      <xdr:row>93</xdr:row>
      <xdr:rowOff>77321</xdr:rowOff>
    </xdr:from>
    <xdr:to>
      <xdr:col>19</xdr:col>
      <xdr:colOff>269876</xdr:colOff>
      <xdr:row>108</xdr:row>
      <xdr:rowOff>58271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FF93A955-C24A-B2A7-E8D3-3F01622327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1114425</xdr:colOff>
      <xdr:row>242</xdr:row>
      <xdr:rowOff>96309</xdr:rowOff>
    </xdr:from>
    <xdr:to>
      <xdr:col>4</xdr:col>
      <xdr:colOff>1055158</xdr:colOff>
      <xdr:row>257</xdr:row>
      <xdr:rowOff>169334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9EE82FF-E230-B800-E1A4-3D7563274E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109714</xdr:colOff>
      <xdr:row>242</xdr:row>
      <xdr:rowOff>129117</xdr:rowOff>
    </xdr:from>
    <xdr:to>
      <xdr:col>8</xdr:col>
      <xdr:colOff>279048</xdr:colOff>
      <xdr:row>258</xdr:row>
      <xdr:rowOff>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409A260-8B16-A688-61D5-200502887E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456848</xdr:colOff>
      <xdr:row>242</xdr:row>
      <xdr:rowOff>154517</xdr:rowOff>
    </xdr:from>
    <xdr:to>
      <xdr:col>15</xdr:col>
      <xdr:colOff>156281</xdr:colOff>
      <xdr:row>258</xdr:row>
      <xdr:rowOff>25401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F024B4B-1E20-F38A-F6BB-FA67E04DA1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287868</xdr:colOff>
      <xdr:row>242</xdr:row>
      <xdr:rowOff>112889</xdr:rowOff>
    </xdr:from>
    <xdr:to>
      <xdr:col>20</xdr:col>
      <xdr:colOff>56444</xdr:colOff>
      <xdr:row>257</xdr:row>
      <xdr:rowOff>167217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BC1439B-2456-CBDC-DC74-2D097B3A64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844177</xdr:colOff>
      <xdr:row>332</xdr:row>
      <xdr:rowOff>17929</xdr:rowOff>
    </xdr:from>
    <xdr:to>
      <xdr:col>3</xdr:col>
      <xdr:colOff>1553883</xdr:colOff>
      <xdr:row>346</xdr:row>
      <xdr:rowOff>146423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B64701C-A5FD-E363-1207-9DE0614919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129989</xdr:colOff>
      <xdr:row>332</xdr:row>
      <xdr:rowOff>13447</xdr:rowOff>
    </xdr:from>
    <xdr:to>
      <xdr:col>8</xdr:col>
      <xdr:colOff>309283</xdr:colOff>
      <xdr:row>346</xdr:row>
      <xdr:rowOff>141941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5236A60-AFFC-46CB-F6B3-1026E2B543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939800</xdr:colOff>
      <xdr:row>331</xdr:row>
      <xdr:rowOff>68730</xdr:rowOff>
    </xdr:from>
    <xdr:to>
      <xdr:col>13</xdr:col>
      <xdr:colOff>566270</xdr:colOff>
      <xdr:row>346</xdr:row>
      <xdr:rowOff>10459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DA3F677-BBB3-93FC-0DDA-3776A23A9B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8964</xdr:colOff>
      <xdr:row>331</xdr:row>
      <xdr:rowOff>56777</xdr:rowOff>
    </xdr:from>
    <xdr:to>
      <xdr:col>18</xdr:col>
      <xdr:colOff>29883</xdr:colOff>
      <xdr:row>345</xdr:row>
      <xdr:rowOff>185271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7DA52B0-52BF-6C2B-13F5-E8005B837A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594178</xdr:colOff>
      <xdr:row>205</xdr:row>
      <xdr:rowOff>20865</xdr:rowOff>
    </xdr:from>
    <xdr:to>
      <xdr:col>3</xdr:col>
      <xdr:colOff>1310821</xdr:colOff>
      <xdr:row>220</xdr:row>
      <xdr:rowOff>42637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060F71F-4773-3B54-34D7-E15D7F512A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1553936</xdr:colOff>
      <xdr:row>205</xdr:row>
      <xdr:rowOff>19051</xdr:rowOff>
    </xdr:from>
    <xdr:to>
      <xdr:col>7</xdr:col>
      <xdr:colOff>66221</xdr:colOff>
      <xdr:row>220</xdr:row>
      <xdr:rowOff>40823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833ECCE-96FB-E96D-C2ED-3DFE738F3E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173264</xdr:colOff>
      <xdr:row>205</xdr:row>
      <xdr:rowOff>8165</xdr:rowOff>
    </xdr:from>
    <xdr:to>
      <xdr:col>13</xdr:col>
      <xdr:colOff>390979</xdr:colOff>
      <xdr:row>220</xdr:row>
      <xdr:rowOff>29937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D4BEF7D-8250-6478-4DAF-771B7247B9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461736</xdr:colOff>
      <xdr:row>204</xdr:row>
      <xdr:rowOff>178708</xdr:rowOff>
    </xdr:from>
    <xdr:to>
      <xdr:col>17</xdr:col>
      <xdr:colOff>281215</xdr:colOff>
      <xdr:row>220</xdr:row>
      <xdr:rowOff>19051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C745F73-5111-E900-064C-0C00EDFA23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4.xml"/><Relationship Id="rId1" Type="http://schemas.openxmlformats.org/officeDocument/2006/relationships/hyperlink" Target="https://support.bargainballoons.ca/support/solutions/articles/27000057500-what-are-helium-cylinder-tanks-made-of-and-what-do-they-weigh-" TargetMode="External"/><Relationship Id="rId4" Type="http://schemas.openxmlformats.org/officeDocument/2006/relationships/comments" Target="../comments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hyperlink" Target="https://www.sigmaaldrich.com/US/en/product/sigma/l3522?srsltid=AfmBOooNC06sQjPUu9pC2R68NoyMs_pVFAV9gRbRPE7OU2YJkNW2QGMn" TargetMode="External"/><Relationship Id="rId1" Type="http://schemas.openxmlformats.org/officeDocument/2006/relationships/hyperlink" Target="https://doi.org/10.1128/jb.148.1.58-63.1981" TargetMode="External"/><Relationship Id="rId5" Type="http://schemas.openxmlformats.org/officeDocument/2006/relationships/comments" Target="../comments6.xml"/><Relationship Id="rId4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tabSelected="1" workbookViewId="0">
      <selection activeCell="B5" sqref="B5"/>
    </sheetView>
  </sheetViews>
  <sheetFormatPr defaultRowHeight="14.75" x14ac:dyDescent="0.75"/>
  <cols>
    <col min="1" max="1" width="40.08984375" bestFit="1" customWidth="1"/>
    <col min="2" max="2" width="26" bestFit="1" customWidth="1"/>
    <col min="3" max="3" width="29.453125" bestFit="1" customWidth="1"/>
    <col min="4" max="4" width="24.6328125" customWidth="1"/>
    <col min="5" max="5" width="22.36328125" customWidth="1"/>
    <col min="6" max="6" width="22.54296875" customWidth="1"/>
    <col min="7" max="7" width="23.6328125" customWidth="1"/>
    <col min="8" max="8" width="20" customWidth="1"/>
  </cols>
  <sheetData>
    <row r="1" spans="1:8" ht="26" customHeight="1" x14ac:dyDescent="1.2">
      <c r="A1" s="370" t="s">
        <v>85</v>
      </c>
      <c r="B1" s="363"/>
      <c r="C1" s="363"/>
      <c r="D1" s="363"/>
      <c r="E1" s="363"/>
      <c r="F1" s="363"/>
      <c r="G1" s="363"/>
      <c r="H1" s="363"/>
    </row>
    <row r="3" spans="1:8" ht="15.5" thickBot="1" x14ac:dyDescent="0.9">
      <c r="A3" s="91" t="s">
        <v>86</v>
      </c>
    </row>
    <row r="4" spans="1:8" ht="15.5" thickBot="1" x14ac:dyDescent="0.9">
      <c r="A4" s="199" t="s">
        <v>69</v>
      </c>
      <c r="B4" s="200" t="s">
        <v>87</v>
      </c>
      <c r="C4" s="201" t="s">
        <v>3</v>
      </c>
      <c r="E4" s="147" t="s">
        <v>4</v>
      </c>
    </row>
    <row r="5" spans="1:8" x14ac:dyDescent="0.75">
      <c r="A5" s="83" t="s">
        <v>88</v>
      </c>
      <c r="B5" s="198">
        <v>6</v>
      </c>
      <c r="C5" s="3" t="s">
        <v>89</v>
      </c>
      <c r="E5" s="4" t="s">
        <v>6</v>
      </c>
    </row>
    <row r="6" spans="1:8" ht="15.5" thickBot="1" x14ac:dyDescent="0.9">
      <c r="A6" s="83" t="s">
        <v>90</v>
      </c>
      <c r="B6" s="214">
        <f>+B7*7</f>
        <v>602</v>
      </c>
      <c r="C6" s="3" t="s">
        <v>91</v>
      </c>
      <c r="E6" s="8" t="s">
        <v>7</v>
      </c>
    </row>
    <row r="7" spans="1:8" x14ac:dyDescent="0.75">
      <c r="A7" s="83" t="s">
        <v>92</v>
      </c>
      <c r="B7" s="14">
        <v>86</v>
      </c>
      <c r="C7" s="3" t="s">
        <v>93</v>
      </c>
    </row>
    <row r="8" spans="1:8" x14ac:dyDescent="0.75">
      <c r="A8" s="83" t="s">
        <v>94</v>
      </c>
      <c r="B8" s="14">
        <v>5</v>
      </c>
      <c r="C8" s="3" t="s">
        <v>578</v>
      </c>
    </row>
    <row r="9" spans="1:8" ht="15.5" thickBot="1" x14ac:dyDescent="0.9">
      <c r="A9" s="108" t="s">
        <v>95</v>
      </c>
      <c r="B9" s="70">
        <f>B7*B8</f>
        <v>430</v>
      </c>
      <c r="C9" s="7" t="s">
        <v>582</v>
      </c>
    </row>
    <row r="11" spans="1:8" ht="15" customHeight="1" thickBot="1" x14ac:dyDescent="0.9">
      <c r="A11" s="91" t="s">
        <v>68</v>
      </c>
    </row>
    <row r="12" spans="1:8" ht="15" customHeight="1" x14ac:dyDescent="0.95">
      <c r="A12" s="202" t="s">
        <v>69</v>
      </c>
      <c r="B12" s="203" t="s">
        <v>487</v>
      </c>
      <c r="C12" s="203" t="s">
        <v>488</v>
      </c>
      <c r="D12" s="203" t="s">
        <v>489</v>
      </c>
      <c r="E12" s="203" t="s">
        <v>490</v>
      </c>
      <c r="F12" s="203" t="s">
        <v>491</v>
      </c>
      <c r="G12" s="203" t="s">
        <v>492</v>
      </c>
      <c r="H12" s="204" t="s">
        <v>493</v>
      </c>
    </row>
    <row r="13" spans="1:8" ht="15" customHeight="1" thickBot="1" x14ac:dyDescent="0.9">
      <c r="A13" s="109" t="s">
        <v>485</v>
      </c>
      <c r="B13" s="110">
        <v>79.3</v>
      </c>
      <c r="C13" s="110">
        <v>162</v>
      </c>
      <c r="D13" s="110">
        <v>96</v>
      </c>
      <c r="E13" s="111">
        <v>0.21</v>
      </c>
      <c r="F13" s="111">
        <v>0.93</v>
      </c>
      <c r="G13" s="110">
        <v>0.3</v>
      </c>
      <c r="H13" s="112">
        <v>0.94</v>
      </c>
    </row>
    <row r="15" spans="1:8" ht="15" customHeight="1" thickBot="1" x14ac:dyDescent="0.9">
      <c r="A15" s="91" t="s">
        <v>96</v>
      </c>
    </row>
    <row r="16" spans="1:8" ht="30.75" customHeight="1" thickBot="1" x14ac:dyDescent="0.9">
      <c r="A16" s="205" t="s">
        <v>97</v>
      </c>
      <c r="B16" s="206" t="s">
        <v>98</v>
      </c>
      <c r="C16" s="207" t="s">
        <v>99</v>
      </c>
      <c r="D16" s="206" t="s">
        <v>100</v>
      </c>
      <c r="E16" s="213" t="s">
        <v>486</v>
      </c>
    </row>
    <row r="17" spans="1:5" x14ac:dyDescent="0.75">
      <c r="A17" s="75" t="s">
        <v>0</v>
      </c>
      <c r="B17" s="113" t="s">
        <v>101</v>
      </c>
      <c r="C17" s="15">
        <v>7.1</v>
      </c>
      <c r="D17" s="15">
        <v>28</v>
      </c>
      <c r="E17" s="106">
        <f>+D17/7</f>
        <v>4</v>
      </c>
    </row>
    <row r="18" spans="1:5" x14ac:dyDescent="0.75">
      <c r="A18" s="75" t="s">
        <v>102</v>
      </c>
      <c r="B18" s="113" t="s">
        <v>103</v>
      </c>
      <c r="C18" s="15">
        <v>28.6</v>
      </c>
      <c r="D18" s="15">
        <v>35</v>
      </c>
      <c r="E18" s="106">
        <f t="shared" ref="E18:E21" si="0">+D18/7</f>
        <v>5</v>
      </c>
    </row>
    <row r="19" spans="1:5" x14ac:dyDescent="0.75">
      <c r="A19" s="75" t="s">
        <v>104</v>
      </c>
      <c r="B19" s="113" t="s">
        <v>101</v>
      </c>
      <c r="C19" s="15">
        <v>2.5</v>
      </c>
      <c r="D19" s="15">
        <v>28</v>
      </c>
      <c r="E19" s="106">
        <f t="shared" si="0"/>
        <v>4</v>
      </c>
    </row>
    <row r="20" spans="1:5" x14ac:dyDescent="0.75">
      <c r="A20" s="75" t="s">
        <v>105</v>
      </c>
      <c r="B20" s="113" t="s">
        <v>103</v>
      </c>
      <c r="C20" s="15">
        <v>373</v>
      </c>
      <c r="D20" s="15">
        <v>35</v>
      </c>
      <c r="E20" s="106">
        <f t="shared" si="0"/>
        <v>5</v>
      </c>
    </row>
    <row r="21" spans="1:5" ht="15" customHeight="1" thickBot="1" x14ac:dyDescent="0.9">
      <c r="A21" s="208" t="s">
        <v>106</v>
      </c>
      <c r="B21" s="114" t="s">
        <v>103</v>
      </c>
      <c r="C21" s="70">
        <v>300</v>
      </c>
      <c r="D21" s="70">
        <v>35</v>
      </c>
      <c r="E21" s="74">
        <f t="shared" si="0"/>
        <v>5</v>
      </c>
    </row>
  </sheetData>
  <mergeCells count="1">
    <mergeCell ref="A1:H1"/>
  </mergeCells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66"/>
  <sheetViews>
    <sheetView topLeftCell="A40" zoomScale="80" zoomScaleNormal="80" workbookViewId="0">
      <selection activeCell="B56" sqref="B56"/>
    </sheetView>
  </sheetViews>
  <sheetFormatPr defaultRowHeight="14.75" x14ac:dyDescent="0.75"/>
  <cols>
    <col min="1" max="1" width="44.36328125" customWidth="1"/>
    <col min="2" max="2" width="20.26953125" bestFit="1" customWidth="1"/>
    <col min="3" max="3" width="32" customWidth="1"/>
    <col min="4" max="4" width="31.7265625" customWidth="1"/>
    <col min="5" max="5" width="31.54296875" customWidth="1"/>
    <col min="6" max="6" width="35.81640625" customWidth="1"/>
    <col min="7" max="7" width="24.1796875" bestFit="1" customWidth="1"/>
    <col min="8" max="8" width="18.81640625" bestFit="1" customWidth="1"/>
    <col min="9" max="9" width="16" customWidth="1"/>
    <col min="15" max="15" width="17.6328125" bestFit="1" customWidth="1"/>
  </cols>
  <sheetData>
    <row r="1" spans="1:8" ht="26" customHeight="1" x14ac:dyDescent="1.2">
      <c r="A1" s="370" t="s">
        <v>107</v>
      </c>
      <c r="B1" s="363"/>
      <c r="C1" s="363"/>
      <c r="D1" s="363"/>
      <c r="E1" s="363"/>
      <c r="F1" s="363"/>
      <c r="G1" s="363"/>
      <c r="H1" s="363"/>
    </row>
    <row r="2" spans="1:8" ht="15" customHeight="1" thickBot="1" x14ac:dyDescent="0.9">
      <c r="A2" s="100"/>
      <c r="B2" s="100"/>
      <c r="C2" s="100"/>
      <c r="D2" s="100"/>
      <c r="E2" s="100"/>
    </row>
    <row r="3" spans="1:8" ht="15" customHeight="1" thickBot="1" x14ac:dyDescent="0.9">
      <c r="A3" s="101" t="s">
        <v>108</v>
      </c>
      <c r="B3" s="102"/>
      <c r="C3" s="102"/>
      <c r="D3" s="102"/>
      <c r="E3" s="103"/>
    </row>
    <row r="4" spans="1:8" x14ac:dyDescent="0.75">
      <c r="A4" s="100" t="s">
        <v>575</v>
      </c>
      <c r="B4" s="100"/>
      <c r="C4" s="100"/>
      <c r="D4" s="100"/>
      <c r="E4" s="100"/>
    </row>
    <row r="5" spans="1:8" x14ac:dyDescent="0.75">
      <c r="A5" s="100" t="s">
        <v>109</v>
      </c>
      <c r="B5" s="100"/>
      <c r="C5" s="100"/>
      <c r="D5" s="100"/>
      <c r="E5" s="100"/>
    </row>
    <row r="6" spans="1:8" x14ac:dyDescent="0.75">
      <c r="A6" s="100" t="s">
        <v>110</v>
      </c>
      <c r="B6" s="100"/>
      <c r="C6" s="100"/>
      <c r="D6" s="100"/>
      <c r="E6" s="100"/>
    </row>
    <row r="7" spans="1:8" x14ac:dyDescent="0.75">
      <c r="A7" s="100" t="s">
        <v>576</v>
      </c>
      <c r="B7" s="100"/>
      <c r="C7" s="100"/>
      <c r="D7" s="100"/>
      <c r="E7" s="100"/>
    </row>
    <row r="8" spans="1:8" x14ac:dyDescent="0.75">
      <c r="A8" s="100" t="s">
        <v>577</v>
      </c>
      <c r="B8" s="100"/>
      <c r="C8" s="100"/>
      <c r="D8" s="100"/>
      <c r="E8" s="100"/>
    </row>
    <row r="9" spans="1:8" x14ac:dyDescent="0.75">
      <c r="A9" s="100" t="s">
        <v>111</v>
      </c>
      <c r="B9" s="100"/>
      <c r="C9" s="100"/>
      <c r="D9" s="100"/>
      <c r="E9" s="100"/>
    </row>
    <row r="10" spans="1:8" x14ac:dyDescent="0.75">
      <c r="B10" s="100"/>
      <c r="C10" s="100"/>
      <c r="D10" s="100"/>
      <c r="E10" s="100"/>
    </row>
    <row r="11" spans="1:8" ht="15" customHeight="1" thickBot="1" x14ac:dyDescent="0.9">
      <c r="A11" s="100"/>
      <c r="B11" s="100"/>
      <c r="C11" s="100"/>
      <c r="D11" s="100"/>
      <c r="E11" s="100"/>
    </row>
    <row r="12" spans="1:8" ht="15" customHeight="1" thickBot="1" x14ac:dyDescent="0.9">
      <c r="A12" s="316" t="s">
        <v>112</v>
      </c>
      <c r="B12" s="317" t="s">
        <v>87</v>
      </c>
      <c r="C12" s="318" t="s">
        <v>113</v>
      </c>
      <c r="D12" s="319" t="s">
        <v>114</v>
      </c>
      <c r="E12" s="104"/>
      <c r="F12" s="95" t="s">
        <v>4</v>
      </c>
    </row>
    <row r="13" spans="1:8" x14ac:dyDescent="0.75">
      <c r="A13" s="100" t="s">
        <v>115</v>
      </c>
      <c r="B13" s="14">
        <f>Assumptions!B8</f>
        <v>5</v>
      </c>
      <c r="C13" s="100" t="s">
        <v>578</v>
      </c>
      <c r="D13" s="100"/>
      <c r="F13" s="4" t="s">
        <v>6</v>
      </c>
    </row>
    <row r="14" spans="1:8" ht="15" customHeight="1" thickBot="1" x14ac:dyDescent="0.9">
      <c r="A14" s="100" t="s">
        <v>116</v>
      </c>
      <c r="B14" s="209">
        <f>ROUNDUP(+$B$13*ROUNDUP(600/7,0)/(28*0.02),0)</f>
        <v>768</v>
      </c>
      <c r="C14" s="100" t="s">
        <v>117</v>
      </c>
      <c r="D14" s="100" t="s">
        <v>126</v>
      </c>
      <c r="E14" s="100"/>
      <c r="F14" s="8" t="s">
        <v>7</v>
      </c>
    </row>
    <row r="15" spans="1:8" x14ac:dyDescent="0.75">
      <c r="A15" t="s">
        <v>118</v>
      </c>
      <c r="B15" s="15">
        <v>87</v>
      </c>
      <c r="C15" t="s">
        <v>119</v>
      </c>
      <c r="D15" t="s">
        <v>120</v>
      </c>
    </row>
    <row r="16" spans="1:8" ht="16.75" x14ac:dyDescent="0.75">
      <c r="A16" t="s">
        <v>121</v>
      </c>
      <c r="B16" s="15">
        <v>30</v>
      </c>
      <c r="C16" t="s">
        <v>494</v>
      </c>
      <c r="D16" t="s">
        <v>120</v>
      </c>
    </row>
    <row r="17" spans="1:7" x14ac:dyDescent="0.75">
      <c r="A17" t="s">
        <v>122</v>
      </c>
      <c r="B17" s="15">
        <v>52</v>
      </c>
      <c r="C17" t="s">
        <v>119</v>
      </c>
      <c r="D17" t="s">
        <v>120</v>
      </c>
    </row>
    <row r="18" spans="1:7" x14ac:dyDescent="0.75">
      <c r="A18" t="s">
        <v>123</v>
      </c>
      <c r="B18" s="15">
        <v>35</v>
      </c>
      <c r="C18" t="s">
        <v>119</v>
      </c>
      <c r="D18" t="s">
        <v>120</v>
      </c>
    </row>
    <row r="19" spans="1:7" ht="16.75" x14ac:dyDescent="0.75">
      <c r="A19" t="s">
        <v>124</v>
      </c>
      <c r="B19" s="15">
        <v>1.6</v>
      </c>
      <c r="C19" t="s">
        <v>494</v>
      </c>
      <c r="D19" t="s">
        <v>120</v>
      </c>
    </row>
    <row r="20" spans="1:7" x14ac:dyDescent="0.75">
      <c r="A20" t="s">
        <v>125</v>
      </c>
      <c r="B20" s="22">
        <v>32.76</v>
      </c>
      <c r="C20" t="s">
        <v>119</v>
      </c>
      <c r="D20" t="s">
        <v>126</v>
      </c>
    </row>
    <row r="21" spans="1:7" ht="16.75" x14ac:dyDescent="0.75">
      <c r="A21" t="s">
        <v>127</v>
      </c>
      <c r="B21" s="15">
        <v>9</v>
      </c>
      <c r="C21" t="s">
        <v>494</v>
      </c>
      <c r="D21" t="s">
        <v>128</v>
      </c>
    </row>
    <row r="22" spans="1:7" ht="16.75" x14ac:dyDescent="0.75">
      <c r="A22" t="s">
        <v>129</v>
      </c>
      <c r="B22" s="13">
        <f>B16*B14*0.0254^3</f>
        <v>0.37755795455999996</v>
      </c>
      <c r="C22" t="s">
        <v>495</v>
      </c>
      <c r="D22" t="s">
        <v>126</v>
      </c>
    </row>
    <row r="23" spans="1:7" ht="15.5" thickBot="1" x14ac:dyDescent="0.9"/>
    <row r="24" spans="1:7" ht="15" customHeight="1" x14ac:dyDescent="0.75">
      <c r="A24" s="276" t="s">
        <v>29</v>
      </c>
      <c r="B24" s="267"/>
      <c r="C24" s="321"/>
      <c r="D24" s="267"/>
      <c r="E24" s="267"/>
      <c r="F24" s="267"/>
      <c r="G24" s="268"/>
    </row>
    <row r="25" spans="1:7" s="15" customFormat="1" ht="17" customHeight="1" thickBot="1" x14ac:dyDescent="1.1000000000000001">
      <c r="A25" s="277" t="s">
        <v>30</v>
      </c>
      <c r="B25" s="285" t="s">
        <v>31</v>
      </c>
      <c r="C25" s="285" t="s">
        <v>32</v>
      </c>
      <c r="D25" s="285" t="s">
        <v>33</v>
      </c>
      <c r="E25" s="286" t="s">
        <v>496</v>
      </c>
      <c r="F25" s="286" t="s">
        <v>498</v>
      </c>
      <c r="G25" s="306" t="s">
        <v>497</v>
      </c>
    </row>
    <row r="26" spans="1:7" s="15" customFormat="1" ht="15" customHeight="1" thickBot="1" x14ac:dyDescent="0.9">
      <c r="A26" s="320" t="s">
        <v>131</v>
      </c>
      <c r="B26" s="70" t="s">
        <v>547</v>
      </c>
      <c r="C26" s="70">
        <f>+ROUNDUP(B22/0.614,0)</f>
        <v>1</v>
      </c>
      <c r="D26" s="70">
        <f>(321+91)*C26</f>
        <v>412</v>
      </c>
      <c r="E26" s="70">
        <f>2*C26</f>
        <v>2</v>
      </c>
      <c r="F26" s="70">
        <f>0.205*C26</f>
        <v>0.20499999999999999</v>
      </c>
      <c r="G26" s="210">
        <v>0</v>
      </c>
    </row>
    <row r="27" spans="1:7" ht="15.5" thickBot="1" x14ac:dyDescent="0.9"/>
    <row r="28" spans="1:7" ht="15" customHeight="1" x14ac:dyDescent="0.75">
      <c r="A28" s="303" t="s">
        <v>539</v>
      </c>
      <c r="B28" s="267"/>
      <c r="C28" s="267"/>
      <c r="D28" s="267"/>
      <c r="E28" s="321"/>
      <c r="F28" s="267"/>
      <c r="G28" s="268"/>
    </row>
    <row r="29" spans="1:7" ht="17" customHeight="1" thickBot="1" x14ac:dyDescent="1.1000000000000001">
      <c r="A29" s="284" t="s">
        <v>30</v>
      </c>
      <c r="B29" s="278" t="s">
        <v>80</v>
      </c>
      <c r="C29" s="285" t="s">
        <v>32</v>
      </c>
      <c r="D29" s="285" t="s">
        <v>33</v>
      </c>
      <c r="E29" s="286" t="s">
        <v>496</v>
      </c>
      <c r="F29" s="286" t="s">
        <v>497</v>
      </c>
      <c r="G29" s="306" t="s">
        <v>498</v>
      </c>
    </row>
    <row r="30" spans="1:7" ht="15.5" thickBot="1" x14ac:dyDescent="0.9">
      <c r="A30" s="393" t="s">
        <v>132</v>
      </c>
      <c r="B30" s="15" t="s">
        <v>42</v>
      </c>
      <c r="C30" s="15">
        <f>B14</f>
        <v>768</v>
      </c>
      <c r="D30" s="13">
        <f>(B15*B14)/1000</f>
        <v>66.816000000000003</v>
      </c>
      <c r="E30" s="322">
        <f>+C30*B16*0.000016387</f>
        <v>0.37755648000000003</v>
      </c>
      <c r="F30" s="15">
        <v>0</v>
      </c>
      <c r="G30" s="106">
        <v>0</v>
      </c>
    </row>
    <row r="31" spans="1:7" x14ac:dyDescent="0.75">
      <c r="A31" s="368"/>
      <c r="B31" s="15" t="s">
        <v>47</v>
      </c>
      <c r="C31" s="15">
        <v>0</v>
      </c>
      <c r="D31" s="13">
        <v>0</v>
      </c>
      <c r="E31" s="13">
        <v>0</v>
      </c>
      <c r="F31" s="15">
        <v>0</v>
      </c>
      <c r="G31" s="106">
        <v>0</v>
      </c>
    </row>
    <row r="32" spans="1:7" x14ac:dyDescent="0.75">
      <c r="A32" s="368"/>
      <c r="B32" s="15" t="s">
        <v>133</v>
      </c>
      <c r="C32" s="15">
        <f>+B14</f>
        <v>768</v>
      </c>
      <c r="D32" s="13">
        <f>+C32*B18/1000</f>
        <v>26.88</v>
      </c>
      <c r="E32" s="13">
        <f>(B19*0.0254^3)*C32</f>
        <v>2.0136424243200002E-2</v>
      </c>
      <c r="F32" s="49"/>
      <c r="G32" s="61"/>
    </row>
    <row r="33" spans="1:8" ht="15" customHeight="1" thickBot="1" x14ac:dyDescent="0.9">
      <c r="A33" s="369"/>
      <c r="B33" s="70" t="s">
        <v>134</v>
      </c>
      <c r="C33" s="70">
        <f>+B14</f>
        <v>768</v>
      </c>
      <c r="D33" s="23">
        <f>(B17*C33)/1000</f>
        <v>39.936</v>
      </c>
      <c r="E33" s="23">
        <f>(B21*0.0254^3)*C33</f>
        <v>0.11326738636799999</v>
      </c>
      <c r="F33" s="55"/>
      <c r="G33" s="107"/>
    </row>
    <row r="34" spans="1:8" ht="15.5" thickBot="1" x14ac:dyDescent="0.9">
      <c r="A34" s="99"/>
      <c r="B34" s="99"/>
      <c r="C34" s="99"/>
      <c r="D34" s="99"/>
      <c r="E34" s="15"/>
      <c r="F34" s="99"/>
    </row>
    <row r="35" spans="1:8" ht="15" customHeight="1" x14ac:dyDescent="0.75">
      <c r="A35" s="303" t="s">
        <v>525</v>
      </c>
      <c r="B35" s="267"/>
      <c r="C35" s="267"/>
      <c r="D35" s="267"/>
      <c r="E35" s="267"/>
      <c r="F35" s="268"/>
    </row>
    <row r="36" spans="1:8" ht="15" customHeight="1" thickBot="1" x14ac:dyDescent="0.9">
      <c r="A36" s="323" t="s">
        <v>59</v>
      </c>
      <c r="B36" s="285" t="s">
        <v>60</v>
      </c>
      <c r="C36" s="286" t="s">
        <v>482</v>
      </c>
      <c r="D36" s="286" t="s">
        <v>483</v>
      </c>
      <c r="E36" s="306" t="s">
        <v>484</v>
      </c>
      <c r="F36" s="324" t="s">
        <v>515</v>
      </c>
    </row>
    <row r="37" spans="1:8" x14ac:dyDescent="0.75">
      <c r="A37" s="71" t="s">
        <v>33</v>
      </c>
      <c r="B37" s="105">
        <f>D26</f>
        <v>412</v>
      </c>
      <c r="C37" s="140">
        <f>+D30</f>
        <v>66.816000000000003</v>
      </c>
      <c r="D37" s="49"/>
      <c r="E37" s="105">
        <v>0</v>
      </c>
      <c r="F37" s="215"/>
    </row>
    <row r="38" spans="1:8" ht="16.75" x14ac:dyDescent="0.75">
      <c r="A38" s="117" t="s">
        <v>499</v>
      </c>
      <c r="B38" s="15">
        <f>E26</f>
        <v>2</v>
      </c>
      <c r="C38" s="22">
        <f>E30</f>
        <v>0.37755648000000003</v>
      </c>
      <c r="D38" s="141"/>
      <c r="E38" s="15">
        <v>0</v>
      </c>
      <c r="F38" s="54"/>
    </row>
    <row r="39" spans="1:8" ht="16.75" x14ac:dyDescent="0.95">
      <c r="A39" s="117" t="s">
        <v>500</v>
      </c>
      <c r="B39" s="15">
        <f>F26</f>
        <v>0.20499999999999999</v>
      </c>
      <c r="C39" s="49"/>
      <c r="D39" s="141"/>
      <c r="E39" s="15">
        <v>0</v>
      </c>
      <c r="F39" s="54"/>
    </row>
    <row r="40" spans="1:8" ht="16.75" x14ac:dyDescent="0.95">
      <c r="A40" s="117" t="s">
        <v>501</v>
      </c>
      <c r="B40" s="15">
        <f>F26</f>
        <v>0.20499999999999999</v>
      </c>
      <c r="C40" s="49"/>
      <c r="D40" s="141"/>
      <c r="E40" s="49"/>
      <c r="F40" s="54"/>
    </row>
    <row r="41" spans="1:8" x14ac:dyDescent="0.75">
      <c r="A41" s="118" t="s">
        <v>65</v>
      </c>
      <c r="B41" s="49"/>
      <c r="C41" s="15">
        <v>0</v>
      </c>
      <c r="D41" s="141"/>
      <c r="E41" s="15">
        <v>0</v>
      </c>
      <c r="F41" s="54"/>
    </row>
    <row r="42" spans="1:8" x14ac:dyDescent="0.75">
      <c r="A42" s="117" t="s">
        <v>64</v>
      </c>
      <c r="B42" s="22">
        <f>G26</f>
        <v>0</v>
      </c>
      <c r="C42" s="49"/>
      <c r="D42" s="141"/>
      <c r="E42" s="49"/>
      <c r="F42" s="106">
        <v>0</v>
      </c>
    </row>
    <row r="43" spans="1:8" x14ac:dyDescent="0.75">
      <c r="A43" s="117" t="s">
        <v>66</v>
      </c>
      <c r="B43" s="15">
        <v>0</v>
      </c>
      <c r="C43" s="15">
        <v>0</v>
      </c>
      <c r="D43" s="141"/>
      <c r="E43" s="15">
        <v>0</v>
      </c>
      <c r="F43" s="54"/>
    </row>
    <row r="44" spans="1:8" ht="15" customHeight="1" thickBot="1" x14ac:dyDescent="0.9">
      <c r="A44" s="73" t="s">
        <v>67</v>
      </c>
      <c r="B44" s="55"/>
      <c r="C44" s="55"/>
      <c r="D44" s="142">
        <f>SUM(D32:D33)</f>
        <v>66.816000000000003</v>
      </c>
      <c r="E44" s="55"/>
      <c r="F44" s="216"/>
    </row>
    <row r="45" spans="1:8" ht="15.5" thickBot="1" x14ac:dyDescent="0.9">
      <c r="A45" s="99"/>
      <c r="B45" s="99"/>
      <c r="C45" s="99"/>
      <c r="D45" s="99"/>
      <c r="E45" s="99"/>
      <c r="F45" s="99"/>
    </row>
    <row r="46" spans="1:8" ht="15" customHeight="1" x14ac:dyDescent="0.75">
      <c r="A46" s="325" t="s">
        <v>68</v>
      </c>
      <c r="B46" s="326"/>
      <c r="C46" s="326"/>
      <c r="D46" s="326"/>
      <c r="E46" s="326"/>
      <c r="F46" s="326"/>
      <c r="G46" s="267"/>
      <c r="H46" s="268"/>
    </row>
    <row r="47" spans="1:8" ht="18" customHeight="1" thickBot="1" x14ac:dyDescent="1.1000000000000001">
      <c r="A47" s="327" t="s">
        <v>69</v>
      </c>
      <c r="B47" s="328" t="s">
        <v>503</v>
      </c>
      <c r="C47" s="329" t="s">
        <v>504</v>
      </c>
      <c r="D47" s="329" t="s">
        <v>505</v>
      </c>
      <c r="E47" s="329" t="s">
        <v>506</v>
      </c>
      <c r="F47" s="330" t="s">
        <v>507</v>
      </c>
      <c r="G47" s="329" t="s">
        <v>508</v>
      </c>
      <c r="H47" s="331" t="s">
        <v>76</v>
      </c>
    </row>
    <row r="48" spans="1:8" ht="15" customHeight="1" thickBot="1" x14ac:dyDescent="0.9">
      <c r="A48" s="69" t="s">
        <v>485</v>
      </c>
      <c r="B48" s="70">
        <f>Assumptions!B13</f>
        <v>79.3</v>
      </c>
      <c r="C48" s="70">
        <f>Assumptions!C13</f>
        <v>162</v>
      </c>
      <c r="D48" s="70">
        <f>Assumptions!D13</f>
        <v>96</v>
      </c>
      <c r="E48" s="70">
        <f>Assumptions!E13</f>
        <v>0.21</v>
      </c>
      <c r="F48" s="70">
        <f>Assumptions!F13</f>
        <v>0.93</v>
      </c>
      <c r="G48" s="70">
        <f>Assumptions!G13</f>
        <v>0.3</v>
      </c>
      <c r="H48" s="74">
        <f>Assumptions!H13</f>
        <v>0.94</v>
      </c>
    </row>
    <row r="49" spans="1:18" ht="15" customHeight="1" thickBot="1" x14ac:dyDescent="0.9"/>
    <row r="50" spans="1:18" ht="17" customHeight="1" thickBot="1" x14ac:dyDescent="1.1000000000000001">
      <c r="A50" s="292" t="s">
        <v>80</v>
      </c>
      <c r="B50" s="293" t="s">
        <v>502</v>
      </c>
    </row>
    <row r="51" spans="1:18" x14ac:dyDescent="0.75">
      <c r="A51" s="75" t="s">
        <v>60</v>
      </c>
      <c r="B51" s="235">
        <f>B37+(B38*B48)+(B39*C48)+(B40*D48)+(B42*H48)</f>
        <v>623.49</v>
      </c>
    </row>
    <row r="52" spans="1:18" x14ac:dyDescent="0.75">
      <c r="A52" s="75" t="s">
        <v>516</v>
      </c>
      <c r="B52" s="235">
        <f>+F42</f>
        <v>0</v>
      </c>
    </row>
    <row r="53" spans="1:18" x14ac:dyDescent="0.75">
      <c r="A53" s="75" t="s">
        <v>82</v>
      </c>
      <c r="B53" s="236">
        <f>C37+(C38*B48)+(C41*E48)</f>
        <v>96.756228864000008</v>
      </c>
    </row>
    <row r="54" spans="1:18" x14ac:dyDescent="0.75">
      <c r="A54" s="75" t="s">
        <v>135</v>
      </c>
      <c r="B54" s="236">
        <f>(D44*F48)</f>
        <v>62.138880000000007</v>
      </c>
    </row>
    <row r="55" spans="1:18" x14ac:dyDescent="0.75">
      <c r="A55" s="76" t="s">
        <v>84</v>
      </c>
      <c r="B55" s="237">
        <f>0</f>
        <v>0</v>
      </c>
    </row>
    <row r="56" spans="1:18" ht="17" customHeight="1" thickBot="1" x14ac:dyDescent="1.1000000000000001">
      <c r="A56" s="77" t="s">
        <v>528</v>
      </c>
      <c r="B56" s="238">
        <f>B51+B52+B53+B54-B55</f>
        <v>782.38510886400002</v>
      </c>
    </row>
    <row r="58" spans="1:18" x14ac:dyDescent="0.75">
      <c r="A58" s="362"/>
      <c r="B58" s="363"/>
      <c r="C58" s="363"/>
      <c r="D58" s="363"/>
      <c r="E58" s="363"/>
      <c r="F58" s="363"/>
      <c r="G58" s="363"/>
      <c r="H58" s="363"/>
    </row>
    <row r="59" spans="1:18" ht="15" customHeight="1" thickBot="1" x14ac:dyDescent="0.9"/>
    <row r="60" spans="1:18" x14ac:dyDescent="0.75">
      <c r="A60" s="312" t="s">
        <v>546</v>
      </c>
      <c r="B60" s="313"/>
      <c r="C60" s="313"/>
      <c r="D60" s="313"/>
      <c r="E60" s="313"/>
      <c r="F60" s="313"/>
      <c r="G60" s="313"/>
      <c r="H60" s="313"/>
      <c r="I60" s="313"/>
      <c r="J60" s="313"/>
      <c r="K60" s="313"/>
      <c r="L60" s="313"/>
      <c r="M60" s="313"/>
      <c r="N60" s="313"/>
      <c r="O60" s="313"/>
      <c r="P60" s="313"/>
      <c r="Q60" s="313"/>
      <c r="R60" s="295"/>
    </row>
    <row r="61" spans="1:18" x14ac:dyDescent="0.75">
      <c r="A61" s="314"/>
      <c r="B61" s="389" t="s">
        <v>344</v>
      </c>
      <c r="C61" s="389"/>
      <c r="D61" s="389"/>
      <c r="E61" s="390"/>
      <c r="F61" s="391" t="s">
        <v>543</v>
      </c>
      <c r="G61" s="389"/>
      <c r="H61" s="389"/>
      <c r="I61" s="389"/>
      <c r="J61" s="391" t="s">
        <v>544</v>
      </c>
      <c r="K61" s="389"/>
      <c r="L61" s="389"/>
      <c r="M61" s="389"/>
      <c r="N61" s="391" t="s">
        <v>545</v>
      </c>
      <c r="O61" s="389"/>
      <c r="P61" s="389"/>
      <c r="Q61" s="389"/>
      <c r="R61" s="392"/>
    </row>
    <row r="62" spans="1:18" ht="15.5" thickBot="1" x14ac:dyDescent="0.9">
      <c r="A62" s="315"/>
      <c r="B62" s="246" t="s">
        <v>60</v>
      </c>
      <c r="C62" s="243" t="s">
        <v>42</v>
      </c>
      <c r="D62" s="243" t="s">
        <v>47</v>
      </c>
      <c r="E62" s="243" t="s">
        <v>56</v>
      </c>
      <c r="F62" s="242" t="s">
        <v>60</v>
      </c>
      <c r="G62" s="243" t="s">
        <v>42</v>
      </c>
      <c r="H62" s="243" t="s">
        <v>47</v>
      </c>
      <c r="I62" s="243" t="s">
        <v>56</v>
      </c>
      <c r="J62" s="242" t="s">
        <v>60</v>
      </c>
      <c r="K62" s="243" t="s">
        <v>42</v>
      </c>
      <c r="L62" s="243" t="s">
        <v>47</v>
      </c>
      <c r="M62" s="243" t="s">
        <v>56</v>
      </c>
      <c r="N62" s="242" t="s">
        <v>60</v>
      </c>
      <c r="O62" s="246" t="s">
        <v>516</v>
      </c>
      <c r="P62" s="243" t="s">
        <v>42</v>
      </c>
      <c r="Q62" s="243" t="s">
        <v>47</v>
      </c>
      <c r="R62" s="244" t="s">
        <v>56</v>
      </c>
    </row>
    <row r="63" spans="1:18" x14ac:dyDescent="0.75">
      <c r="A63" s="71" t="s">
        <v>547</v>
      </c>
      <c r="B63">
        <f>D26</f>
        <v>412</v>
      </c>
      <c r="E63" s="338"/>
      <c r="F63">
        <f>E26</f>
        <v>2</v>
      </c>
      <c r="I63" s="338"/>
      <c r="J63">
        <f>F26</f>
        <v>0.20499999999999999</v>
      </c>
      <c r="M63" s="338"/>
      <c r="R63" s="3"/>
    </row>
    <row r="64" spans="1:18" x14ac:dyDescent="0.75">
      <c r="A64" s="117" t="s">
        <v>572</v>
      </c>
      <c r="C64" s="360">
        <f>D30</f>
        <v>66.816000000000003</v>
      </c>
      <c r="E64" s="227"/>
      <c r="G64" s="360">
        <f>E30</f>
        <v>0.37755648000000003</v>
      </c>
      <c r="I64" s="227"/>
      <c r="M64" s="227"/>
      <c r="R64" s="3"/>
    </row>
    <row r="65" spans="1:18" x14ac:dyDescent="0.75">
      <c r="A65" s="117" t="s">
        <v>573</v>
      </c>
      <c r="B65" s="360"/>
      <c r="E65" s="359">
        <f>D32</f>
        <v>26.88</v>
      </c>
      <c r="I65" s="359">
        <f>E32</f>
        <v>2.0136424243200002E-2</v>
      </c>
      <c r="M65" s="227"/>
      <c r="R65" s="3"/>
    </row>
    <row r="66" spans="1:18" ht="15.5" thickBot="1" x14ac:dyDescent="0.9">
      <c r="A66" s="73" t="s">
        <v>574</v>
      </c>
      <c r="B66" s="48"/>
      <c r="C66" s="48"/>
      <c r="D66" s="48"/>
      <c r="E66" s="361">
        <f>D33</f>
        <v>39.936</v>
      </c>
      <c r="F66" s="48"/>
      <c r="G66" s="48"/>
      <c r="H66" s="48"/>
      <c r="I66" s="361">
        <f>E33</f>
        <v>0.11326738636799999</v>
      </c>
      <c r="J66" s="48"/>
      <c r="K66" s="48"/>
      <c r="L66" s="48"/>
      <c r="M66" s="347"/>
      <c r="N66" s="48"/>
      <c r="O66" s="48"/>
      <c r="P66" s="48"/>
      <c r="Q66" s="48"/>
      <c r="R66" s="7"/>
    </row>
  </sheetData>
  <mergeCells count="7">
    <mergeCell ref="J61:M61"/>
    <mergeCell ref="N61:R61"/>
    <mergeCell ref="A30:A33"/>
    <mergeCell ref="A1:H1"/>
    <mergeCell ref="A58:H58"/>
    <mergeCell ref="B61:E61"/>
    <mergeCell ref="F61:I61"/>
  </mergeCells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102"/>
  <sheetViews>
    <sheetView zoomScale="85" zoomScaleNormal="85" workbookViewId="0">
      <selection activeCell="B5" sqref="B5"/>
    </sheetView>
  </sheetViews>
  <sheetFormatPr defaultRowHeight="14.75" x14ac:dyDescent="0.75"/>
  <cols>
    <col min="1" max="1" width="41.08984375" customWidth="1"/>
    <col min="2" max="2" width="29.90625" bestFit="1" customWidth="1"/>
    <col min="3" max="3" width="25.36328125" bestFit="1" customWidth="1"/>
    <col min="4" max="4" width="23.54296875" bestFit="1" customWidth="1"/>
    <col min="5" max="5" width="23.90625" bestFit="1" customWidth="1"/>
    <col min="6" max="6" width="22" bestFit="1" customWidth="1"/>
    <col min="7" max="7" width="23.36328125" bestFit="1" customWidth="1"/>
    <col min="8" max="8" width="18.81640625" bestFit="1" customWidth="1"/>
    <col min="9" max="9" width="9.54296875" bestFit="1" customWidth="1"/>
    <col min="10" max="10" width="9.81640625" bestFit="1" customWidth="1"/>
    <col min="12" max="12" width="9.54296875" bestFit="1" customWidth="1"/>
    <col min="15" max="15" width="20" customWidth="1"/>
  </cols>
  <sheetData>
    <row r="1" spans="1:8" ht="26" customHeight="1" x14ac:dyDescent="1.2">
      <c r="A1" s="395" t="s">
        <v>0</v>
      </c>
      <c r="B1" s="363"/>
      <c r="C1" s="363"/>
      <c r="D1" s="363"/>
      <c r="E1" s="363"/>
      <c r="F1" s="363"/>
      <c r="G1" s="363"/>
      <c r="H1" s="363"/>
    </row>
    <row r="2" spans="1:8" x14ac:dyDescent="0.75">
      <c r="A2" s="92"/>
    </row>
    <row r="3" spans="1:8" ht="15" customHeight="1" thickBot="1" x14ac:dyDescent="0.9">
      <c r="A3" s="372" t="s">
        <v>1</v>
      </c>
      <c r="B3" s="363"/>
      <c r="C3" s="363"/>
    </row>
    <row r="4" spans="1:8" ht="15" customHeight="1" thickBot="1" x14ac:dyDescent="0.9">
      <c r="A4" s="297"/>
      <c r="B4" s="93" t="s">
        <v>2</v>
      </c>
      <c r="C4" s="94" t="s">
        <v>3</v>
      </c>
      <c r="E4" s="95" t="s">
        <v>4</v>
      </c>
    </row>
    <row r="5" spans="1:8" x14ac:dyDescent="0.75">
      <c r="A5" s="1" t="s">
        <v>5</v>
      </c>
      <c r="B5" s="2">
        <f>Assumptions!B8</f>
        <v>5</v>
      </c>
      <c r="C5" s="3" t="s">
        <v>579</v>
      </c>
      <c r="E5" s="4" t="s">
        <v>6</v>
      </c>
    </row>
    <row r="6" spans="1:8" ht="15" customHeight="1" thickBot="1" x14ac:dyDescent="0.9">
      <c r="A6" s="1" t="s">
        <v>5</v>
      </c>
      <c r="B6" s="124">
        <f>B5</f>
        <v>5</v>
      </c>
      <c r="C6" s="126" t="s">
        <v>580</v>
      </c>
      <c r="E6" s="8" t="s">
        <v>7</v>
      </c>
    </row>
    <row r="7" spans="1:8" ht="15" customHeight="1" thickBot="1" x14ac:dyDescent="0.9">
      <c r="A7" s="5" t="s">
        <v>8</v>
      </c>
      <c r="B7" s="6">
        <f>Assumptions!C17</f>
        <v>7.1</v>
      </c>
      <c r="C7" s="7" t="s">
        <v>581</v>
      </c>
    </row>
    <row r="9" spans="1:8" s="89" customFormat="1" ht="15" customHeight="1" thickBot="1" x14ac:dyDescent="0.9"/>
    <row r="10" spans="1:8" ht="19" customHeight="1" thickBot="1" x14ac:dyDescent="1.05">
      <c r="A10" s="153" t="s">
        <v>9</v>
      </c>
      <c r="B10" s="154"/>
      <c r="C10" s="154"/>
      <c r="D10" s="154"/>
      <c r="E10" s="154"/>
      <c r="F10" s="154"/>
      <c r="G10" s="155"/>
    </row>
    <row r="11" spans="1:8" ht="15" customHeight="1" thickBot="1" x14ac:dyDescent="0.9">
      <c r="A11" s="47"/>
    </row>
    <row r="12" spans="1:8" ht="15" customHeight="1" x14ac:dyDescent="0.75">
      <c r="A12" s="383" t="s">
        <v>10</v>
      </c>
      <c r="B12" s="384"/>
      <c r="C12" s="385"/>
    </row>
    <row r="13" spans="1:8" ht="15" customHeight="1" x14ac:dyDescent="0.75">
      <c r="A13" s="378" t="s">
        <v>11</v>
      </c>
      <c r="B13" s="379"/>
      <c r="C13" s="380"/>
      <c r="D13" s="9"/>
    </row>
    <row r="14" spans="1:8" ht="15" customHeight="1" thickBot="1" x14ac:dyDescent="0.9">
      <c r="A14" s="156"/>
      <c r="B14" s="150" t="s">
        <v>2</v>
      </c>
      <c r="C14" s="151" t="s">
        <v>3</v>
      </c>
      <c r="D14" s="9"/>
    </row>
    <row r="15" spans="1:8" x14ac:dyDescent="0.75">
      <c r="A15" s="10" t="s">
        <v>12</v>
      </c>
      <c r="B15" s="149">
        <f>Assumptions!E17</f>
        <v>4</v>
      </c>
      <c r="C15" s="11" t="s">
        <v>13</v>
      </c>
      <c r="D15" s="9"/>
    </row>
    <row r="16" spans="1:8" ht="16.5" customHeight="1" x14ac:dyDescent="0.75">
      <c r="A16" s="12" t="s">
        <v>14</v>
      </c>
      <c r="B16" s="22">
        <f>(131.35*28)/1000</f>
        <v>3.6777999999999995</v>
      </c>
      <c r="C16" s="11" t="s">
        <v>509</v>
      </c>
      <c r="D16" s="9"/>
    </row>
    <row r="17" spans="1:8" ht="16.5" customHeight="1" x14ac:dyDescent="0.75">
      <c r="A17" s="12" t="s">
        <v>15</v>
      </c>
      <c r="B17" s="14">
        <v>19.2</v>
      </c>
      <c r="C17" s="11" t="s">
        <v>510</v>
      </c>
      <c r="D17" s="9"/>
    </row>
    <row r="18" spans="1:8" x14ac:dyDescent="0.75">
      <c r="A18" s="12" t="s">
        <v>16</v>
      </c>
      <c r="B18" s="13">
        <f>B16/B17</f>
        <v>0.19155208333333332</v>
      </c>
      <c r="C18" s="11" t="s">
        <v>17</v>
      </c>
      <c r="D18" s="9"/>
    </row>
    <row r="19" spans="1:8" x14ac:dyDescent="0.75">
      <c r="A19" s="12" t="s">
        <v>18</v>
      </c>
      <c r="B19" s="13">
        <f>B6*(1/B7)</f>
        <v>0.70422535211267612</v>
      </c>
      <c r="C19" s="11" t="s">
        <v>19</v>
      </c>
      <c r="D19" s="9"/>
    </row>
    <row r="20" spans="1:8" x14ac:dyDescent="0.75">
      <c r="A20" s="12" t="s">
        <v>20</v>
      </c>
      <c r="B20" s="15">
        <f>ROUNDUP(B19/B18,0)</f>
        <v>4</v>
      </c>
      <c r="C20" s="11" t="s">
        <v>21</v>
      </c>
      <c r="D20" s="9"/>
    </row>
    <row r="21" spans="1:8" ht="29" customHeight="1" x14ac:dyDescent="0.75">
      <c r="A21" s="16" t="s">
        <v>22</v>
      </c>
      <c r="B21" s="17">
        <f>B18*B20</f>
        <v>0.76620833333333327</v>
      </c>
      <c r="C21" s="18" t="s">
        <v>19</v>
      </c>
      <c r="D21" s="19"/>
      <c r="E21" s="20"/>
      <c r="F21" s="20"/>
    </row>
    <row r="22" spans="1:8" ht="17" customHeight="1" thickBot="1" x14ac:dyDescent="0.9">
      <c r="A22" s="12" t="s">
        <v>23</v>
      </c>
      <c r="B22" s="13">
        <f>B21/B16</f>
        <v>0.20833333333333334</v>
      </c>
      <c r="C22" s="11" t="s">
        <v>511</v>
      </c>
      <c r="D22" s="19"/>
      <c r="E22" s="20"/>
      <c r="F22" s="20"/>
    </row>
    <row r="23" spans="1:8" ht="15" customHeight="1" x14ac:dyDescent="0.75">
      <c r="A23" s="364" t="s">
        <v>24</v>
      </c>
      <c r="B23" s="365"/>
      <c r="C23" s="366"/>
      <c r="D23" s="9"/>
    </row>
    <row r="24" spans="1:8" ht="15" customHeight="1" thickBot="1" x14ac:dyDescent="0.9">
      <c r="A24" s="174"/>
      <c r="B24" s="150" t="s">
        <v>2</v>
      </c>
      <c r="C24" s="151" t="s">
        <v>3</v>
      </c>
      <c r="D24" s="9"/>
      <c r="G24" s="20"/>
      <c r="H24" s="20"/>
    </row>
    <row r="25" spans="1:8" x14ac:dyDescent="0.75">
      <c r="A25" s="12" t="s">
        <v>25</v>
      </c>
      <c r="B25" s="21">
        <f>B20*B15</f>
        <v>16</v>
      </c>
      <c r="C25" s="11" t="s">
        <v>26</v>
      </c>
      <c r="D25" s="9"/>
      <c r="G25" s="20"/>
      <c r="H25" s="20"/>
    </row>
    <row r="26" spans="1:8" x14ac:dyDescent="0.75">
      <c r="A26" s="12" t="s">
        <v>27</v>
      </c>
      <c r="B26" s="22">
        <f>B18*B25</f>
        <v>3.0648333333333331</v>
      </c>
      <c r="C26" s="11" t="s">
        <v>28</v>
      </c>
      <c r="D26" s="9"/>
      <c r="G26" s="20"/>
      <c r="H26" s="20"/>
    </row>
    <row r="27" spans="1:8" ht="17" customHeight="1" thickBot="1" x14ac:dyDescent="0.9">
      <c r="A27" s="5" t="s">
        <v>23</v>
      </c>
      <c r="B27" s="23">
        <f>B26/B16</f>
        <v>0.83333333333333337</v>
      </c>
      <c r="C27" s="24" t="s">
        <v>511</v>
      </c>
      <c r="D27" s="9"/>
      <c r="G27" s="20"/>
      <c r="H27" s="20"/>
    </row>
    <row r="28" spans="1:8" ht="15" customHeight="1" thickBot="1" x14ac:dyDescent="0.9">
      <c r="B28" s="15"/>
      <c r="C28" s="15"/>
    </row>
    <row r="29" spans="1:8" ht="15" customHeight="1" x14ac:dyDescent="0.75">
      <c r="A29" s="158" t="s">
        <v>29</v>
      </c>
      <c r="B29" s="159"/>
      <c r="C29" s="159"/>
      <c r="D29" s="159"/>
      <c r="E29" s="159"/>
      <c r="F29" s="159"/>
      <c r="G29" s="160"/>
    </row>
    <row r="30" spans="1:8" ht="17" customHeight="1" thickBot="1" x14ac:dyDescent="1.1000000000000001">
      <c r="A30" s="157" t="s">
        <v>30</v>
      </c>
      <c r="B30" s="150" t="s">
        <v>31</v>
      </c>
      <c r="C30" s="150" t="s">
        <v>32</v>
      </c>
      <c r="D30" s="150" t="s">
        <v>33</v>
      </c>
      <c r="E30" s="150" t="s">
        <v>499</v>
      </c>
      <c r="F30" s="150" t="s">
        <v>500</v>
      </c>
      <c r="G30" s="151" t="s">
        <v>34</v>
      </c>
    </row>
    <row r="31" spans="1:8" x14ac:dyDescent="0.75">
      <c r="A31" s="394" t="s">
        <v>513</v>
      </c>
      <c r="B31" t="s">
        <v>36</v>
      </c>
      <c r="C31" s="15">
        <v>1</v>
      </c>
      <c r="D31" s="25">
        <f>(101.5-22.9-8.4)*B27</f>
        <v>58.499999999999993</v>
      </c>
      <c r="E31" s="25">
        <f>(1.03-0.25)*B27</f>
        <v>0.65</v>
      </c>
      <c r="F31" s="26">
        <f>(2.6-2.1-0.075)*B27</f>
        <v>0.35416666666666669</v>
      </c>
      <c r="G31" s="27"/>
    </row>
    <row r="32" spans="1:8" x14ac:dyDescent="0.75">
      <c r="A32" s="387"/>
      <c r="B32" s="28" t="s">
        <v>37</v>
      </c>
      <c r="C32" s="29">
        <f>ROUNDUP(B27*9,0)</f>
        <v>8</v>
      </c>
      <c r="D32" s="30">
        <f>0.243*C32</f>
        <v>1.944</v>
      </c>
      <c r="E32" s="31">
        <f>(0.3*0.3*0.001)*C32</f>
        <v>7.1999999999999994E-4</v>
      </c>
      <c r="F32" s="31">
        <f>50.7*C32*(1/1000)</f>
        <v>0.40560000000000002</v>
      </c>
      <c r="G32" s="32"/>
    </row>
    <row r="33" spans="1:8" ht="15" customHeight="1" thickBot="1" x14ac:dyDescent="0.9">
      <c r="A33" s="371" t="s">
        <v>514</v>
      </c>
      <c r="B33" s="38" t="s">
        <v>547</v>
      </c>
      <c r="C33" s="34">
        <f>IF((0.003785*C35*2) &lt;= 0.0187, 1, CEILING((0.003785*C35*2)/0.0187, 1))</f>
        <v>2</v>
      </c>
      <c r="D33" s="35">
        <f>0.75*B21*C33</f>
        <v>1.1493125</v>
      </c>
      <c r="E33" s="36">
        <f>0.00393*B21*C33</f>
        <v>6.0223975000000003E-3</v>
      </c>
      <c r="F33" s="35">
        <f>0.00033*B21*C33</f>
        <v>5.056975E-4</v>
      </c>
      <c r="G33" s="37"/>
    </row>
    <row r="34" spans="1:8" x14ac:dyDescent="0.75">
      <c r="A34" s="382"/>
      <c r="B34" s="332" t="s">
        <v>39</v>
      </c>
      <c r="C34" s="39">
        <f>IF(F47 &lt;= 2, 1, CEILING(F47 / 2, 1))</f>
        <v>1</v>
      </c>
      <c r="D34" s="26">
        <f>0.20411*C34/Assumptions!$B$5</f>
        <v>3.4018333333333338E-2</v>
      </c>
      <c r="E34" s="26">
        <f>0.00064416*C34/Assumptions!$B$5</f>
        <v>1.0735999999999999E-4</v>
      </c>
      <c r="F34" s="40"/>
      <c r="G34" s="41"/>
      <c r="H34" t="s">
        <v>526</v>
      </c>
    </row>
    <row r="35" spans="1:8" ht="15" customHeight="1" thickBot="1" x14ac:dyDescent="0.9">
      <c r="A35" s="369"/>
      <c r="B35" s="42" t="s">
        <v>40</v>
      </c>
      <c r="C35" s="43">
        <f>ROUNDUP(B21/(85*0.003785),0)</f>
        <v>3</v>
      </c>
      <c r="D35" s="44">
        <f>(7.62/250)*(0.45359/1)*C35</f>
        <v>4.1476269599999997E-2</v>
      </c>
      <c r="E35" s="44">
        <f>(10.5*11*0.00394)*0.00001639*C35</f>
        <v>2.23757919E-5</v>
      </c>
      <c r="F35" s="45"/>
      <c r="G35" s="46"/>
    </row>
    <row r="36" spans="1:8" ht="15" customHeight="1" thickBot="1" x14ac:dyDescent="0.9"/>
    <row r="37" spans="1:8" ht="15" customHeight="1" x14ac:dyDescent="0.75">
      <c r="A37" s="373" t="s">
        <v>41</v>
      </c>
      <c r="B37" s="365"/>
      <c r="C37" s="162"/>
      <c r="D37" s="162"/>
      <c r="E37" s="161"/>
      <c r="F37" s="163"/>
    </row>
    <row r="38" spans="1:8" ht="17" customHeight="1" thickBot="1" x14ac:dyDescent="1.1000000000000001">
      <c r="A38" s="169" t="s">
        <v>30</v>
      </c>
      <c r="B38" s="170" t="s">
        <v>42</v>
      </c>
      <c r="C38" s="170" t="s">
        <v>33</v>
      </c>
      <c r="D38" s="150" t="s">
        <v>499</v>
      </c>
      <c r="E38" s="170" t="s">
        <v>500</v>
      </c>
      <c r="F38" s="171" t="s">
        <v>34</v>
      </c>
    </row>
    <row r="39" spans="1:8" ht="15" customHeight="1" thickBot="1" x14ac:dyDescent="0.9">
      <c r="A39" s="367" t="s">
        <v>35</v>
      </c>
      <c r="B39" t="s">
        <v>43</v>
      </c>
      <c r="C39" s="26">
        <f>B20*(1.01/1000000)</f>
        <v>4.0400000000000003E-6</v>
      </c>
      <c r="D39" s="26">
        <f>((4.57*1.524*0.5)/(1000^3))*B20</f>
        <v>1.3929360000000001E-8</v>
      </c>
      <c r="E39" s="49"/>
      <c r="F39" s="50">
        <f>B20*(1/10)*(1/60)*1.5</f>
        <v>0.01</v>
      </c>
    </row>
    <row r="40" spans="1:8" x14ac:dyDescent="0.75">
      <c r="A40" s="368"/>
      <c r="B40" t="s">
        <v>44</v>
      </c>
      <c r="C40" s="26">
        <f>D40*1000</f>
        <v>14.478333333333333</v>
      </c>
      <c r="D40" s="25">
        <f>(7.3*B22*28)*0.34*0.001</f>
        <v>1.4478333333333334E-2</v>
      </c>
      <c r="E40" s="49"/>
      <c r="F40" s="50">
        <f>90*4*(1/60)*(1/12.5)*(1/365)*28*B22*1.5</f>
        <v>1.1506849315068495E-2</v>
      </c>
      <c r="G40" s="51"/>
    </row>
    <row r="41" spans="1:8" x14ac:dyDescent="0.75">
      <c r="A41" s="368"/>
      <c r="B41" t="s">
        <v>45</v>
      </c>
      <c r="C41" s="26">
        <f>(1.166+(12.406*3))*(1/1000)*D40*1000</f>
        <v>0.55573634666666671</v>
      </c>
      <c r="D41" s="52"/>
      <c r="E41" s="49"/>
      <c r="F41" s="50">
        <f>(20.17/10)*(1/60)*(1/12.5)*B22*28*1.5</f>
        <v>2.3531666666666669E-2</v>
      </c>
    </row>
    <row r="42" spans="1:8" x14ac:dyDescent="0.75">
      <c r="A42" s="368"/>
      <c r="B42" t="s">
        <v>46</v>
      </c>
      <c r="C42" s="26">
        <f>(10.7*B22*28)/1000</f>
        <v>6.2416666666666662E-2</v>
      </c>
      <c r="D42" s="30">
        <f>C42/1.82</f>
        <v>3.4294871794871791E-2</v>
      </c>
      <c r="E42" s="49"/>
      <c r="F42" s="53">
        <f>2.13*365*(1/60)*(1/365)*28*1.5</f>
        <v>1.4909999999999999</v>
      </c>
      <c r="G42" s="51"/>
    </row>
    <row r="43" spans="1:8" ht="16.5" customHeight="1" x14ac:dyDescent="0.95">
      <c r="A43" s="368"/>
      <c r="B43" s="164" t="s">
        <v>47</v>
      </c>
      <c r="C43" s="165" t="s">
        <v>33</v>
      </c>
      <c r="D43" s="165" t="s">
        <v>499</v>
      </c>
      <c r="E43" s="165" t="s">
        <v>500</v>
      </c>
      <c r="F43" s="166" t="s">
        <v>34</v>
      </c>
    </row>
    <row r="44" spans="1:8" x14ac:dyDescent="0.75">
      <c r="A44" s="368"/>
      <c r="B44" s="38" t="s">
        <v>48</v>
      </c>
      <c r="C44" s="26">
        <f>7.78*B22*28*(1/1000)</f>
        <v>4.5383333333333331E-2</v>
      </c>
      <c r="D44" s="26">
        <f>C44*(1/1.3)</f>
        <v>3.4910256410256406E-2</v>
      </c>
      <c r="E44" s="49"/>
      <c r="F44" s="54"/>
    </row>
    <row r="45" spans="1:8" ht="15" customHeight="1" x14ac:dyDescent="0.75">
      <c r="A45" s="369"/>
      <c r="B45" s="38" t="s">
        <v>49</v>
      </c>
      <c r="C45" s="26">
        <f>2.1*B22*28</f>
        <v>12.250000000000002</v>
      </c>
      <c r="D45" s="30">
        <f>C45*(1/1000)</f>
        <v>1.2250000000000002E-2</v>
      </c>
      <c r="E45" s="49"/>
      <c r="F45" s="54"/>
    </row>
    <row r="46" spans="1:8" ht="17" customHeight="1" x14ac:dyDescent="0.95">
      <c r="A46" s="152" t="s">
        <v>30</v>
      </c>
      <c r="B46" s="165" t="s">
        <v>47</v>
      </c>
      <c r="C46" s="165" t="s">
        <v>33</v>
      </c>
      <c r="D46" s="165" t="s">
        <v>499</v>
      </c>
      <c r="E46" s="165" t="s">
        <v>500</v>
      </c>
      <c r="F46" s="166" t="s">
        <v>34</v>
      </c>
    </row>
    <row r="47" spans="1:8" ht="15" customHeight="1" thickBot="1" x14ac:dyDescent="0.9">
      <c r="A47" s="367" t="s">
        <v>38</v>
      </c>
      <c r="B47" s="38" t="s">
        <v>50</v>
      </c>
      <c r="C47" s="26">
        <f>B6*(1/1000000)</f>
        <v>4.9999999999999996E-6</v>
      </c>
      <c r="D47" s="49"/>
      <c r="E47" s="49"/>
      <c r="F47" s="396">
        <f>(3.97*B22)*(1/60)*1.5</f>
        <v>2.0677083333333332E-2</v>
      </c>
      <c r="G47" s="56"/>
    </row>
    <row r="48" spans="1:8" x14ac:dyDescent="0.75">
      <c r="A48" s="368"/>
      <c r="B48" s="38" t="s">
        <v>51</v>
      </c>
      <c r="C48" s="25">
        <f>(B16*B22)-C49</f>
        <v>7.662083333333336E-2</v>
      </c>
      <c r="D48" s="26">
        <f>C48*(1/368)</f>
        <v>2.0820878623188413E-4</v>
      </c>
      <c r="E48" s="49"/>
      <c r="F48" s="375"/>
    </row>
    <row r="49" spans="1:8" x14ac:dyDescent="0.75">
      <c r="A49" s="368"/>
      <c r="B49" s="38" t="s">
        <v>52</v>
      </c>
      <c r="C49" s="26">
        <f>B21*0.9</f>
        <v>0.68958749999999991</v>
      </c>
      <c r="D49" s="26">
        <f>C49*(1/1000)</f>
        <v>6.8958749999999992E-4</v>
      </c>
      <c r="E49" s="49"/>
      <c r="F49" s="375"/>
    </row>
    <row r="50" spans="1:8" x14ac:dyDescent="0.75">
      <c r="A50" s="368"/>
      <c r="B50" s="38" t="s">
        <v>53</v>
      </c>
      <c r="C50" s="49"/>
      <c r="D50" s="49"/>
      <c r="E50" s="25">
        <f>((((B21*17)/0.1)*1000*4.184)/(7*24*3600))/1000</f>
        <v>9.0110559413580222E-4</v>
      </c>
      <c r="F50" s="375"/>
    </row>
    <row r="51" spans="1:8" x14ac:dyDescent="0.75">
      <c r="A51" s="368"/>
      <c r="B51" s="38" t="s">
        <v>54</v>
      </c>
      <c r="C51" s="26">
        <f>((0.74+0.07+3.37+0.12+0.32)/0.1)*B21*(1/1000)</f>
        <v>3.5398824999999995E-2</v>
      </c>
      <c r="D51" s="49"/>
      <c r="E51" s="49"/>
      <c r="F51" s="375"/>
    </row>
    <row r="52" spans="1:8" x14ac:dyDescent="0.75">
      <c r="A52" s="368"/>
      <c r="B52" s="38" t="s">
        <v>55</v>
      </c>
      <c r="C52" s="26">
        <f>((14+0.03+6.3+19+139+16+0.17+0.033+0.082+0.056+0.218+0.04+0.0205)/0.1)*B21*(1/1000000)</f>
        <v>1.4937193147916662E-3</v>
      </c>
      <c r="D52" s="49"/>
      <c r="E52" s="49"/>
      <c r="F52" s="397"/>
    </row>
    <row r="53" spans="1:8" ht="16.5" customHeight="1" x14ac:dyDescent="0.95">
      <c r="A53" s="368"/>
      <c r="B53" s="164" t="s">
        <v>56</v>
      </c>
      <c r="C53" s="165" t="s">
        <v>33</v>
      </c>
      <c r="D53" s="165" t="s">
        <v>499</v>
      </c>
      <c r="E53" s="165" t="s">
        <v>500</v>
      </c>
      <c r="F53" s="166" t="s">
        <v>34</v>
      </c>
    </row>
    <row r="54" spans="1:8" ht="15" customHeight="1" thickBot="1" x14ac:dyDescent="0.9">
      <c r="A54" s="369"/>
      <c r="B54" s="42" t="s">
        <v>57</v>
      </c>
      <c r="C54" s="44">
        <f>(7.3/1000)*B22*28</f>
        <v>4.2583333333333334E-2</v>
      </c>
      <c r="D54" s="44">
        <f>C54*(1/60)</f>
        <v>7.0972222222222226E-4</v>
      </c>
      <c r="E54" s="55"/>
      <c r="F54" s="57"/>
    </row>
    <row r="55" spans="1:8" ht="15" customHeight="1" thickBot="1" x14ac:dyDescent="0.9"/>
    <row r="56" spans="1:8" x14ac:dyDescent="0.75">
      <c r="A56" s="173" t="s">
        <v>58</v>
      </c>
      <c r="B56" s="161"/>
      <c r="C56" s="161"/>
      <c r="D56" s="161"/>
      <c r="E56" s="218"/>
      <c r="F56" s="226"/>
    </row>
    <row r="57" spans="1:8" ht="15" customHeight="1" thickBot="1" x14ac:dyDescent="0.9">
      <c r="A57" s="157" t="s">
        <v>59</v>
      </c>
      <c r="B57" s="150" t="s">
        <v>60</v>
      </c>
      <c r="C57" s="150" t="s">
        <v>61</v>
      </c>
      <c r="D57" s="150" t="s">
        <v>62</v>
      </c>
      <c r="E57" s="165" t="s">
        <v>63</v>
      </c>
      <c r="F57" s="224" t="s">
        <v>516</v>
      </c>
    </row>
    <row r="58" spans="1:8" x14ac:dyDescent="0.75">
      <c r="A58" s="58" t="s">
        <v>33</v>
      </c>
      <c r="B58" s="26">
        <f>SUM(D31:D35)</f>
        <v>61.668807102933329</v>
      </c>
      <c r="C58" s="26">
        <f>C39+(C41/4*4)+(C42/4*4)</f>
        <v>0.61815705333333337</v>
      </c>
      <c r="D58" s="59"/>
      <c r="E58" s="26">
        <f>SUM((C44/4*4),C47,C48,C49,C51,C52)</f>
        <v>0.84848921098145835</v>
      </c>
      <c r="F58" s="219"/>
      <c r="H58" s="15"/>
    </row>
    <row r="59" spans="1:8" ht="16.75" x14ac:dyDescent="0.75">
      <c r="A59" s="58" t="s">
        <v>499</v>
      </c>
      <c r="B59" s="26">
        <f>SUM(E31:E35)</f>
        <v>0.65687213329190008</v>
      </c>
      <c r="C59" s="26">
        <f>D39+(D42/4*4)</f>
        <v>3.429488572423179E-2</v>
      </c>
      <c r="D59" s="52"/>
      <c r="E59" s="26">
        <f>SUM((D44/4*4),(D45/4*4),D48,D49)</f>
        <v>4.8058052696488295E-2</v>
      </c>
      <c r="F59" s="219"/>
      <c r="H59" s="15"/>
    </row>
    <row r="60" spans="1:8" ht="16.75" x14ac:dyDescent="0.95">
      <c r="A60" s="58" t="s">
        <v>500</v>
      </c>
      <c r="B60" s="26">
        <f>SUM(F31:F33)</f>
        <v>0.76027236416666666</v>
      </c>
      <c r="C60" s="60"/>
      <c r="D60" s="49"/>
      <c r="E60" s="26">
        <f>E50</f>
        <v>9.0110559413580222E-4</v>
      </c>
      <c r="F60" s="220"/>
      <c r="H60" s="15"/>
    </row>
    <row r="61" spans="1:8" ht="16.75" x14ac:dyDescent="0.95">
      <c r="A61" s="58" t="s">
        <v>501</v>
      </c>
      <c r="B61" s="26">
        <f>SUM(F31:F33)</f>
        <v>0.76027236416666666</v>
      </c>
      <c r="C61" s="49"/>
      <c r="D61" s="59"/>
      <c r="E61" s="49"/>
      <c r="F61" s="220"/>
      <c r="H61" s="39"/>
    </row>
    <row r="62" spans="1:8" x14ac:dyDescent="0.75">
      <c r="A62" s="58" t="s">
        <v>512</v>
      </c>
      <c r="B62" s="217">
        <f>+SUM(G31:G35)</f>
        <v>0</v>
      </c>
      <c r="C62" s="62"/>
      <c r="D62" s="62"/>
      <c r="E62" s="62"/>
      <c r="F62" s="221">
        <f>+F47+SUM(F39,(F40/4*4),(F41/4*4),F42/4)</f>
        <v>0.43846559931506851</v>
      </c>
      <c r="G62" s="51"/>
      <c r="H62" s="39"/>
    </row>
    <row r="63" spans="1:8" x14ac:dyDescent="0.75">
      <c r="A63" s="64" t="s">
        <v>65</v>
      </c>
      <c r="B63" s="65"/>
      <c r="C63" s="225">
        <v>0</v>
      </c>
      <c r="D63" s="49"/>
      <c r="E63" s="26">
        <f>B21</f>
        <v>0.76620833333333327</v>
      </c>
      <c r="F63" s="220"/>
      <c r="H63" s="15"/>
    </row>
    <row r="64" spans="1:8" x14ac:dyDescent="0.75">
      <c r="A64" s="58" t="s">
        <v>66</v>
      </c>
      <c r="B64" s="26">
        <f>C64-C45-C49</f>
        <v>1.5387458333333317</v>
      </c>
      <c r="C64" s="26">
        <f>(C40/4*4)</f>
        <v>14.478333333333333</v>
      </c>
      <c r="D64" s="49"/>
      <c r="E64" s="26">
        <f>C45/4*4</f>
        <v>12.250000000000002</v>
      </c>
      <c r="F64" s="220"/>
      <c r="H64" s="15"/>
    </row>
    <row r="65" spans="1:8" ht="15" customHeight="1" thickBot="1" x14ac:dyDescent="0.9">
      <c r="A65" s="66" t="s">
        <v>67</v>
      </c>
      <c r="B65" s="67"/>
      <c r="C65" s="67"/>
      <c r="D65" s="44">
        <f>C54</f>
        <v>4.2583333333333334E-2</v>
      </c>
      <c r="E65" s="222"/>
      <c r="F65" s="223"/>
      <c r="H65" s="15"/>
    </row>
    <row r="66" spans="1:8" ht="15" customHeight="1" thickBot="1" x14ac:dyDescent="0.9"/>
    <row r="67" spans="1:8" ht="15" customHeight="1" x14ac:dyDescent="0.75">
      <c r="A67" s="173" t="s">
        <v>68</v>
      </c>
      <c r="B67" s="162"/>
      <c r="C67" s="162"/>
      <c r="D67" s="162"/>
      <c r="E67" s="162"/>
      <c r="F67" s="162"/>
      <c r="G67" s="161"/>
      <c r="H67" s="163"/>
    </row>
    <row r="68" spans="1:8" ht="19" customHeight="1" thickBot="1" x14ac:dyDescent="0.9">
      <c r="A68" s="157" t="s">
        <v>69</v>
      </c>
      <c r="B68" s="150" t="s">
        <v>70</v>
      </c>
      <c r="C68" s="150" t="s">
        <v>71</v>
      </c>
      <c r="D68" s="150" t="s">
        <v>72</v>
      </c>
      <c r="E68" s="150" t="s">
        <v>73</v>
      </c>
      <c r="F68" s="150" t="s">
        <v>74</v>
      </c>
      <c r="G68" s="150" t="s">
        <v>75</v>
      </c>
      <c r="H68" s="151" t="s">
        <v>76</v>
      </c>
    </row>
    <row r="69" spans="1:8" ht="15" customHeight="1" thickBot="1" x14ac:dyDescent="0.9">
      <c r="A69" s="69" t="s">
        <v>485</v>
      </c>
      <c r="B69" s="70">
        <f>Assumptions!B13</f>
        <v>79.3</v>
      </c>
      <c r="C69" s="70">
        <f>Assumptions!C13</f>
        <v>162</v>
      </c>
      <c r="D69" s="70">
        <f>Assumptions!D13</f>
        <v>96</v>
      </c>
      <c r="E69" s="70">
        <f>Assumptions!E13</f>
        <v>0.21</v>
      </c>
      <c r="F69" s="70">
        <f>Assumptions!F13</f>
        <v>0.93</v>
      </c>
      <c r="G69" s="70">
        <f>Assumptions!G13</f>
        <v>0.3</v>
      </c>
      <c r="H69" s="210">
        <f>Assumptions!H13</f>
        <v>0.94</v>
      </c>
    </row>
    <row r="70" spans="1:8" ht="15" customHeight="1" thickBot="1" x14ac:dyDescent="0.9">
      <c r="B70" s="15"/>
      <c r="C70" s="15"/>
      <c r="D70" s="15"/>
      <c r="E70" s="15"/>
      <c r="F70" s="15"/>
    </row>
    <row r="71" spans="1:8" x14ac:dyDescent="0.75">
      <c r="A71" s="71" t="s">
        <v>78</v>
      </c>
      <c r="B71" s="72">
        <v>1</v>
      </c>
      <c r="C71" s="15"/>
      <c r="D71" s="26"/>
      <c r="E71" s="26"/>
      <c r="F71" s="26"/>
    </row>
    <row r="72" spans="1:8" ht="15" customHeight="1" thickBot="1" x14ac:dyDescent="0.9">
      <c r="A72" s="73" t="s">
        <v>79</v>
      </c>
      <c r="B72" s="74">
        <f>B71*86</f>
        <v>86</v>
      </c>
      <c r="C72" s="15"/>
      <c r="D72" s="15"/>
      <c r="E72" s="15"/>
      <c r="F72" s="15"/>
    </row>
    <row r="73" spans="1:8" ht="15" customHeight="1" thickBot="1" x14ac:dyDescent="0.9">
      <c r="B73" s="15"/>
      <c r="C73" s="15"/>
      <c r="D73" s="15"/>
      <c r="E73" s="15"/>
      <c r="F73" s="15"/>
    </row>
    <row r="74" spans="1:8" ht="17" customHeight="1" thickBot="1" x14ac:dyDescent="0.9">
      <c r="A74" s="167" t="s">
        <v>80</v>
      </c>
      <c r="B74" s="148" t="s">
        <v>81</v>
      </c>
    </row>
    <row r="75" spans="1:8" x14ac:dyDescent="0.75">
      <c r="A75" s="75" t="s">
        <v>60</v>
      </c>
      <c r="B75" s="235">
        <f>B58+(B59*B69)+(B60*C69)+(B61*D69)+(B64*G69)</f>
        <v>310.370660977981</v>
      </c>
      <c r="C75" s="90"/>
      <c r="D75" s="90"/>
    </row>
    <row r="76" spans="1:8" x14ac:dyDescent="0.75">
      <c r="A76" s="75" t="s">
        <v>516</v>
      </c>
      <c r="B76" s="235">
        <f>+F62*H69*B72</f>
        <v>35.445559048630138</v>
      </c>
      <c r="C76" s="90"/>
      <c r="D76" s="90"/>
    </row>
    <row r="77" spans="1:8" x14ac:dyDescent="0.75">
      <c r="A77" s="75" t="s">
        <v>82</v>
      </c>
      <c r="B77" s="236">
        <f>B72*(C58+(C59*B69)+(C63*E69)+(C64*G69))</f>
        <v>660.58676824878262</v>
      </c>
      <c r="C77" s="51"/>
    </row>
    <row r="78" spans="1:8" x14ac:dyDescent="0.75">
      <c r="A78" s="75" t="s">
        <v>83</v>
      </c>
      <c r="B78" s="236">
        <f>B72*((D65*F69))</f>
        <v>3.4058150000000005</v>
      </c>
    </row>
    <row r="79" spans="1:8" x14ac:dyDescent="0.75">
      <c r="A79" s="76" t="s">
        <v>84</v>
      </c>
      <c r="B79" s="237">
        <f>B72*(E58+(E59*B69)+(E60*C69)-(E63*E69)+(E64*G69))</f>
        <v>715.48286056141615</v>
      </c>
    </row>
    <row r="80" spans="1:8" ht="17" customHeight="1" thickBot="1" x14ac:dyDescent="1.1000000000000001">
      <c r="A80" s="77" t="s">
        <v>528</v>
      </c>
      <c r="B80" s="238">
        <f>B75+B76+B77+B78-B79</f>
        <v>294.3259427139775</v>
      </c>
    </row>
    <row r="82" spans="1:18" s="89" customFormat="1" ht="15" customHeight="1" x14ac:dyDescent="0.75"/>
    <row r="83" spans="1:18" ht="15" customHeight="1" thickBot="1" x14ac:dyDescent="0.9"/>
    <row r="84" spans="1:18" x14ac:dyDescent="0.75">
      <c r="A84" s="312" t="s">
        <v>546</v>
      </c>
      <c r="B84" s="313"/>
      <c r="C84" s="313"/>
      <c r="D84" s="313"/>
      <c r="E84" s="313"/>
      <c r="F84" s="313"/>
      <c r="G84" s="313"/>
      <c r="H84" s="313"/>
      <c r="I84" s="313"/>
      <c r="J84" s="313"/>
      <c r="K84" s="313"/>
      <c r="L84" s="313"/>
      <c r="M84" s="313"/>
      <c r="N84" s="313"/>
      <c r="O84" s="313"/>
      <c r="P84" s="313"/>
      <c r="Q84" s="313"/>
      <c r="R84" s="295"/>
    </row>
    <row r="85" spans="1:18" x14ac:dyDescent="0.75">
      <c r="A85" s="314"/>
      <c r="B85" s="389" t="s">
        <v>344</v>
      </c>
      <c r="C85" s="389"/>
      <c r="D85" s="389"/>
      <c r="E85" s="390"/>
      <c r="F85" s="391" t="s">
        <v>543</v>
      </c>
      <c r="G85" s="389"/>
      <c r="H85" s="389"/>
      <c r="I85" s="389"/>
      <c r="J85" s="391" t="s">
        <v>544</v>
      </c>
      <c r="K85" s="389"/>
      <c r="L85" s="389"/>
      <c r="M85" s="389"/>
      <c r="N85" s="391" t="s">
        <v>545</v>
      </c>
      <c r="O85" s="389"/>
      <c r="P85" s="389"/>
      <c r="Q85" s="389"/>
      <c r="R85" s="392"/>
    </row>
    <row r="86" spans="1:18" ht="15.5" thickBot="1" x14ac:dyDescent="0.9">
      <c r="A86" s="315"/>
      <c r="B86" s="246" t="s">
        <v>60</v>
      </c>
      <c r="C86" s="243" t="s">
        <v>42</v>
      </c>
      <c r="D86" s="243" t="s">
        <v>47</v>
      </c>
      <c r="E86" s="243" t="s">
        <v>56</v>
      </c>
      <c r="F86" s="242" t="s">
        <v>60</v>
      </c>
      <c r="G86" s="243" t="s">
        <v>42</v>
      </c>
      <c r="H86" s="243" t="s">
        <v>47</v>
      </c>
      <c r="I86" s="243" t="s">
        <v>56</v>
      </c>
      <c r="J86" s="242" t="s">
        <v>60</v>
      </c>
      <c r="K86" s="243" t="s">
        <v>42</v>
      </c>
      <c r="L86" s="243" t="s">
        <v>47</v>
      </c>
      <c r="M86" s="243" t="s">
        <v>56</v>
      </c>
      <c r="N86" s="242" t="s">
        <v>60</v>
      </c>
      <c r="O86" s="246" t="s">
        <v>516</v>
      </c>
      <c r="P86" s="243" t="s">
        <v>42</v>
      </c>
      <c r="Q86" s="243" t="s">
        <v>47</v>
      </c>
      <c r="R86" s="244" t="s">
        <v>56</v>
      </c>
    </row>
    <row r="87" spans="1:18" x14ac:dyDescent="0.75">
      <c r="A87" s="58" t="s">
        <v>540</v>
      </c>
      <c r="B87" s="51">
        <f>D35</f>
        <v>4.1476269599999997E-2</v>
      </c>
      <c r="F87" s="245">
        <f>E35</f>
        <v>2.23757919E-5</v>
      </c>
      <c r="J87" s="245"/>
      <c r="N87" s="241"/>
      <c r="R87" s="87"/>
    </row>
    <row r="88" spans="1:18" x14ac:dyDescent="0.75">
      <c r="A88" s="58" t="s">
        <v>541</v>
      </c>
      <c r="B88" s="51">
        <f>D34</f>
        <v>3.4018333333333338E-2</v>
      </c>
      <c r="F88" s="245">
        <f>E34</f>
        <v>1.0735999999999999E-4</v>
      </c>
      <c r="J88" s="245"/>
      <c r="N88" s="241"/>
      <c r="R88" s="3"/>
    </row>
    <row r="89" spans="1:18" x14ac:dyDescent="0.75">
      <c r="A89" s="58" t="s">
        <v>547</v>
      </c>
      <c r="B89" s="51">
        <f>D33</f>
        <v>1.1493125</v>
      </c>
      <c r="F89" s="245">
        <f>E33</f>
        <v>6.0223975000000003E-3</v>
      </c>
      <c r="J89" s="245">
        <f>F33</f>
        <v>5.056975E-4</v>
      </c>
      <c r="N89" s="241"/>
      <c r="R89" s="3"/>
    </row>
    <row r="90" spans="1:18" x14ac:dyDescent="0.75">
      <c r="A90" s="58" t="s">
        <v>37</v>
      </c>
      <c r="B90" s="51">
        <f>D32</f>
        <v>1.944</v>
      </c>
      <c r="F90" s="245">
        <f>E32</f>
        <v>7.1999999999999994E-4</v>
      </c>
      <c r="J90" s="245">
        <f>F32</f>
        <v>0.40560000000000002</v>
      </c>
      <c r="N90" s="241"/>
      <c r="R90" s="3"/>
    </row>
    <row r="91" spans="1:18" x14ac:dyDescent="0.75">
      <c r="A91" s="58" t="s">
        <v>36</v>
      </c>
      <c r="B91" s="51">
        <f>D31</f>
        <v>58.499999999999993</v>
      </c>
      <c r="F91" s="245">
        <f>E31</f>
        <v>0.65</v>
      </c>
      <c r="J91" s="245">
        <f>F31</f>
        <v>0.35416666666666669</v>
      </c>
      <c r="N91" s="241"/>
      <c r="R91" s="3"/>
    </row>
    <row r="92" spans="1:18" x14ac:dyDescent="0.75">
      <c r="A92" s="58" t="s">
        <v>43</v>
      </c>
      <c r="C92" s="51">
        <f>(C39/4*4)*Assumptions!B7</f>
        <v>3.4744000000000002E-4</v>
      </c>
      <c r="F92" s="241"/>
      <c r="G92" s="51">
        <f>(D39/4*4)*Assumptions!B7</f>
        <v>1.1979249600000001E-6</v>
      </c>
      <c r="J92" s="241"/>
      <c r="K92" s="51"/>
      <c r="N92" s="241"/>
      <c r="O92" s="51">
        <f>F39*Assumptions!B7</f>
        <v>0.86</v>
      </c>
      <c r="R92" s="3"/>
    </row>
    <row r="93" spans="1:18" x14ac:dyDescent="0.75">
      <c r="A93" s="58" t="s">
        <v>44</v>
      </c>
      <c r="C93" s="51">
        <f>(C40/4*4)*Assumptions!B7</f>
        <v>1245.1366666666668</v>
      </c>
      <c r="D93" s="51">
        <f>((C45/4*4)+C49)*Assumptions!B7</f>
        <v>1112.8045250000002</v>
      </c>
      <c r="F93" s="241"/>
      <c r="G93" s="51">
        <f>D40*Assumptions!B7</f>
        <v>1.2451366666666668</v>
      </c>
      <c r="H93" s="51">
        <f>((D45/4*4)+D49)*Assumptions!B7</f>
        <v>1.1128045250000003</v>
      </c>
      <c r="J93" s="241"/>
      <c r="K93" s="51"/>
      <c r="L93" s="51"/>
      <c r="N93" s="241"/>
      <c r="O93" s="51">
        <f>(F40/4*4)*Assumptions!B7</f>
        <v>0.98958904109589063</v>
      </c>
      <c r="R93" s="3"/>
    </row>
    <row r="94" spans="1:18" x14ac:dyDescent="0.75">
      <c r="A94" s="58" t="s">
        <v>45</v>
      </c>
      <c r="C94" s="51">
        <f>(C41/4*4)*Assumptions!B7</f>
        <v>47.79332581333334</v>
      </c>
      <c r="F94" s="241"/>
      <c r="G94" s="51"/>
      <c r="J94" s="241"/>
      <c r="K94" s="51"/>
      <c r="N94" s="241"/>
      <c r="O94" s="51">
        <f>(F41/4*4)*Assumptions!B7</f>
        <v>2.0237233333333338</v>
      </c>
      <c r="R94" s="3"/>
    </row>
    <row r="95" spans="1:18" x14ac:dyDescent="0.75">
      <c r="A95" s="58" t="s">
        <v>46</v>
      </c>
      <c r="C95" s="51">
        <f>(C42/4*4)*Assumptions!B7</f>
        <v>5.3678333333333326</v>
      </c>
      <c r="F95" s="241"/>
      <c r="G95" s="51">
        <f>D42*Assumptions!B7</f>
        <v>2.9493589743589741</v>
      </c>
      <c r="J95" s="241"/>
      <c r="K95" s="51"/>
      <c r="N95" s="241"/>
      <c r="O95" s="51">
        <f>(F42/4)*Assumptions!B7</f>
        <v>32.0565</v>
      </c>
      <c r="R95" s="3"/>
    </row>
    <row r="96" spans="1:18" x14ac:dyDescent="0.75">
      <c r="A96" s="58" t="s">
        <v>50</v>
      </c>
      <c r="B96" s="51"/>
      <c r="D96" s="51">
        <f>C47*Assumptions!B7</f>
        <v>4.2999999999999994E-4</v>
      </c>
      <c r="F96" s="241"/>
      <c r="H96" s="51">
        <f>D47*Assumptions!B7</f>
        <v>0</v>
      </c>
      <c r="J96" s="241"/>
      <c r="L96" s="51"/>
      <c r="N96" s="241"/>
      <c r="O96" s="51"/>
      <c r="R96" s="3"/>
    </row>
    <row r="97" spans="1:18" x14ac:dyDescent="0.75">
      <c r="A97" s="58" t="s">
        <v>140</v>
      </c>
      <c r="D97" s="51">
        <f>C48*Assumptions!B7</f>
        <v>6.5893916666666694</v>
      </c>
      <c r="F97" s="241"/>
      <c r="H97" s="51">
        <f>D48*Assumptions!B7</f>
        <v>1.7905955615942035E-2</v>
      </c>
      <c r="J97" s="241"/>
      <c r="L97" s="51"/>
      <c r="N97" s="241"/>
      <c r="O97" s="51">
        <f>F47*Assumptions!B7</f>
        <v>1.7782291666666665</v>
      </c>
      <c r="R97" s="3"/>
    </row>
    <row r="98" spans="1:18" x14ac:dyDescent="0.75">
      <c r="A98" s="58" t="s">
        <v>53</v>
      </c>
      <c r="F98" s="241"/>
      <c r="J98" s="241"/>
      <c r="L98" s="51">
        <f>E50*Assumptions!B7</f>
        <v>7.7495081095678986E-2</v>
      </c>
      <c r="N98" s="241"/>
      <c r="R98" s="3"/>
    </row>
    <row r="99" spans="1:18" x14ac:dyDescent="0.75">
      <c r="A99" s="58" t="s">
        <v>54</v>
      </c>
      <c r="D99" s="51">
        <f>C51*Assumptions!B7</f>
        <v>3.0442989499999995</v>
      </c>
      <c r="F99" s="241"/>
      <c r="H99" s="51"/>
      <c r="J99" s="241"/>
      <c r="L99" s="51"/>
      <c r="N99" s="241"/>
      <c r="R99" s="3"/>
    </row>
    <row r="100" spans="1:18" x14ac:dyDescent="0.75">
      <c r="A100" s="58" t="s">
        <v>55</v>
      </c>
      <c r="D100" s="51">
        <f>C52*Assumptions!B7</f>
        <v>0.12845986107208329</v>
      </c>
      <c r="F100" s="241"/>
      <c r="H100" s="51"/>
      <c r="J100" s="241"/>
      <c r="L100" s="51"/>
      <c r="N100" s="241"/>
      <c r="R100" s="3"/>
    </row>
    <row r="101" spans="1:18" x14ac:dyDescent="0.75">
      <c r="A101" s="58" t="s">
        <v>48</v>
      </c>
      <c r="D101" s="51">
        <f>(C44/4*4)*Assumptions!B7</f>
        <v>3.9029666666666665</v>
      </c>
      <c r="F101" s="241"/>
      <c r="H101" s="51">
        <f>(D44/4*4)*Assumptions!B7</f>
        <v>3.0022820512820507</v>
      </c>
      <c r="J101" s="241"/>
      <c r="L101" s="51"/>
      <c r="N101" s="241"/>
      <c r="R101" s="3"/>
    </row>
    <row r="102" spans="1:18" ht="15.5" thickBot="1" x14ac:dyDescent="0.9">
      <c r="A102" s="66" t="s">
        <v>542</v>
      </c>
      <c r="B102" s="48"/>
      <c r="C102" s="48"/>
      <c r="D102" s="48"/>
      <c r="E102" s="248">
        <f>C54*Assumptions!B7</f>
        <v>3.6621666666666668</v>
      </c>
      <c r="F102" s="247"/>
      <c r="G102" s="48"/>
      <c r="H102" s="48"/>
      <c r="I102" s="248">
        <f>D54*Assumptions!B7</f>
        <v>6.1036111111111117E-2</v>
      </c>
      <c r="J102" s="247"/>
      <c r="K102" s="48"/>
      <c r="L102" s="48"/>
      <c r="M102" s="48"/>
      <c r="N102" s="247"/>
      <c r="O102" s="48"/>
      <c r="P102" s="48"/>
      <c r="Q102" s="48"/>
      <c r="R102" s="7"/>
    </row>
  </sheetData>
  <mergeCells count="15">
    <mergeCell ref="B85:E85"/>
    <mergeCell ref="F85:I85"/>
    <mergeCell ref="J85:M85"/>
    <mergeCell ref="N85:R85"/>
    <mergeCell ref="F47:F52"/>
    <mergeCell ref="A47:A54"/>
    <mergeCell ref="A3:C3"/>
    <mergeCell ref="A31:A32"/>
    <mergeCell ref="A1:H1"/>
    <mergeCell ref="A12:C12"/>
    <mergeCell ref="A39:A45"/>
    <mergeCell ref="A13:C13"/>
    <mergeCell ref="A23:C23"/>
    <mergeCell ref="A33:A35"/>
    <mergeCell ref="A37:B37"/>
  </mergeCells>
  <pageMargins left="0.7" right="0.7" top="0.75" bottom="0.75" header="0.3" footer="0.3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93"/>
  <sheetViews>
    <sheetView zoomScale="80" zoomScaleNormal="80" workbookViewId="0">
      <selection activeCell="C45" sqref="C45"/>
    </sheetView>
  </sheetViews>
  <sheetFormatPr defaultRowHeight="14.75" x14ac:dyDescent="0.75"/>
  <cols>
    <col min="1" max="1" width="42.08984375" customWidth="1"/>
    <col min="2" max="2" width="29.90625" bestFit="1" customWidth="1"/>
    <col min="3" max="3" width="25.36328125" bestFit="1" customWidth="1"/>
    <col min="4" max="4" width="23.54296875" bestFit="1" customWidth="1"/>
    <col min="5" max="5" width="24.6328125" bestFit="1" customWidth="1"/>
    <col min="6" max="6" width="21.90625" bestFit="1" customWidth="1"/>
    <col min="7" max="7" width="23.81640625" customWidth="1"/>
    <col min="8" max="8" width="18.81640625" bestFit="1" customWidth="1"/>
    <col min="13" max="13" width="8.26953125" bestFit="1" customWidth="1"/>
    <col min="15" max="15" width="17.1796875" bestFit="1" customWidth="1"/>
  </cols>
  <sheetData>
    <row r="1" spans="1:8" ht="26" customHeight="1" x14ac:dyDescent="1.2">
      <c r="A1" s="370" t="s">
        <v>102</v>
      </c>
      <c r="B1" s="363"/>
      <c r="C1" s="363"/>
      <c r="D1" s="363"/>
      <c r="E1" s="363"/>
      <c r="F1" s="363"/>
      <c r="G1" s="363"/>
      <c r="H1" s="363"/>
    </row>
    <row r="2" spans="1:8" ht="15" customHeight="1" x14ac:dyDescent="0.75">
      <c r="A2" s="92"/>
    </row>
    <row r="3" spans="1:8" ht="15" customHeight="1" thickBot="1" x14ac:dyDescent="0.9">
      <c r="A3" s="398" t="s">
        <v>1</v>
      </c>
      <c r="B3" s="399"/>
      <c r="C3" s="399"/>
    </row>
    <row r="4" spans="1:8" ht="15" customHeight="1" thickBot="1" x14ac:dyDescent="0.9">
      <c r="A4" s="297"/>
      <c r="B4" s="93" t="s">
        <v>2</v>
      </c>
      <c r="C4" s="94" t="s">
        <v>3</v>
      </c>
      <c r="E4" s="95" t="s">
        <v>4</v>
      </c>
    </row>
    <row r="5" spans="1:8" x14ac:dyDescent="0.75">
      <c r="A5" s="1" t="s">
        <v>5</v>
      </c>
      <c r="B5" s="2">
        <f>Assumptions!B8</f>
        <v>5</v>
      </c>
      <c r="C5" s="3" t="s">
        <v>580</v>
      </c>
      <c r="E5" s="4" t="s">
        <v>6</v>
      </c>
    </row>
    <row r="6" spans="1:8" ht="15" customHeight="1" thickBot="1" x14ac:dyDescent="0.9">
      <c r="A6" s="1" t="s">
        <v>5</v>
      </c>
      <c r="B6" s="124">
        <f>B5</f>
        <v>5</v>
      </c>
      <c r="C6" s="126" t="s">
        <v>580</v>
      </c>
      <c r="E6" s="8" t="s">
        <v>7</v>
      </c>
    </row>
    <row r="7" spans="1:8" ht="15" customHeight="1" thickBot="1" x14ac:dyDescent="0.9">
      <c r="A7" s="5" t="s">
        <v>8</v>
      </c>
      <c r="B7" s="78">
        <f>Assumptions!C18</f>
        <v>28.6</v>
      </c>
      <c r="C7" s="7" t="s">
        <v>145</v>
      </c>
    </row>
    <row r="8" spans="1:8" ht="15" customHeight="1" x14ac:dyDescent="0.75"/>
    <row r="9" spans="1:8" s="89" customFormat="1" ht="15" customHeight="1" thickBot="1" x14ac:dyDescent="0.9"/>
    <row r="10" spans="1:8" ht="19" customHeight="1" thickBot="1" x14ac:dyDescent="1.05">
      <c r="A10" s="153" t="s">
        <v>9</v>
      </c>
      <c r="B10" s="154"/>
      <c r="C10" s="154"/>
      <c r="D10" s="154"/>
      <c r="E10" s="154"/>
      <c r="F10" s="154"/>
      <c r="G10" s="155"/>
    </row>
    <row r="11" spans="1:8" ht="15" customHeight="1" thickBot="1" x14ac:dyDescent="0.9"/>
    <row r="12" spans="1:8" ht="15" customHeight="1" x14ac:dyDescent="0.75">
      <c r="A12" s="383" t="s">
        <v>136</v>
      </c>
      <c r="B12" s="384"/>
      <c r="C12" s="385"/>
    </row>
    <row r="13" spans="1:8" x14ac:dyDescent="0.75">
      <c r="A13" s="378" t="s">
        <v>11</v>
      </c>
      <c r="B13" s="379"/>
      <c r="C13" s="380"/>
      <c r="D13" s="9"/>
    </row>
    <row r="14" spans="1:8" ht="16.5" customHeight="1" thickBot="1" x14ac:dyDescent="0.9">
      <c r="A14" s="156"/>
      <c r="B14" s="150" t="s">
        <v>2</v>
      </c>
      <c r="C14" s="151" t="s">
        <v>3</v>
      </c>
      <c r="D14" s="9"/>
    </row>
    <row r="15" spans="1:8" x14ac:dyDescent="0.75">
      <c r="A15" s="12" t="s">
        <v>12</v>
      </c>
      <c r="B15" s="15">
        <f>Assumptions!E18</f>
        <v>5</v>
      </c>
      <c r="C15" s="11" t="s">
        <v>13</v>
      </c>
      <c r="D15" s="9"/>
    </row>
    <row r="16" spans="1:8" ht="16.75" x14ac:dyDescent="0.75">
      <c r="A16" s="12" t="s">
        <v>137</v>
      </c>
      <c r="B16" s="13">
        <f>(320/16)*(1/0.0929)*(9830000/982000)*(1/1000)</f>
        <v>2.1550448437866532</v>
      </c>
      <c r="C16" s="11" t="s">
        <v>509</v>
      </c>
      <c r="D16" s="9"/>
    </row>
    <row r="17" spans="1:8" x14ac:dyDescent="0.75">
      <c r="A17" s="12" t="s">
        <v>16</v>
      </c>
      <c r="B17" s="13">
        <f>(9830000/982000)*(1/1000)</f>
        <v>1.0010183299389002E-2</v>
      </c>
      <c r="C17" s="11" t="s">
        <v>17</v>
      </c>
      <c r="D17" s="9"/>
    </row>
    <row r="18" spans="1:8" ht="17" customHeight="1" x14ac:dyDescent="0.75">
      <c r="A18" s="12" t="s">
        <v>18</v>
      </c>
      <c r="B18" s="13">
        <f>B6*(1/B7)</f>
        <v>0.17482517482517479</v>
      </c>
      <c r="C18" s="11" t="s">
        <v>19</v>
      </c>
      <c r="D18" s="9"/>
    </row>
    <row r="19" spans="1:8" ht="15" customHeight="1" x14ac:dyDescent="0.75">
      <c r="A19" s="12" t="s">
        <v>20</v>
      </c>
      <c r="B19" s="15">
        <f>ROUNDUP(B18/B17,0)</f>
        <v>18</v>
      </c>
      <c r="C19" s="11" t="s">
        <v>21</v>
      </c>
      <c r="D19" s="9"/>
    </row>
    <row r="20" spans="1:8" ht="17" customHeight="1" thickBot="1" x14ac:dyDescent="0.9">
      <c r="A20" s="12" t="s">
        <v>23</v>
      </c>
      <c r="B20" s="13">
        <f>B18/B16</f>
        <v>8.1123683031109242E-2</v>
      </c>
      <c r="C20" s="11" t="s">
        <v>511</v>
      </c>
      <c r="D20" s="19"/>
      <c r="E20" s="20"/>
      <c r="F20" s="20"/>
    </row>
    <row r="21" spans="1:8" x14ac:dyDescent="0.75">
      <c r="A21" s="364" t="s">
        <v>138</v>
      </c>
      <c r="B21" s="365"/>
      <c r="C21" s="366"/>
      <c r="D21" s="9"/>
    </row>
    <row r="22" spans="1:8" ht="15" customHeight="1" thickBot="1" x14ac:dyDescent="0.9">
      <c r="A22" s="174"/>
      <c r="B22" s="150" t="s">
        <v>2</v>
      </c>
      <c r="C22" s="151" t="s">
        <v>3</v>
      </c>
      <c r="D22" s="9"/>
      <c r="G22" s="20"/>
      <c r="H22" s="20"/>
    </row>
    <row r="23" spans="1:8" ht="17" customHeight="1" x14ac:dyDescent="0.75">
      <c r="A23" s="12" t="s">
        <v>25</v>
      </c>
      <c r="B23" s="21">
        <f>B19*B15</f>
        <v>90</v>
      </c>
      <c r="C23" s="11" t="s">
        <v>26</v>
      </c>
      <c r="D23" s="9"/>
      <c r="G23" s="20"/>
      <c r="H23" s="20"/>
    </row>
    <row r="24" spans="1:8" x14ac:dyDescent="0.75">
      <c r="A24" s="12" t="s">
        <v>27</v>
      </c>
      <c r="B24" s="22">
        <f>B17*B23</f>
        <v>0.90091649694501019</v>
      </c>
      <c r="C24" s="11" t="s">
        <v>28</v>
      </c>
      <c r="D24" s="9"/>
      <c r="G24" s="20"/>
      <c r="H24" s="20"/>
    </row>
    <row r="25" spans="1:8" ht="15" customHeight="1" thickBot="1" x14ac:dyDescent="0.9">
      <c r="A25" s="5" t="s">
        <v>23</v>
      </c>
      <c r="B25" s="23">
        <f>B24/B16</f>
        <v>0.41804999999999992</v>
      </c>
      <c r="C25" s="24" t="s">
        <v>511</v>
      </c>
      <c r="D25" s="9"/>
      <c r="G25" s="20"/>
      <c r="H25" s="20"/>
    </row>
    <row r="26" spans="1:8" ht="17" customHeight="1" thickBot="1" x14ac:dyDescent="0.9">
      <c r="B26" s="15"/>
      <c r="C26" s="15"/>
    </row>
    <row r="27" spans="1:8" x14ac:dyDescent="0.75">
      <c r="A27" s="158" t="s">
        <v>29</v>
      </c>
      <c r="B27" s="159"/>
      <c r="C27" s="159"/>
      <c r="D27" s="159"/>
      <c r="E27" s="159"/>
      <c r="F27" s="159"/>
      <c r="G27" s="160"/>
    </row>
    <row r="28" spans="1:8" ht="17" customHeight="1" thickBot="1" x14ac:dyDescent="1.1000000000000001">
      <c r="A28" s="157" t="s">
        <v>30</v>
      </c>
      <c r="B28" s="150" t="s">
        <v>31</v>
      </c>
      <c r="C28" s="150" t="s">
        <v>32</v>
      </c>
      <c r="D28" s="150" t="s">
        <v>33</v>
      </c>
      <c r="E28" s="232" t="s">
        <v>499</v>
      </c>
      <c r="F28" s="150" t="s">
        <v>500</v>
      </c>
      <c r="G28" s="151" t="s">
        <v>34</v>
      </c>
    </row>
    <row r="29" spans="1:8" x14ac:dyDescent="0.75">
      <c r="A29" s="386" t="s">
        <v>35</v>
      </c>
      <c r="B29" t="s">
        <v>36</v>
      </c>
      <c r="C29" s="15">
        <v>1</v>
      </c>
      <c r="D29" s="25">
        <f>(101.5-22.9-8.4)*B25</f>
        <v>29.34710999999999</v>
      </c>
      <c r="E29" s="25">
        <f>(1.03-0.25)*B25</f>
        <v>0.32607899999999995</v>
      </c>
      <c r="F29" s="26">
        <f>(2.6-2.1-0.075)*B25</f>
        <v>0.17767124999999998</v>
      </c>
      <c r="G29" s="27"/>
    </row>
    <row r="30" spans="1:8" x14ac:dyDescent="0.75">
      <c r="A30" s="387"/>
      <c r="B30" s="28" t="s">
        <v>37</v>
      </c>
      <c r="C30" s="29">
        <f>ROUNDUP(B25*9,0)</f>
        <v>4</v>
      </c>
      <c r="D30" s="30">
        <f>0.243*C30</f>
        <v>0.97199999999999998</v>
      </c>
      <c r="E30" s="31">
        <f>(0.3*0.3*0.001)*C30</f>
        <v>3.5999999999999997E-4</v>
      </c>
      <c r="F30" s="31">
        <f>50.7*C30*(1/1000)</f>
        <v>0.20280000000000001</v>
      </c>
      <c r="G30" s="32"/>
    </row>
    <row r="31" spans="1:8" ht="15" customHeight="1" thickBot="1" x14ac:dyDescent="0.9">
      <c r="A31" s="371" t="s">
        <v>38</v>
      </c>
      <c r="B31" s="38" t="s">
        <v>547</v>
      </c>
      <c r="C31" s="34">
        <f>IF((0.003785*C33*2) &lt;= 0.0187, 1, CEILING((0.003785*C33*2)/0.0187, 1))</f>
        <v>1</v>
      </c>
      <c r="D31" s="35">
        <f>0.75*B18*C31</f>
        <v>0.13111888111888109</v>
      </c>
      <c r="E31" s="36">
        <f>0.00393*B18*C31</f>
        <v>6.8706293706293701E-4</v>
      </c>
      <c r="F31" s="35">
        <f>0.00033*B18*C31</f>
        <v>5.7692307692307677E-5</v>
      </c>
      <c r="G31" s="37"/>
    </row>
    <row r="32" spans="1:8" x14ac:dyDescent="0.75">
      <c r="A32" s="368"/>
      <c r="B32" s="38" t="s">
        <v>39</v>
      </c>
      <c r="C32" s="39">
        <f>IF(F45 &lt;= 2, 1, CEILING(F45 / 2, 1))</f>
        <v>1</v>
      </c>
      <c r="D32" s="26">
        <f>0.20411*C32/Assumptions!$B$5</f>
        <v>3.4018333333333338E-2</v>
      </c>
      <c r="E32" s="26">
        <f>0.00064416*C32/Assumptions!$B$5</f>
        <v>1.0735999999999999E-4</v>
      </c>
      <c r="F32" s="40"/>
      <c r="G32" s="41"/>
      <c r="H32" t="s">
        <v>526</v>
      </c>
    </row>
    <row r="33" spans="1:7" ht="15" customHeight="1" thickBot="1" x14ac:dyDescent="0.9">
      <c r="A33" s="369"/>
      <c r="B33" s="42" t="s">
        <v>40</v>
      </c>
      <c r="C33" s="43">
        <f>ROUNDUP(B18/(85*0.003785),0)</f>
        <v>1</v>
      </c>
      <c r="D33" s="44">
        <f>(7.62/250)*(0.45359/1)*C33</f>
        <v>1.3825423199999999E-2</v>
      </c>
      <c r="E33" s="44">
        <f>(10.5*11*0.00394)*0.00001639*C33</f>
        <v>7.4585973E-6</v>
      </c>
      <c r="F33" s="45"/>
      <c r="G33" s="46"/>
    </row>
    <row r="34" spans="1:7" ht="17" customHeight="1" thickBot="1" x14ac:dyDescent="0.9"/>
    <row r="35" spans="1:7" x14ac:dyDescent="0.75">
      <c r="A35" s="373" t="s">
        <v>517</v>
      </c>
      <c r="B35" s="365"/>
      <c r="C35" s="162"/>
      <c r="D35" s="162"/>
      <c r="E35" s="161"/>
      <c r="F35" s="163"/>
    </row>
    <row r="36" spans="1:7" ht="17" customHeight="1" thickBot="1" x14ac:dyDescent="1.1000000000000001">
      <c r="A36" s="169" t="s">
        <v>30</v>
      </c>
      <c r="B36" s="170" t="s">
        <v>42</v>
      </c>
      <c r="C36" s="170" t="s">
        <v>33</v>
      </c>
      <c r="D36" s="150" t="s">
        <v>499</v>
      </c>
      <c r="E36" s="170" t="s">
        <v>500</v>
      </c>
      <c r="F36" s="171" t="s">
        <v>34</v>
      </c>
    </row>
    <row r="37" spans="1:7" ht="15" customHeight="1" thickBot="1" x14ac:dyDescent="0.9">
      <c r="A37" s="388" t="s">
        <v>35</v>
      </c>
      <c r="B37" t="s">
        <v>139</v>
      </c>
      <c r="C37" s="25">
        <f>0.0004288*B19*2</f>
        <v>1.5436800000000001E-2</v>
      </c>
      <c r="D37" s="25">
        <f>(4/3)*PI()*((0.45/2)^3)*(1/1000^3)</f>
        <v>4.771293842639499E-11</v>
      </c>
      <c r="E37" s="49"/>
      <c r="F37" s="63">
        <f>((B19*2)*(1/10)*(1/60)*1.5)+(4.6*(1/(215*2))*1.5)</f>
        <v>0.10604651162790697</v>
      </c>
    </row>
    <row r="38" spans="1:7" x14ac:dyDescent="0.75">
      <c r="A38" s="368"/>
      <c r="B38" t="s">
        <v>44</v>
      </c>
      <c r="C38" s="26">
        <f>D38*1000</f>
        <v>7.0472143449124607</v>
      </c>
      <c r="D38" s="26">
        <f>(7.3*B20*35)*0.34*0.001</f>
        <v>7.047214344912461E-3</v>
      </c>
      <c r="E38" s="49"/>
      <c r="F38" s="50">
        <f>90*4*(1/60)*(1/12.5)*(1/365)*35*B20*1.5</f>
        <v>5.6008679791341182E-3</v>
      </c>
      <c r="G38" s="51"/>
    </row>
    <row r="39" spans="1:7" ht="16.5" customHeight="1" x14ac:dyDescent="0.75">
      <c r="A39" s="368"/>
      <c r="B39" t="s">
        <v>45</v>
      </c>
      <c r="C39" s="26">
        <f>((1.166+(12.406*3))*(D38*1000))/1000</f>
        <v>0.2705002754151199</v>
      </c>
      <c r="D39" s="52"/>
      <c r="E39" s="49"/>
      <c r="F39" s="50">
        <f>(20.17/10)*(1/60)*(1/12.5)*B20*35*1.5</f>
        <v>1.1453852807162315E-2</v>
      </c>
      <c r="G39" s="51"/>
    </row>
    <row r="40" spans="1:7" x14ac:dyDescent="0.75">
      <c r="A40" s="368"/>
      <c r="B40" t="s">
        <v>46</v>
      </c>
      <c r="C40" s="26">
        <f>(10.7*B20*35)/1000</f>
        <v>3.0380819295150411E-2</v>
      </c>
      <c r="D40" s="26">
        <f>C40/1.82</f>
        <v>1.6692757854478248E-2</v>
      </c>
      <c r="E40" s="49"/>
      <c r="F40" s="53">
        <f>2.13*365*(1/60)*(1/365)*35*1.5</f>
        <v>1.86375</v>
      </c>
      <c r="G40" s="51"/>
    </row>
    <row r="41" spans="1:7" ht="15" customHeight="1" x14ac:dyDescent="0.95">
      <c r="A41" s="368"/>
      <c r="B41" s="164" t="s">
        <v>47</v>
      </c>
      <c r="C41" s="165" t="s">
        <v>33</v>
      </c>
      <c r="D41" s="165" t="s">
        <v>499</v>
      </c>
      <c r="E41" s="165" t="s">
        <v>500</v>
      </c>
      <c r="F41" s="166" t="s">
        <v>34</v>
      </c>
    </row>
    <row r="42" spans="1:7" ht="17" customHeight="1" x14ac:dyDescent="0.75">
      <c r="A42" s="368"/>
      <c r="B42" s="38" t="s">
        <v>48</v>
      </c>
      <c r="C42" s="26">
        <f>(7.78*B20*35)/1000</f>
        <v>2.2089978889371045E-2</v>
      </c>
      <c r="D42" s="26">
        <f>C42/1.3</f>
        <v>1.699229145336234E-2</v>
      </c>
      <c r="E42" s="49"/>
      <c r="F42" s="54"/>
    </row>
    <row r="43" spans="1:7" x14ac:dyDescent="0.75">
      <c r="A43" s="369"/>
      <c r="B43" s="38" t="s">
        <v>49</v>
      </c>
      <c r="C43" s="26">
        <f>2.1*B20*35</f>
        <v>5.9625907027865299</v>
      </c>
      <c r="D43" s="26">
        <f>C43/1000</f>
        <v>5.9625907027865297E-3</v>
      </c>
      <c r="E43" s="49"/>
      <c r="F43" s="54"/>
    </row>
    <row r="44" spans="1:7" ht="16.5" customHeight="1" x14ac:dyDescent="0.95">
      <c r="A44" s="152" t="s">
        <v>30</v>
      </c>
      <c r="B44" s="165" t="s">
        <v>47</v>
      </c>
      <c r="C44" s="165" t="s">
        <v>33</v>
      </c>
      <c r="D44" s="165" t="s">
        <v>499</v>
      </c>
      <c r="E44" s="165" t="s">
        <v>500</v>
      </c>
      <c r="F44" s="166" t="s">
        <v>34</v>
      </c>
    </row>
    <row r="45" spans="1:7" ht="15" customHeight="1" thickBot="1" x14ac:dyDescent="0.9">
      <c r="A45" s="367" t="s">
        <v>38</v>
      </c>
      <c r="B45" s="38" t="s">
        <v>50</v>
      </c>
      <c r="C45" s="26">
        <f>B6/1000000</f>
        <v>5.0000000000000004E-6</v>
      </c>
      <c r="D45" s="49"/>
      <c r="E45" s="49"/>
      <c r="F45" s="374">
        <f>(3.97*B20)*(1/60)*1.5</f>
        <v>8.0515255408375938E-3</v>
      </c>
      <c r="G45" s="56"/>
    </row>
    <row r="46" spans="1:7" ht="15" customHeight="1" x14ac:dyDescent="0.75">
      <c r="A46" s="368"/>
      <c r="B46" s="38" t="s">
        <v>140</v>
      </c>
      <c r="C46" s="26">
        <f>B16*B20</f>
        <v>0.17482517482517479</v>
      </c>
      <c r="D46" s="26">
        <f>C46*(1/60)</f>
        <v>2.9137529137529131E-3</v>
      </c>
      <c r="E46" s="49"/>
      <c r="F46" s="375"/>
    </row>
    <row r="47" spans="1:7" ht="15" customHeight="1" x14ac:dyDescent="0.95">
      <c r="A47" s="368"/>
      <c r="B47" s="164" t="s">
        <v>56</v>
      </c>
      <c r="C47" s="165" t="s">
        <v>33</v>
      </c>
      <c r="D47" s="165" t="s">
        <v>499</v>
      </c>
      <c r="E47" s="165" t="s">
        <v>500</v>
      </c>
      <c r="F47" s="166" t="s">
        <v>34</v>
      </c>
    </row>
    <row r="48" spans="1:7" ht="15" customHeight="1" thickBot="1" x14ac:dyDescent="0.9">
      <c r="A48" s="369"/>
      <c r="B48" s="42" t="s">
        <v>57</v>
      </c>
      <c r="C48" s="44">
        <f>(7.3/1000)*B20*35</f>
        <v>2.0727101014448412E-2</v>
      </c>
      <c r="D48" s="44">
        <f>C48*(1/60)</f>
        <v>3.454516835741402E-4</v>
      </c>
      <c r="E48" s="55"/>
      <c r="F48" s="57"/>
    </row>
    <row r="49" spans="1:8" ht="15" customHeight="1" thickBot="1" x14ac:dyDescent="0.9">
      <c r="A49" s="115"/>
      <c r="B49" s="116"/>
      <c r="C49" s="116"/>
      <c r="D49" s="116"/>
      <c r="E49" s="116"/>
      <c r="F49" s="87"/>
    </row>
    <row r="50" spans="1:8" ht="15" customHeight="1" x14ac:dyDescent="0.75">
      <c r="A50" s="173" t="s">
        <v>58</v>
      </c>
      <c r="B50" s="161"/>
      <c r="C50" s="161"/>
      <c r="D50" s="161"/>
      <c r="E50" s="161"/>
      <c r="F50" s="233"/>
    </row>
    <row r="51" spans="1:8" ht="15" customHeight="1" thickBot="1" x14ac:dyDescent="0.9">
      <c r="A51" s="157" t="s">
        <v>59</v>
      </c>
      <c r="B51" s="150" t="s">
        <v>60</v>
      </c>
      <c r="C51" s="150" t="s">
        <v>61</v>
      </c>
      <c r="D51" s="150" t="s">
        <v>62</v>
      </c>
      <c r="E51" s="150" t="s">
        <v>63</v>
      </c>
      <c r="F51" s="166" t="s">
        <v>516</v>
      </c>
    </row>
    <row r="52" spans="1:8" x14ac:dyDescent="0.75">
      <c r="A52" s="58" t="s">
        <v>33</v>
      </c>
      <c r="B52" s="26">
        <f>SUM(D29:D33)</f>
        <v>30.498072637652204</v>
      </c>
      <c r="C52" s="26">
        <f>C37+(C39/5*5)+(C40/5*5)</f>
        <v>0.31631789471027033</v>
      </c>
      <c r="D52" s="59"/>
      <c r="E52" s="26">
        <f>SUM((C42/5*5),C45,C46)</f>
        <v>0.19692015371454583</v>
      </c>
      <c r="F52" s="61"/>
      <c r="H52" s="15"/>
    </row>
    <row r="53" spans="1:8" ht="16.75" x14ac:dyDescent="0.75">
      <c r="A53" s="58" t="s">
        <v>499</v>
      </c>
      <c r="B53" s="26">
        <f>SUM(E29:E33)</f>
        <v>0.32724088153436293</v>
      </c>
      <c r="C53" s="26">
        <f>D37+(D40/5*5)</f>
        <v>1.6692757902191185E-2</v>
      </c>
      <c r="D53" s="52"/>
      <c r="E53" s="26">
        <f>SUM((D42/5*5),(D43/5*5),D46)</f>
        <v>2.586863506990178E-2</v>
      </c>
      <c r="F53" s="61"/>
      <c r="H53" s="15"/>
    </row>
    <row r="54" spans="1:8" ht="16.75" x14ac:dyDescent="0.95">
      <c r="A54" s="58" t="s">
        <v>500</v>
      </c>
      <c r="B54" s="26">
        <f>SUM(F29:F31)</f>
        <v>0.3805289423076923</v>
      </c>
      <c r="C54" s="60"/>
      <c r="D54" s="49"/>
      <c r="E54" s="217">
        <v>0</v>
      </c>
      <c r="F54" s="54"/>
      <c r="H54" s="15"/>
    </row>
    <row r="55" spans="1:8" ht="16.75" x14ac:dyDescent="0.95">
      <c r="A55" s="58" t="s">
        <v>501</v>
      </c>
      <c r="B55" s="26">
        <f>SUM(F29:F31)</f>
        <v>0.3805289423076923</v>
      </c>
      <c r="C55" s="49"/>
      <c r="D55" s="59"/>
      <c r="E55" s="49"/>
      <c r="F55" s="54"/>
      <c r="H55" s="39"/>
    </row>
    <row r="56" spans="1:8" x14ac:dyDescent="0.75">
      <c r="A56" s="58" t="s">
        <v>512</v>
      </c>
      <c r="B56" s="217">
        <f>+SUM(G29:G33)</f>
        <v>0</v>
      </c>
      <c r="C56" s="62"/>
      <c r="D56" s="62"/>
      <c r="E56" s="62"/>
      <c r="F56" s="3">
        <f>+SUM(F37,(F38/5*5),(F39/5*5),(F40/5)+F45)</f>
        <v>0.50390275795504103</v>
      </c>
      <c r="H56" s="39"/>
    </row>
    <row r="57" spans="1:8" ht="15" customHeight="1" x14ac:dyDescent="0.75">
      <c r="A57" s="64" t="s">
        <v>65</v>
      </c>
      <c r="B57" s="65"/>
      <c r="C57" s="228">
        <v>0</v>
      </c>
      <c r="D57" s="49"/>
      <c r="E57" s="26">
        <f>B18</f>
        <v>0.17482517482517479</v>
      </c>
      <c r="F57" s="54"/>
      <c r="H57" s="15"/>
    </row>
    <row r="58" spans="1:8" x14ac:dyDescent="0.75">
      <c r="A58" s="58" t="s">
        <v>66</v>
      </c>
      <c r="B58" s="26">
        <f>C58-C43</f>
        <v>1.0846236421259299</v>
      </c>
      <c r="C58" s="26">
        <f>(C38/5*5)</f>
        <v>7.0472143449124598</v>
      </c>
      <c r="D58" s="49"/>
      <c r="E58" s="26">
        <f>C43/5*5</f>
        <v>5.9625907027865299</v>
      </c>
      <c r="F58" s="54"/>
      <c r="H58" s="15"/>
    </row>
    <row r="59" spans="1:8" ht="15" customHeight="1" thickBot="1" x14ac:dyDescent="0.9">
      <c r="A59" s="66" t="s">
        <v>67</v>
      </c>
      <c r="B59" s="67"/>
      <c r="C59" s="67"/>
      <c r="D59" s="44">
        <f>C48</f>
        <v>2.0727101014448412E-2</v>
      </c>
      <c r="E59" s="67"/>
      <c r="F59" s="216"/>
      <c r="H59" s="15"/>
    </row>
    <row r="60" spans="1:8" ht="19" customHeight="1" thickBot="1" x14ac:dyDescent="0.9"/>
    <row r="61" spans="1:8" ht="15" customHeight="1" x14ac:dyDescent="0.75">
      <c r="A61" s="173" t="s">
        <v>68</v>
      </c>
      <c r="B61" s="162"/>
      <c r="C61" s="162"/>
      <c r="D61" s="162"/>
      <c r="E61" s="162"/>
      <c r="F61" s="162"/>
      <c r="G61" s="161"/>
      <c r="H61" s="163"/>
    </row>
    <row r="62" spans="1:8" ht="17" customHeight="1" thickBot="1" x14ac:dyDescent="1.1000000000000001">
      <c r="A62" s="157" t="s">
        <v>69</v>
      </c>
      <c r="B62" s="150" t="s">
        <v>503</v>
      </c>
      <c r="C62" s="150" t="s">
        <v>504</v>
      </c>
      <c r="D62" s="150" t="s">
        <v>505</v>
      </c>
      <c r="E62" s="150" t="s">
        <v>506</v>
      </c>
      <c r="F62" s="150" t="s">
        <v>507</v>
      </c>
      <c r="G62" s="150" t="s">
        <v>508</v>
      </c>
      <c r="H62" s="151" t="s">
        <v>76</v>
      </c>
    </row>
    <row r="63" spans="1:8" ht="15" customHeight="1" thickBot="1" x14ac:dyDescent="0.9">
      <c r="A63" s="69" t="s">
        <v>485</v>
      </c>
      <c r="B63" s="70">
        <f>Assumptions!B13</f>
        <v>79.3</v>
      </c>
      <c r="C63" s="70">
        <f>Assumptions!C13</f>
        <v>162</v>
      </c>
      <c r="D63" s="70">
        <f>Assumptions!D13</f>
        <v>96</v>
      </c>
      <c r="E63" s="70">
        <f>Assumptions!E13</f>
        <v>0.21</v>
      </c>
      <c r="F63" s="70">
        <f>Assumptions!F13</f>
        <v>0.93</v>
      </c>
      <c r="G63" s="70">
        <f>Assumptions!G13</f>
        <v>0.3</v>
      </c>
      <c r="H63" s="74">
        <f>Assumptions!H13</f>
        <v>0.94</v>
      </c>
    </row>
    <row r="64" spans="1:8" ht="15" customHeight="1" thickBot="1" x14ac:dyDescent="0.9">
      <c r="B64" s="15"/>
      <c r="C64" s="15"/>
      <c r="D64" s="15"/>
      <c r="E64" s="15"/>
      <c r="F64" s="15"/>
    </row>
    <row r="65" spans="1:19" ht="15" customHeight="1" x14ac:dyDescent="0.75">
      <c r="A65" s="71" t="s">
        <v>78</v>
      </c>
      <c r="B65" s="72">
        <v>1</v>
      </c>
      <c r="C65" s="15"/>
      <c r="D65" s="26"/>
      <c r="E65" s="26"/>
      <c r="F65" s="26"/>
    </row>
    <row r="66" spans="1:19" ht="17" customHeight="1" thickBot="1" x14ac:dyDescent="0.9">
      <c r="A66" s="73" t="s">
        <v>79</v>
      </c>
      <c r="B66" s="74">
        <f>B65*86</f>
        <v>86</v>
      </c>
      <c r="C66" s="15"/>
      <c r="D66" s="26"/>
      <c r="E66" s="15"/>
      <c r="F66" s="15"/>
    </row>
    <row r="67" spans="1:19" ht="15" customHeight="1" thickBot="1" x14ac:dyDescent="0.9">
      <c r="B67" s="15"/>
      <c r="C67" s="15"/>
      <c r="D67" s="51"/>
      <c r="E67" s="15"/>
      <c r="F67" s="15"/>
    </row>
    <row r="68" spans="1:19" ht="17" customHeight="1" thickBot="1" x14ac:dyDescent="1.1000000000000001">
      <c r="A68" s="167" t="s">
        <v>80</v>
      </c>
      <c r="B68" s="148" t="s">
        <v>502</v>
      </c>
      <c r="C68" s="51"/>
      <c r="D68" s="26"/>
    </row>
    <row r="69" spans="1:19" x14ac:dyDescent="0.75">
      <c r="A69" s="75" t="s">
        <v>60</v>
      </c>
      <c r="B69" s="235">
        <f>B52+(B53*B63)+(B54*C63)+(B55*D63)+(B58*G63)</f>
        <v>154.95012875134958</v>
      </c>
      <c r="C69" s="51"/>
    </row>
    <row r="70" spans="1:19" x14ac:dyDescent="0.75">
      <c r="A70" s="75" t="s">
        <v>516</v>
      </c>
      <c r="B70" s="235">
        <f>+B66*F56*H63</f>
        <v>40.735498953085518</v>
      </c>
      <c r="C70" s="51"/>
    </row>
    <row r="71" spans="1:19" x14ac:dyDescent="0.75">
      <c r="A71" s="75" t="s">
        <v>82</v>
      </c>
      <c r="B71" s="236">
        <f>B66*(C52+(C53*B63)+(C57*E63)+(C58*G63))</f>
        <v>322.86273938518815</v>
      </c>
    </row>
    <row r="72" spans="1:19" ht="17" customHeight="1" x14ac:dyDescent="0.75">
      <c r="A72" s="75" t="s">
        <v>83</v>
      </c>
      <c r="B72" s="236">
        <f>B66*((D59*F63))</f>
        <v>1.6577535391355842</v>
      </c>
    </row>
    <row r="73" spans="1:19" x14ac:dyDescent="0.75">
      <c r="A73" s="76" t="s">
        <v>84</v>
      </c>
      <c r="B73" s="237">
        <f>B66*(E52+(E53*B63)+(E54*C63)-(E57*E63)+(E58*G63))</f>
        <v>344.03154814371698</v>
      </c>
    </row>
    <row r="74" spans="1:19" ht="17" customHeight="1" thickBot="1" x14ac:dyDescent="1.1000000000000001">
      <c r="A74" s="77" t="s">
        <v>528</v>
      </c>
      <c r="B74" s="238">
        <f>B69+B70+B71+B72-B73</f>
        <v>176.17457248504189</v>
      </c>
    </row>
    <row r="76" spans="1:19" x14ac:dyDescent="0.75">
      <c r="A76" s="89"/>
      <c r="B76" s="89"/>
      <c r="C76" s="89"/>
      <c r="D76" s="89"/>
      <c r="E76" s="89"/>
      <c r="F76" s="89"/>
      <c r="G76" s="89"/>
      <c r="H76" s="89"/>
      <c r="I76" s="89"/>
      <c r="J76" s="89"/>
      <c r="K76" s="89"/>
      <c r="L76" s="89"/>
      <c r="M76" s="89"/>
      <c r="N76" s="89"/>
      <c r="O76" s="89"/>
      <c r="P76" s="89"/>
      <c r="Q76" s="89"/>
      <c r="R76" s="89"/>
      <c r="S76" s="89"/>
    </row>
    <row r="77" spans="1:19" ht="15.5" thickBot="1" x14ac:dyDescent="0.9"/>
    <row r="78" spans="1:19" x14ac:dyDescent="0.75">
      <c r="A78" s="312" t="s">
        <v>546</v>
      </c>
      <c r="B78" s="313"/>
      <c r="C78" s="313"/>
      <c r="D78" s="313"/>
      <c r="E78" s="313"/>
      <c r="F78" s="313"/>
      <c r="G78" s="313"/>
      <c r="H78" s="313"/>
      <c r="I78" s="313"/>
      <c r="J78" s="313"/>
      <c r="K78" s="313"/>
      <c r="L78" s="313"/>
      <c r="M78" s="313"/>
      <c r="N78" s="313"/>
      <c r="O78" s="313"/>
      <c r="P78" s="313"/>
      <c r="Q78" s="313"/>
      <c r="R78" s="295"/>
    </row>
    <row r="79" spans="1:19" x14ac:dyDescent="0.75">
      <c r="A79" s="314"/>
      <c r="B79" s="389" t="s">
        <v>344</v>
      </c>
      <c r="C79" s="389"/>
      <c r="D79" s="389"/>
      <c r="E79" s="390"/>
      <c r="F79" s="391" t="s">
        <v>543</v>
      </c>
      <c r="G79" s="389"/>
      <c r="H79" s="389"/>
      <c r="I79" s="389"/>
      <c r="J79" s="391" t="s">
        <v>544</v>
      </c>
      <c r="K79" s="389"/>
      <c r="L79" s="389"/>
      <c r="M79" s="389"/>
      <c r="N79" s="391" t="s">
        <v>545</v>
      </c>
      <c r="O79" s="389"/>
      <c r="P79" s="389"/>
      <c r="Q79" s="389"/>
      <c r="R79" s="392"/>
    </row>
    <row r="80" spans="1:19" ht="15.5" thickBot="1" x14ac:dyDescent="0.9">
      <c r="A80" s="315"/>
      <c r="B80" s="246" t="s">
        <v>60</v>
      </c>
      <c r="C80" s="243" t="s">
        <v>42</v>
      </c>
      <c r="D80" s="243" t="s">
        <v>47</v>
      </c>
      <c r="E80" s="243" t="s">
        <v>56</v>
      </c>
      <c r="F80" s="242" t="s">
        <v>60</v>
      </c>
      <c r="G80" s="243" t="s">
        <v>42</v>
      </c>
      <c r="H80" s="243" t="s">
        <v>47</v>
      </c>
      <c r="I80" s="243" t="s">
        <v>56</v>
      </c>
      <c r="J80" s="242" t="s">
        <v>60</v>
      </c>
      <c r="K80" s="243" t="s">
        <v>42</v>
      </c>
      <c r="L80" s="243" t="s">
        <v>47</v>
      </c>
      <c r="M80" s="243" t="s">
        <v>56</v>
      </c>
      <c r="N80" s="242" t="s">
        <v>60</v>
      </c>
      <c r="O80" s="246" t="s">
        <v>516</v>
      </c>
      <c r="P80" s="243" t="s">
        <v>42</v>
      </c>
      <c r="Q80" s="243" t="s">
        <v>47</v>
      </c>
      <c r="R80" s="244" t="s">
        <v>56</v>
      </c>
    </row>
    <row r="81" spans="1:18" x14ac:dyDescent="0.75">
      <c r="A81" s="58" t="s">
        <v>540</v>
      </c>
      <c r="B81" s="51">
        <f>D33</f>
        <v>1.3825423199999999E-2</v>
      </c>
      <c r="F81" s="334">
        <f>E33</f>
        <v>7.4585973E-6</v>
      </c>
      <c r="J81" s="245"/>
      <c r="N81" s="241"/>
      <c r="R81" s="87"/>
    </row>
    <row r="82" spans="1:18" x14ac:dyDescent="0.75">
      <c r="A82" s="58" t="s">
        <v>541</v>
      </c>
      <c r="B82" s="51">
        <f>D32</f>
        <v>3.4018333333333338E-2</v>
      </c>
      <c r="F82" s="245">
        <f>E32</f>
        <v>1.0735999999999999E-4</v>
      </c>
      <c r="J82" s="245"/>
      <c r="N82" s="241"/>
      <c r="R82" s="3"/>
    </row>
    <row r="83" spans="1:18" x14ac:dyDescent="0.75">
      <c r="A83" s="58" t="s">
        <v>547</v>
      </c>
      <c r="B83" s="51">
        <f>D31</f>
        <v>0.13111888111888109</v>
      </c>
      <c r="F83" s="245">
        <f>E31</f>
        <v>6.8706293706293701E-4</v>
      </c>
      <c r="J83" s="245">
        <f>F31</f>
        <v>5.7692307692307677E-5</v>
      </c>
      <c r="N83" s="241"/>
      <c r="R83" s="3"/>
    </row>
    <row r="84" spans="1:18" x14ac:dyDescent="0.75">
      <c r="A84" s="58" t="s">
        <v>37</v>
      </c>
      <c r="B84" s="51">
        <f>D30</f>
        <v>0.97199999999999998</v>
      </c>
      <c r="F84" s="245">
        <f>E30</f>
        <v>3.5999999999999997E-4</v>
      </c>
      <c r="J84" s="245">
        <f>F30</f>
        <v>0.20280000000000001</v>
      </c>
      <c r="N84" s="241"/>
      <c r="R84" s="3"/>
    </row>
    <row r="85" spans="1:18" x14ac:dyDescent="0.75">
      <c r="A85" s="58" t="s">
        <v>36</v>
      </c>
      <c r="B85" s="51">
        <f>D29</f>
        <v>29.34710999999999</v>
      </c>
      <c r="F85" s="245">
        <f>E29</f>
        <v>0.32607899999999995</v>
      </c>
      <c r="J85" s="245">
        <f>F29</f>
        <v>0.17767124999999998</v>
      </c>
      <c r="N85" s="241"/>
      <c r="R85" s="3"/>
    </row>
    <row r="86" spans="1:18" x14ac:dyDescent="0.75">
      <c r="A86" s="58" t="s">
        <v>139</v>
      </c>
      <c r="C86" s="51">
        <f>C37*Assumptions!B7</f>
        <v>1.3275648</v>
      </c>
      <c r="F86" s="241"/>
      <c r="G86" s="51">
        <f>D37*Assumptions!B7</f>
        <v>4.1033127046699689E-9</v>
      </c>
      <c r="J86" s="241"/>
      <c r="K86" s="51"/>
      <c r="N86" s="241"/>
      <c r="O86" s="51">
        <f>F37*Assumptions!B7</f>
        <v>9.1199999999999992</v>
      </c>
      <c r="R86" s="3"/>
    </row>
    <row r="87" spans="1:18" x14ac:dyDescent="0.75">
      <c r="A87" s="58" t="s">
        <v>44</v>
      </c>
      <c r="C87" s="51">
        <f>C38*Assumptions!B7</f>
        <v>606.06043366247161</v>
      </c>
      <c r="D87" s="51">
        <f>C43*Assumptions!B7</f>
        <v>512.78280043964162</v>
      </c>
      <c r="F87" s="241"/>
      <c r="G87" s="51">
        <f>D38*Assumptions!B7</f>
        <v>0.60606043366247164</v>
      </c>
      <c r="H87" s="51">
        <f>D43*Assumptions!B7</f>
        <v>0.51278280043964153</v>
      </c>
      <c r="J87" s="241"/>
      <c r="K87" s="51"/>
      <c r="L87" s="51"/>
      <c r="N87" s="241"/>
      <c r="O87" s="51">
        <f>F38*Assumptions!B7</f>
        <v>0.48167464620553418</v>
      </c>
      <c r="R87" s="3"/>
    </row>
    <row r="88" spans="1:18" x14ac:dyDescent="0.75">
      <c r="A88" s="58" t="s">
        <v>45</v>
      </c>
      <c r="C88" s="51">
        <f>C39*Assumptions!B7</f>
        <v>23.263023685700311</v>
      </c>
      <c r="F88" s="241"/>
      <c r="G88" s="51"/>
      <c r="J88" s="241"/>
      <c r="K88" s="51"/>
      <c r="N88" s="241"/>
      <c r="O88" s="51">
        <f>F39*Assumptions!B7</f>
        <v>0.98503134141595905</v>
      </c>
      <c r="R88" s="3"/>
    </row>
    <row r="89" spans="1:18" x14ac:dyDescent="0.75">
      <c r="A89" s="58" t="s">
        <v>46</v>
      </c>
      <c r="C89" s="51">
        <f>C40*Assumptions!B7</f>
        <v>2.6127504593829354</v>
      </c>
      <c r="F89" s="241"/>
      <c r="G89" s="51">
        <f>D40*Assumptions!B7</f>
        <v>1.4355771754851292</v>
      </c>
      <c r="J89" s="241"/>
      <c r="K89" s="51"/>
      <c r="N89" s="241"/>
      <c r="O89" s="51">
        <f>(F40/5)*Assumptions!B7</f>
        <v>32.0565</v>
      </c>
      <c r="R89" s="3"/>
    </row>
    <row r="90" spans="1:18" x14ac:dyDescent="0.75">
      <c r="A90" s="58" t="s">
        <v>50</v>
      </c>
      <c r="B90" s="51"/>
      <c r="D90" s="51">
        <f>C45*Assumptions!B7</f>
        <v>4.3000000000000004E-4</v>
      </c>
      <c r="F90" s="241"/>
      <c r="H90" s="51"/>
      <c r="J90" s="241"/>
      <c r="L90" s="51"/>
      <c r="N90" s="241"/>
      <c r="O90" s="51"/>
      <c r="R90" s="3"/>
    </row>
    <row r="91" spans="1:18" x14ac:dyDescent="0.75">
      <c r="A91" s="58" t="s">
        <v>140</v>
      </c>
      <c r="D91" s="51"/>
      <c r="F91" s="241"/>
      <c r="H91" s="51"/>
      <c r="J91" s="241"/>
      <c r="L91" s="51"/>
      <c r="N91" s="241"/>
      <c r="O91" s="51">
        <f>F45*Assumptions!B7</f>
        <v>0.69243119651203311</v>
      </c>
      <c r="R91" s="3"/>
    </row>
    <row r="92" spans="1:18" x14ac:dyDescent="0.75">
      <c r="A92" s="58" t="s">
        <v>48</v>
      </c>
      <c r="D92" s="51">
        <f>C42*Assumptions!B7</f>
        <v>1.8997381844859098</v>
      </c>
      <c r="F92" s="241"/>
      <c r="H92" s="51">
        <f>D42*Assumptions!B7</f>
        <v>1.4613370649891613</v>
      </c>
      <c r="J92" s="241"/>
      <c r="L92" s="51"/>
      <c r="N92" s="241"/>
      <c r="R92" s="3"/>
    </row>
    <row r="93" spans="1:18" ht="15.5" thickBot="1" x14ac:dyDescent="0.9">
      <c r="A93" s="66" t="s">
        <v>542</v>
      </c>
      <c r="B93" s="48"/>
      <c r="C93" s="48"/>
      <c r="D93" s="48"/>
      <c r="E93" s="248">
        <f>C48*Assumptions!B7</f>
        <v>1.7825306872425635</v>
      </c>
      <c r="F93" s="247"/>
      <c r="G93" s="48"/>
      <c r="H93" s="48"/>
      <c r="I93" s="248">
        <f>D48*Assumptions!B7</f>
        <v>2.9708844787376058E-2</v>
      </c>
      <c r="J93" s="247"/>
      <c r="K93" s="48"/>
      <c r="L93" s="48"/>
      <c r="M93" s="48"/>
      <c r="N93" s="247"/>
      <c r="O93" s="48"/>
      <c r="P93" s="48"/>
      <c r="Q93" s="48"/>
      <c r="R93" s="7"/>
    </row>
  </sheetData>
  <mergeCells count="15">
    <mergeCell ref="B79:E79"/>
    <mergeCell ref="F79:I79"/>
    <mergeCell ref="J79:M79"/>
    <mergeCell ref="N79:R79"/>
    <mergeCell ref="A3:C3"/>
    <mergeCell ref="A21:C21"/>
    <mergeCell ref="A45:A48"/>
    <mergeCell ref="A1:H1"/>
    <mergeCell ref="A31:A33"/>
    <mergeCell ref="A35:B35"/>
    <mergeCell ref="F45:F46"/>
    <mergeCell ref="A13:C13"/>
    <mergeCell ref="A12:C12"/>
    <mergeCell ref="A29:A30"/>
    <mergeCell ref="A37:A43"/>
  </mergeCells>
  <pageMargins left="0.7" right="0.7" top="0.75" bottom="0.75" header="0.3" footer="0.3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241"/>
  <sheetViews>
    <sheetView topLeftCell="A68" zoomScale="90" zoomScaleNormal="90" workbookViewId="0">
      <selection activeCell="B80" sqref="B80"/>
    </sheetView>
  </sheetViews>
  <sheetFormatPr defaultRowHeight="14.75" x14ac:dyDescent="0.75"/>
  <cols>
    <col min="1" max="1" width="43" customWidth="1"/>
    <col min="2" max="2" width="29.90625" bestFit="1" customWidth="1"/>
    <col min="3" max="3" width="25.36328125" bestFit="1" customWidth="1"/>
    <col min="4" max="4" width="23.54296875" bestFit="1" customWidth="1"/>
    <col min="5" max="5" width="21.26953125" bestFit="1" customWidth="1"/>
    <col min="6" max="6" width="20.90625" bestFit="1" customWidth="1"/>
    <col min="7" max="7" width="23.36328125" bestFit="1" customWidth="1"/>
    <col min="8" max="8" width="18.81640625" bestFit="1" customWidth="1"/>
    <col min="15" max="15" width="17.1796875" bestFit="1" customWidth="1"/>
  </cols>
  <sheetData>
    <row r="1" spans="1:8" ht="26" customHeight="1" x14ac:dyDescent="1.2">
      <c r="A1" s="370" t="s">
        <v>104</v>
      </c>
      <c r="B1" s="363"/>
      <c r="C1" s="363"/>
      <c r="D1" s="363"/>
      <c r="E1" s="363"/>
      <c r="F1" s="363"/>
      <c r="G1" s="363"/>
      <c r="H1" s="363"/>
    </row>
    <row r="2" spans="1:8" ht="15" customHeight="1" x14ac:dyDescent="0.75">
      <c r="A2" s="92"/>
    </row>
    <row r="3" spans="1:8" ht="15" customHeight="1" thickBot="1" x14ac:dyDescent="0.9">
      <c r="A3" s="372" t="s">
        <v>1</v>
      </c>
      <c r="B3" s="363"/>
      <c r="C3" s="363"/>
    </row>
    <row r="4" spans="1:8" ht="15" customHeight="1" thickBot="1" x14ac:dyDescent="0.9">
      <c r="A4" s="297"/>
      <c r="B4" s="93" t="s">
        <v>2</v>
      </c>
      <c r="C4" s="94" t="s">
        <v>3</v>
      </c>
      <c r="E4" s="95" t="s">
        <v>4</v>
      </c>
    </row>
    <row r="5" spans="1:8" x14ac:dyDescent="0.75">
      <c r="A5" s="1" t="s">
        <v>5</v>
      </c>
      <c r="B5" s="128">
        <f>Assumptions!B8</f>
        <v>5</v>
      </c>
      <c r="C5" s="126" t="s">
        <v>580</v>
      </c>
      <c r="E5" s="4" t="s">
        <v>6</v>
      </c>
    </row>
    <row r="6" spans="1:8" ht="15" customHeight="1" thickBot="1" x14ac:dyDescent="0.9">
      <c r="A6" s="1" t="s">
        <v>5</v>
      </c>
      <c r="B6" s="124">
        <f>B5</f>
        <v>5</v>
      </c>
      <c r="C6" s="126" t="s">
        <v>580</v>
      </c>
      <c r="E6" s="8" t="s">
        <v>7</v>
      </c>
    </row>
    <row r="7" spans="1:8" ht="15" customHeight="1" thickBot="1" x14ac:dyDescent="0.9">
      <c r="A7" s="5" t="s">
        <v>8</v>
      </c>
      <c r="B7" s="125">
        <f>Assumptions!C19</f>
        <v>2.5</v>
      </c>
      <c r="C7" s="127" t="s">
        <v>145</v>
      </c>
    </row>
    <row r="8" spans="1:8" ht="15" customHeight="1" x14ac:dyDescent="0.75">
      <c r="A8" s="9"/>
      <c r="B8" s="168"/>
    </row>
    <row r="9" spans="1:8" s="89" customFormat="1" ht="15" customHeight="1" thickBot="1" x14ac:dyDescent="0.9"/>
    <row r="10" spans="1:8" ht="19" customHeight="1" thickBot="1" x14ac:dyDescent="1.05">
      <c r="A10" s="153" t="s">
        <v>9</v>
      </c>
      <c r="B10" s="154"/>
      <c r="C10" s="154"/>
      <c r="D10" s="154"/>
      <c r="E10" s="154"/>
      <c r="F10" s="154"/>
      <c r="G10" s="155"/>
    </row>
    <row r="11" spans="1:8" ht="15" customHeight="1" thickBot="1" x14ac:dyDescent="0.9"/>
    <row r="12" spans="1:8" ht="15" customHeight="1" x14ac:dyDescent="0.75">
      <c r="A12" s="383" t="s">
        <v>10</v>
      </c>
      <c r="B12" s="384"/>
      <c r="C12" s="385"/>
    </row>
    <row r="13" spans="1:8" x14ac:dyDescent="0.75">
      <c r="A13" s="378" t="s">
        <v>11</v>
      </c>
      <c r="B13" s="379"/>
      <c r="C13" s="380"/>
      <c r="D13" s="9"/>
    </row>
    <row r="14" spans="1:8" ht="16.5" customHeight="1" thickBot="1" x14ac:dyDescent="0.9">
      <c r="A14" s="156"/>
      <c r="B14" s="150" t="s">
        <v>2</v>
      </c>
      <c r="C14" s="151" t="s">
        <v>3</v>
      </c>
      <c r="D14" s="9"/>
    </row>
    <row r="15" spans="1:8" ht="16.5" customHeight="1" x14ac:dyDescent="0.75">
      <c r="A15" s="12" t="s">
        <v>12</v>
      </c>
      <c r="B15" s="15">
        <v>4</v>
      </c>
      <c r="C15" s="11" t="s">
        <v>13</v>
      </c>
      <c r="D15" s="9"/>
    </row>
    <row r="16" spans="1:8" ht="16.75" x14ac:dyDescent="0.75">
      <c r="A16" s="12" t="s">
        <v>14</v>
      </c>
      <c r="B16" s="13">
        <f>(131.35*28)/1000</f>
        <v>3.6777999999999995</v>
      </c>
      <c r="C16" s="11" t="s">
        <v>509</v>
      </c>
      <c r="D16" s="9"/>
    </row>
    <row r="17" spans="1:8" ht="16.75" x14ac:dyDescent="0.75">
      <c r="A17" s="10" t="s">
        <v>15</v>
      </c>
      <c r="B17" s="14">
        <v>19.2</v>
      </c>
      <c r="C17" s="11" t="s">
        <v>510</v>
      </c>
      <c r="D17" s="9"/>
    </row>
    <row r="18" spans="1:8" x14ac:dyDescent="0.75">
      <c r="A18" s="12" t="s">
        <v>16</v>
      </c>
      <c r="B18" s="13">
        <f>B16/B17</f>
        <v>0.19155208333333332</v>
      </c>
      <c r="C18" s="11" t="s">
        <v>17</v>
      </c>
      <c r="D18" s="9"/>
    </row>
    <row r="19" spans="1:8" x14ac:dyDescent="0.75">
      <c r="A19" s="12" t="s">
        <v>18</v>
      </c>
      <c r="B19" s="13">
        <f>B6*(1/B7)</f>
        <v>2</v>
      </c>
      <c r="C19" s="11" t="s">
        <v>19</v>
      </c>
      <c r="D19" s="9"/>
    </row>
    <row r="20" spans="1:8" ht="17" customHeight="1" x14ac:dyDescent="0.75">
      <c r="A20" s="12" t="s">
        <v>20</v>
      </c>
      <c r="B20" s="15">
        <f>ROUNDUP(B19/B18,0)</f>
        <v>11</v>
      </c>
      <c r="C20" s="11" t="s">
        <v>21</v>
      </c>
      <c r="D20" s="9"/>
    </row>
    <row r="21" spans="1:8" ht="15" customHeight="1" x14ac:dyDescent="0.75">
      <c r="A21" s="16" t="s">
        <v>22</v>
      </c>
      <c r="B21" s="17">
        <f>B18*B20</f>
        <v>2.1070729166666666</v>
      </c>
      <c r="C21" s="18" t="s">
        <v>19</v>
      </c>
      <c r="D21" s="19"/>
      <c r="E21" s="20"/>
      <c r="F21" s="20"/>
    </row>
    <row r="22" spans="1:8" ht="15" customHeight="1" thickBot="1" x14ac:dyDescent="0.9">
      <c r="A22" s="12" t="s">
        <v>23</v>
      </c>
      <c r="B22" s="13">
        <f>B21/B16</f>
        <v>0.57291666666666674</v>
      </c>
      <c r="C22" s="11" t="s">
        <v>511</v>
      </c>
      <c r="D22" s="19"/>
      <c r="E22" s="20"/>
      <c r="F22" s="20"/>
    </row>
    <row r="23" spans="1:8" x14ac:dyDescent="0.75">
      <c r="A23" s="364" t="s">
        <v>24</v>
      </c>
      <c r="B23" s="365"/>
      <c r="C23" s="366"/>
      <c r="D23" s="9"/>
    </row>
    <row r="24" spans="1:8" ht="15" customHeight="1" thickBot="1" x14ac:dyDescent="0.9">
      <c r="A24" s="174"/>
      <c r="B24" s="150" t="s">
        <v>2</v>
      </c>
      <c r="C24" s="151" t="s">
        <v>3</v>
      </c>
      <c r="D24" s="9"/>
      <c r="G24" s="20"/>
      <c r="H24" s="20"/>
    </row>
    <row r="25" spans="1:8" ht="17" customHeight="1" x14ac:dyDescent="0.75">
      <c r="A25" s="12" t="s">
        <v>25</v>
      </c>
      <c r="B25" s="21">
        <f>B20*B15</f>
        <v>44</v>
      </c>
      <c r="C25" s="11" t="s">
        <v>26</v>
      </c>
      <c r="D25" s="9"/>
      <c r="G25" s="20"/>
      <c r="H25" s="20"/>
    </row>
    <row r="26" spans="1:8" x14ac:dyDescent="0.75">
      <c r="A26" s="12" t="s">
        <v>27</v>
      </c>
      <c r="B26" s="22">
        <f>B18*B25</f>
        <v>8.4282916666666665</v>
      </c>
      <c r="C26" s="11" t="s">
        <v>28</v>
      </c>
      <c r="D26" s="9"/>
      <c r="G26" s="20"/>
      <c r="H26" s="20"/>
    </row>
    <row r="27" spans="1:8" ht="15" customHeight="1" thickBot="1" x14ac:dyDescent="0.9">
      <c r="A27" s="5" t="s">
        <v>23</v>
      </c>
      <c r="B27" s="23">
        <f>B26/B16</f>
        <v>2.291666666666667</v>
      </c>
      <c r="C27" s="24" t="s">
        <v>511</v>
      </c>
      <c r="D27" s="9"/>
      <c r="G27" s="20"/>
      <c r="H27" s="20"/>
    </row>
    <row r="28" spans="1:8" ht="17" customHeight="1" thickBot="1" x14ac:dyDescent="0.9">
      <c r="B28" s="15"/>
      <c r="C28" s="15"/>
    </row>
    <row r="29" spans="1:8" ht="15" customHeight="1" x14ac:dyDescent="0.75">
      <c r="A29" s="158" t="s">
        <v>29</v>
      </c>
      <c r="B29" s="159"/>
      <c r="C29" s="159"/>
      <c r="D29" s="159"/>
      <c r="E29" s="159"/>
      <c r="F29" s="159"/>
      <c r="G29" s="160"/>
    </row>
    <row r="30" spans="1:8" ht="17" customHeight="1" thickBot="1" x14ac:dyDescent="1.1000000000000001">
      <c r="A30" s="157" t="s">
        <v>30</v>
      </c>
      <c r="B30" s="150" t="s">
        <v>31</v>
      </c>
      <c r="C30" s="150" t="s">
        <v>32</v>
      </c>
      <c r="D30" s="150" t="s">
        <v>33</v>
      </c>
      <c r="E30" s="150" t="s">
        <v>499</v>
      </c>
      <c r="F30" s="150" t="s">
        <v>500</v>
      </c>
      <c r="G30" s="151" t="s">
        <v>34</v>
      </c>
    </row>
    <row r="31" spans="1:8" x14ac:dyDescent="0.75">
      <c r="A31" s="386" t="s">
        <v>35</v>
      </c>
      <c r="B31" t="s">
        <v>36</v>
      </c>
      <c r="C31" s="15">
        <v>1</v>
      </c>
      <c r="D31" s="25">
        <f>(101.5-22.9-8.4)*B27</f>
        <v>160.875</v>
      </c>
      <c r="E31" s="25">
        <f>(1.03-0.25)*B27</f>
        <v>1.7875000000000003</v>
      </c>
      <c r="F31" s="26">
        <f>(2.6-2.1-0.075)*B27</f>
        <v>0.97395833333333348</v>
      </c>
      <c r="G31" s="27"/>
      <c r="H31" s="381"/>
    </row>
    <row r="32" spans="1:8" x14ac:dyDescent="0.75">
      <c r="A32" s="387"/>
      <c r="B32" s="28" t="s">
        <v>37</v>
      </c>
      <c r="C32" s="29">
        <f>ROUNDUP(B27*9,0)</f>
        <v>21</v>
      </c>
      <c r="D32" s="30">
        <f>0.243*C32</f>
        <v>5.1029999999999998</v>
      </c>
      <c r="E32" s="31">
        <f>(0.3*0.3*0.001)*C32</f>
        <v>1.8899999999999998E-3</v>
      </c>
      <c r="F32" s="31">
        <f>50.7*C32*(1/1000)</f>
        <v>1.0647</v>
      </c>
      <c r="G32" s="32"/>
      <c r="H32" s="382"/>
    </row>
    <row r="33" spans="1:8" ht="15" customHeight="1" thickBot="1" x14ac:dyDescent="0.9">
      <c r="A33" s="371" t="s">
        <v>38</v>
      </c>
      <c r="B33" s="38" t="s">
        <v>547</v>
      </c>
      <c r="C33" s="34">
        <f>IF((0.003785*C35*2) &lt;= 0.0187, 1, CEILING((0.003785*C35*2)/0.0187, 1))</f>
        <v>3</v>
      </c>
      <c r="D33" s="35">
        <f>0.75*B21*C33</f>
        <v>4.7409140624999999</v>
      </c>
      <c r="E33" s="36">
        <f>0.00393*B21*C33</f>
        <v>2.4842389687500001E-2</v>
      </c>
      <c r="F33" s="35">
        <f>0.00033*B21*C33</f>
        <v>2.0860021874999999E-3</v>
      </c>
      <c r="G33" s="37"/>
      <c r="H33" s="79"/>
    </row>
    <row r="34" spans="1:8" x14ac:dyDescent="0.75">
      <c r="A34" s="368"/>
      <c r="B34" s="38" t="s">
        <v>39</v>
      </c>
      <c r="C34" s="39">
        <f>IF(F47 &lt;= 2, 1, CEILING(F47 / 2, 1))</f>
        <v>1</v>
      </c>
      <c r="D34" s="26">
        <f>0.20411*C34/Assumptions!$B$5</f>
        <v>3.4018333333333338E-2</v>
      </c>
      <c r="E34" s="26">
        <f>0.00064416*C34/Assumptions!$B$5</f>
        <v>1.0735999999999999E-4</v>
      </c>
      <c r="F34" s="40"/>
      <c r="G34" s="41"/>
      <c r="H34" t="s">
        <v>526</v>
      </c>
    </row>
    <row r="35" spans="1:8" ht="15" customHeight="1" thickBot="1" x14ac:dyDescent="0.9">
      <c r="A35" s="369"/>
      <c r="B35" s="42" t="s">
        <v>40</v>
      </c>
      <c r="C35" s="43">
        <f>ROUNDUP(B21/(85*0.003785),0)</f>
        <v>7</v>
      </c>
      <c r="D35" s="44">
        <f>(7.62/250)*(0.45359/1)*C35</f>
        <v>9.67779624E-2</v>
      </c>
      <c r="E35" s="44">
        <f>(10.5*11*0.00394)*0.00001639*C35</f>
        <v>5.2210181100000003E-5</v>
      </c>
      <c r="F35" s="45"/>
      <c r="G35" s="46"/>
      <c r="H35" s="80"/>
    </row>
    <row r="36" spans="1:8" ht="17" customHeight="1" thickBot="1" x14ac:dyDescent="0.9"/>
    <row r="37" spans="1:8" ht="15" customHeight="1" x14ac:dyDescent="0.75">
      <c r="A37" s="373" t="s">
        <v>41</v>
      </c>
      <c r="B37" s="365"/>
      <c r="C37" s="162"/>
      <c r="D37" s="162"/>
      <c r="E37" s="161"/>
      <c r="F37" s="163"/>
    </row>
    <row r="38" spans="1:8" ht="17" customHeight="1" thickBot="1" x14ac:dyDescent="1.1000000000000001">
      <c r="A38" s="169" t="s">
        <v>30</v>
      </c>
      <c r="B38" s="170" t="s">
        <v>42</v>
      </c>
      <c r="C38" s="170" t="s">
        <v>33</v>
      </c>
      <c r="D38" s="150" t="s">
        <v>499</v>
      </c>
      <c r="E38" s="170" t="s">
        <v>500</v>
      </c>
      <c r="F38" s="171" t="s">
        <v>34</v>
      </c>
    </row>
    <row r="39" spans="1:8" ht="15" customHeight="1" thickBot="1" x14ac:dyDescent="0.9">
      <c r="A39" s="388" t="s">
        <v>35</v>
      </c>
      <c r="B39" t="s">
        <v>43</v>
      </c>
      <c r="C39" s="26">
        <f>B20*(1.01/1000000)</f>
        <v>1.111E-5</v>
      </c>
      <c r="D39" s="26">
        <f>((4.57*1.524*0.5)/(1000^3))*B20</f>
        <v>3.8305740000000002E-8</v>
      </c>
      <c r="E39" s="49"/>
      <c r="F39" s="50">
        <f>B20/(10*60)*1.5</f>
        <v>2.75E-2</v>
      </c>
      <c r="G39" s="88"/>
    </row>
    <row r="40" spans="1:8" x14ac:dyDescent="0.75">
      <c r="A40" s="368"/>
      <c r="B40" t="s">
        <v>44</v>
      </c>
      <c r="C40" s="26">
        <f>D40*1000</f>
        <v>39.815416666666671</v>
      </c>
      <c r="D40" s="25">
        <f>(7.3*B22*28)*0.34*0.001</f>
        <v>3.9815416666666673E-2</v>
      </c>
      <c r="E40" s="49"/>
      <c r="F40" s="50">
        <f>90*4*(1/60)*(1/12.5)*(1/365)*28*B22*1.5</f>
        <v>3.1643835616438361E-2</v>
      </c>
      <c r="G40" s="88"/>
    </row>
    <row r="41" spans="1:8" ht="16.5" customHeight="1" x14ac:dyDescent="0.75">
      <c r="A41" s="368"/>
      <c r="B41" t="s">
        <v>45</v>
      </c>
      <c r="C41" s="26">
        <f>(1.166+(12.406*3))*(1/1000)*D40*1000</f>
        <v>1.5282749533333335</v>
      </c>
      <c r="D41" s="52"/>
      <c r="E41" s="49"/>
      <c r="F41" s="50">
        <f>(20.17/10)*(1/60)*(1/12.5)*B22*28*1.5</f>
        <v>6.4712083333333337E-2</v>
      </c>
      <c r="G41" s="88"/>
    </row>
    <row r="42" spans="1:8" x14ac:dyDescent="0.75">
      <c r="A42" s="368"/>
      <c r="B42" t="s">
        <v>46</v>
      </c>
      <c r="C42" s="26">
        <f>(10.7*B22*28)/1000</f>
        <v>0.17164583333333333</v>
      </c>
      <c r="D42" s="26">
        <f>C42/1.82</f>
        <v>9.4310897435897434E-2</v>
      </c>
      <c r="E42" s="49"/>
      <c r="F42" s="53">
        <f>2.13*365*(1/60)*(1/365)*28*1.5</f>
        <v>1.4909999999999999</v>
      </c>
      <c r="G42" s="88"/>
    </row>
    <row r="43" spans="1:8" ht="15" customHeight="1" x14ac:dyDescent="0.95">
      <c r="A43" s="368"/>
      <c r="B43" s="164" t="s">
        <v>47</v>
      </c>
      <c r="C43" s="165" t="s">
        <v>33</v>
      </c>
      <c r="D43" s="165" t="s">
        <v>499</v>
      </c>
      <c r="E43" s="165" t="s">
        <v>500</v>
      </c>
      <c r="F43" s="166" t="s">
        <v>34</v>
      </c>
    </row>
    <row r="44" spans="1:8" x14ac:dyDescent="0.75">
      <c r="A44" s="368"/>
      <c r="B44" s="38" t="s">
        <v>48</v>
      </c>
      <c r="C44" s="26">
        <f>7.78*B22*28*(1/1000)</f>
        <v>0.12480416666666669</v>
      </c>
      <c r="D44" s="26">
        <f>C44*(1/1.3)</f>
        <v>9.6003205128205135E-2</v>
      </c>
      <c r="E44" s="49"/>
      <c r="F44" s="54"/>
      <c r="G44" s="88"/>
    </row>
    <row r="45" spans="1:8" x14ac:dyDescent="0.75">
      <c r="A45" s="369"/>
      <c r="B45" s="38" t="s">
        <v>49</v>
      </c>
      <c r="C45" s="26">
        <f>2.1*B22*28</f>
        <v>33.687500000000007</v>
      </c>
      <c r="D45" s="26">
        <f>C45*(1/1000)</f>
        <v>3.3687500000000009E-2</v>
      </c>
      <c r="E45" s="49"/>
      <c r="F45" s="54"/>
    </row>
    <row r="46" spans="1:8" ht="16.5" customHeight="1" x14ac:dyDescent="0.95">
      <c r="A46" s="152" t="s">
        <v>30</v>
      </c>
      <c r="B46" s="165" t="s">
        <v>47</v>
      </c>
      <c r="C46" s="165" t="s">
        <v>33</v>
      </c>
      <c r="D46" s="165" t="s">
        <v>499</v>
      </c>
      <c r="E46" s="165" t="s">
        <v>500</v>
      </c>
      <c r="F46" s="166" t="s">
        <v>34</v>
      </c>
    </row>
    <row r="47" spans="1:8" ht="15" customHeight="1" thickBot="1" x14ac:dyDescent="0.9">
      <c r="A47" s="367" t="s">
        <v>38</v>
      </c>
      <c r="B47" s="38" t="s">
        <v>50</v>
      </c>
      <c r="C47" s="26">
        <f>B6*(1/1000000)</f>
        <v>4.9999999999999996E-6</v>
      </c>
      <c r="D47" s="49"/>
      <c r="E47" s="49"/>
      <c r="F47" s="396">
        <f>(3.97*B22)*(1/60)*1.5</f>
        <v>5.6861979166666674E-2</v>
      </c>
    </row>
    <row r="48" spans="1:8" x14ac:dyDescent="0.75">
      <c r="A48" s="368"/>
      <c r="B48" s="38" t="s">
        <v>51</v>
      </c>
      <c r="C48" s="25">
        <f>(B16*B22)-C49</f>
        <v>0.21070729166666657</v>
      </c>
      <c r="D48" s="26">
        <f>C48*(1/368)</f>
        <v>5.7257416213768084E-4</v>
      </c>
      <c r="E48" s="49"/>
      <c r="F48" s="375"/>
    </row>
    <row r="49" spans="1:8" x14ac:dyDescent="0.75">
      <c r="A49" s="368"/>
      <c r="B49" s="38" t="s">
        <v>52</v>
      </c>
      <c r="C49" s="26">
        <f>B21*0.9</f>
        <v>1.8963656250000001</v>
      </c>
      <c r="D49" s="26">
        <f>C49*(1/1000)</f>
        <v>1.896365625E-3</v>
      </c>
      <c r="E49" s="49"/>
      <c r="F49" s="375"/>
    </row>
    <row r="50" spans="1:8" x14ac:dyDescent="0.75">
      <c r="A50" s="368"/>
      <c r="B50" s="38" t="s">
        <v>53</v>
      </c>
      <c r="C50" s="49"/>
      <c r="D50" s="49"/>
      <c r="E50" s="25">
        <f>((((B21*17)/0.1)*1000*4.184)/(28*24*3600))/1000</f>
        <v>6.1951009596836431E-4</v>
      </c>
      <c r="F50" s="375"/>
    </row>
    <row r="51" spans="1:8" ht="15" customHeight="1" x14ac:dyDescent="0.75">
      <c r="A51" s="368"/>
      <c r="B51" s="38" t="s">
        <v>54</v>
      </c>
      <c r="C51" s="26">
        <f>((0.74+0.07+3.37+0.12+0.32)/0.1)*B21*(1/1000)</f>
        <v>9.7346768749999993E-2</v>
      </c>
      <c r="D51" s="49"/>
      <c r="E51" s="49"/>
      <c r="F51" s="375"/>
    </row>
    <row r="52" spans="1:8" x14ac:dyDescent="0.75">
      <c r="A52" s="368"/>
      <c r="B52" s="38" t="s">
        <v>55</v>
      </c>
      <c r="C52" s="26">
        <f>((14+0.03+6.3+19+139+16+0.17+0.033+0.082+0.056+0.218+0.04+0.0205)/0.1)*B21*(1/1000000)</f>
        <v>4.1077281156770822E-3</v>
      </c>
      <c r="D52" s="49"/>
      <c r="E52" s="49"/>
      <c r="F52" s="397"/>
    </row>
    <row r="53" spans="1:8" ht="16.5" customHeight="1" x14ac:dyDescent="0.95">
      <c r="A53" s="368"/>
      <c r="B53" s="164" t="s">
        <v>56</v>
      </c>
      <c r="C53" s="165" t="s">
        <v>33</v>
      </c>
      <c r="D53" s="165" t="s">
        <v>499</v>
      </c>
      <c r="E53" s="165" t="s">
        <v>500</v>
      </c>
      <c r="F53" s="166" t="s">
        <v>34</v>
      </c>
    </row>
    <row r="54" spans="1:8" ht="15" customHeight="1" thickBot="1" x14ac:dyDescent="0.9">
      <c r="A54" s="369"/>
      <c r="B54" s="42" t="s">
        <v>57</v>
      </c>
      <c r="C54" s="44">
        <f>(7.3/1000)*B22*28</f>
        <v>0.11710416666666669</v>
      </c>
      <c r="D54" s="44">
        <f>C54*(1/60)</f>
        <v>1.9517361111111116E-3</v>
      </c>
      <c r="E54" s="55"/>
      <c r="F54" s="57"/>
    </row>
    <row r="55" spans="1:8" ht="15" customHeight="1" thickBot="1" x14ac:dyDescent="0.9"/>
    <row r="56" spans="1:8" ht="15" customHeight="1" x14ac:dyDescent="0.75">
      <c r="A56" s="173" t="s">
        <v>58</v>
      </c>
      <c r="B56" s="161"/>
      <c r="C56" s="161"/>
      <c r="D56" s="161"/>
      <c r="E56" s="161"/>
      <c r="F56" s="163"/>
    </row>
    <row r="57" spans="1:8" ht="15" customHeight="1" thickBot="1" x14ac:dyDescent="0.9">
      <c r="A57" s="157" t="s">
        <v>59</v>
      </c>
      <c r="B57" s="150" t="s">
        <v>60</v>
      </c>
      <c r="C57" s="150" t="s">
        <v>61</v>
      </c>
      <c r="D57" s="150" t="s">
        <v>62</v>
      </c>
      <c r="E57" s="150" t="s">
        <v>63</v>
      </c>
      <c r="F57" s="166" t="s">
        <v>516</v>
      </c>
    </row>
    <row r="58" spans="1:8" x14ac:dyDescent="0.75">
      <c r="A58" s="58" t="s">
        <v>33</v>
      </c>
      <c r="B58" s="26">
        <f>SUM(D31:D35)</f>
        <v>170.84971035823335</v>
      </c>
      <c r="C58" s="26">
        <f>C39+(C41/4*4)+(C42/4*4)</f>
        <v>1.6999318966666668</v>
      </c>
      <c r="D58" s="59"/>
      <c r="E58" s="26">
        <f>SUM((C44/4*4),C47,C48,C49,C51,C52)</f>
        <v>2.3333365801990102</v>
      </c>
      <c r="F58" s="61"/>
      <c r="H58" s="15"/>
    </row>
    <row r="59" spans="1:8" ht="16.75" x14ac:dyDescent="0.75">
      <c r="A59" s="58" t="s">
        <v>499</v>
      </c>
      <c r="B59" s="26">
        <f>SUM(E31:E35)</f>
        <v>1.8143919598686002</v>
      </c>
      <c r="C59" s="26">
        <f>D39+(D42/4*4)</f>
        <v>9.4310935741637431E-2</v>
      </c>
      <c r="D59" s="52"/>
      <c r="E59" s="26">
        <f>SUM((D44/4*4),(D45/4*4),D48,D49)</f>
        <v>0.13215964491534282</v>
      </c>
      <c r="F59" s="61"/>
      <c r="H59" s="15"/>
    </row>
    <row r="60" spans="1:8" ht="16.75" x14ac:dyDescent="0.95">
      <c r="A60" s="58" t="s">
        <v>500</v>
      </c>
      <c r="B60" s="26">
        <f>SUM(F31:F33)</f>
        <v>2.0407443355208335</v>
      </c>
      <c r="C60" s="60"/>
      <c r="D60" s="49"/>
      <c r="E60" s="26">
        <f>E50</f>
        <v>6.1951009596836431E-4</v>
      </c>
      <c r="F60" s="54"/>
      <c r="H60" s="15"/>
    </row>
    <row r="61" spans="1:8" ht="16.75" x14ac:dyDescent="0.95">
      <c r="A61" s="58" t="s">
        <v>501</v>
      </c>
      <c r="B61" s="26">
        <f>SUM(F31:F33)</f>
        <v>2.0407443355208335</v>
      </c>
      <c r="C61" s="49"/>
      <c r="D61" s="59"/>
      <c r="E61" s="49"/>
      <c r="F61" s="54"/>
      <c r="H61" s="39"/>
    </row>
    <row r="62" spans="1:8" x14ac:dyDescent="0.75">
      <c r="A62" s="58" t="s">
        <v>512</v>
      </c>
      <c r="B62" s="26">
        <v>0</v>
      </c>
      <c r="C62" s="62"/>
      <c r="D62" s="62"/>
      <c r="E62" s="62"/>
      <c r="F62" s="234">
        <f>+SUM(F39,(F40/4*4),(F41/4*4),(F42/4))+F47</f>
        <v>0.55346789811643837</v>
      </c>
      <c r="H62" s="15"/>
    </row>
    <row r="63" spans="1:8" ht="15" customHeight="1" x14ac:dyDescent="0.75">
      <c r="A63" s="64" t="s">
        <v>65</v>
      </c>
      <c r="B63" s="65"/>
      <c r="C63" s="228">
        <v>0</v>
      </c>
      <c r="D63" s="49"/>
      <c r="E63" s="26">
        <f>B21</f>
        <v>2.1070729166666666</v>
      </c>
      <c r="F63" s="54"/>
      <c r="H63" s="15"/>
    </row>
    <row r="64" spans="1:8" x14ac:dyDescent="0.75">
      <c r="A64" s="58" t="s">
        <v>66</v>
      </c>
      <c r="B64" s="26">
        <f>C64-C45-C49</f>
        <v>4.2315510416666644</v>
      </c>
      <c r="C64" s="26">
        <f>(C40/4*4)</f>
        <v>39.815416666666671</v>
      </c>
      <c r="D64" s="49"/>
      <c r="E64" s="26">
        <f>C45/4*4</f>
        <v>33.687500000000007</v>
      </c>
      <c r="F64" s="54"/>
      <c r="H64" s="15"/>
    </row>
    <row r="65" spans="1:8" ht="15" customHeight="1" thickBot="1" x14ac:dyDescent="0.9">
      <c r="A65" s="66" t="s">
        <v>67</v>
      </c>
      <c r="B65" s="67"/>
      <c r="C65" s="67"/>
      <c r="D65" s="44">
        <f>C54</f>
        <v>0.11710416666666669</v>
      </c>
      <c r="E65" s="67"/>
      <c r="F65" s="216"/>
    </row>
    <row r="66" spans="1:8" ht="15" customHeight="1" thickBot="1" x14ac:dyDescent="0.9"/>
    <row r="67" spans="1:8" ht="15" customHeight="1" x14ac:dyDescent="0.75">
      <c r="A67" s="173" t="s">
        <v>68</v>
      </c>
      <c r="B67" s="162"/>
      <c r="C67" s="162"/>
      <c r="D67" s="162"/>
      <c r="E67" s="162"/>
      <c r="F67" s="162"/>
      <c r="G67" s="161"/>
      <c r="H67" s="163"/>
    </row>
    <row r="68" spans="1:8" ht="19" customHeight="1" thickBot="1" x14ac:dyDescent="1.1000000000000001">
      <c r="A68" s="157" t="s">
        <v>69</v>
      </c>
      <c r="B68" s="150" t="s">
        <v>503</v>
      </c>
      <c r="C68" s="150" t="s">
        <v>504</v>
      </c>
      <c r="D68" s="150" t="s">
        <v>505</v>
      </c>
      <c r="E68" s="150" t="s">
        <v>506</v>
      </c>
      <c r="F68" s="150" t="s">
        <v>507</v>
      </c>
      <c r="G68" s="150" t="s">
        <v>508</v>
      </c>
      <c r="H68" s="151" t="s">
        <v>76</v>
      </c>
    </row>
    <row r="69" spans="1:8" ht="15" customHeight="1" thickBot="1" x14ac:dyDescent="0.9">
      <c r="A69" s="211" t="s">
        <v>485</v>
      </c>
      <c r="B69" s="70">
        <f>Assumptions!B13</f>
        <v>79.3</v>
      </c>
      <c r="C69" s="70">
        <f>Assumptions!C13</f>
        <v>162</v>
      </c>
      <c r="D69" s="70">
        <f>Assumptions!D13</f>
        <v>96</v>
      </c>
      <c r="E69" s="70">
        <f>Assumptions!E13</f>
        <v>0.21</v>
      </c>
      <c r="F69" s="70">
        <f>Assumptions!F13</f>
        <v>0.93</v>
      </c>
      <c r="G69" s="70">
        <f>Assumptions!G13</f>
        <v>0.3</v>
      </c>
      <c r="H69" s="74">
        <f>Assumptions!H13</f>
        <v>0.94</v>
      </c>
    </row>
    <row r="70" spans="1:8" ht="15" customHeight="1" thickBot="1" x14ac:dyDescent="0.9">
      <c r="B70" s="15"/>
      <c r="C70" s="15"/>
      <c r="D70" s="15"/>
      <c r="E70" s="15"/>
      <c r="F70" s="15"/>
    </row>
    <row r="71" spans="1:8" ht="15" customHeight="1" x14ac:dyDescent="0.75">
      <c r="A71" s="71" t="s">
        <v>78</v>
      </c>
      <c r="B71" s="72">
        <v>1</v>
      </c>
      <c r="C71" s="15"/>
      <c r="D71" s="26"/>
      <c r="E71" s="26"/>
      <c r="F71" s="26"/>
    </row>
    <row r="72" spans="1:8" ht="17" customHeight="1" thickBot="1" x14ac:dyDescent="0.9">
      <c r="A72" s="73" t="s">
        <v>79</v>
      </c>
      <c r="B72" s="74">
        <f>B71*86</f>
        <v>86</v>
      </c>
      <c r="C72" s="15"/>
      <c r="D72" s="15"/>
      <c r="E72" s="15"/>
      <c r="F72" s="15"/>
    </row>
    <row r="73" spans="1:8" ht="15" customHeight="1" thickBot="1" x14ac:dyDescent="0.9">
      <c r="B73" s="15"/>
      <c r="C73" s="15"/>
      <c r="D73" s="15"/>
      <c r="E73" s="15"/>
      <c r="F73" s="15"/>
    </row>
    <row r="74" spans="1:8" ht="17" customHeight="1" thickBot="1" x14ac:dyDescent="1.1000000000000001">
      <c r="A74" s="167" t="s">
        <v>80</v>
      </c>
      <c r="B74" s="148" t="s">
        <v>502</v>
      </c>
    </row>
    <row r="75" spans="1:8" x14ac:dyDescent="0.75">
      <c r="A75" s="83" t="s">
        <v>60</v>
      </c>
      <c r="B75" s="235">
        <f>B58+(B59*B69)+(B60*C69)+(B61*D69)+(B64*G69)</f>
        <v>842.51249665268836</v>
      </c>
    </row>
    <row r="76" spans="1:8" x14ac:dyDescent="0.75">
      <c r="A76" s="83" t="s">
        <v>516</v>
      </c>
      <c r="B76" s="235">
        <f>+B72*F62*H69</f>
        <v>44.742344883732876</v>
      </c>
    </row>
    <row r="77" spans="1:8" x14ac:dyDescent="0.75">
      <c r="A77" s="83" t="s">
        <v>82</v>
      </c>
      <c r="B77" s="236">
        <f>B72*(C58+(C59*B69)+(C64*G69)+(C63*E69))</f>
        <v>1816.6136126841523</v>
      </c>
    </row>
    <row r="78" spans="1:8" ht="17" customHeight="1" x14ac:dyDescent="0.75">
      <c r="A78" s="83" t="s">
        <v>83</v>
      </c>
      <c r="B78" s="236">
        <f>B72*((D65*F69))</f>
        <v>9.3659912500000022</v>
      </c>
    </row>
    <row r="79" spans="1:8" x14ac:dyDescent="0.75">
      <c r="A79" s="84" t="s">
        <v>84</v>
      </c>
      <c r="B79" s="237">
        <f>B72*(E58+(E59*B69)+(E60*C69)-(E63*E69)+(E64*G69))</f>
        <v>1941.684070072801</v>
      </c>
    </row>
    <row r="80" spans="1:8" ht="17" customHeight="1" thickBot="1" x14ac:dyDescent="1.1000000000000001">
      <c r="A80" s="85" t="s">
        <v>529</v>
      </c>
      <c r="B80" s="238">
        <f>B75+B76+B77+B78-B79</f>
        <v>771.55037539777288</v>
      </c>
    </row>
    <row r="81" spans="1:8" x14ac:dyDescent="0.75">
      <c r="A81" s="47"/>
      <c r="B81" s="120"/>
    </row>
    <row r="82" spans="1:8" s="89" customFormat="1" ht="15" customHeight="1" thickBot="1" x14ac:dyDescent="0.9">
      <c r="A82" s="188"/>
      <c r="B82" s="189"/>
    </row>
    <row r="83" spans="1:8" ht="19" customHeight="1" thickBot="1" x14ac:dyDescent="1.05">
      <c r="A83" s="376" t="s">
        <v>141</v>
      </c>
      <c r="B83" s="377"/>
      <c r="C83" s="377"/>
      <c r="D83" s="261"/>
      <c r="E83" s="261"/>
      <c r="F83" s="261"/>
      <c r="G83" s="261"/>
      <c r="H83" s="262"/>
    </row>
    <row r="84" spans="1:8" ht="15" customHeight="1" thickBot="1" x14ac:dyDescent="0.9">
      <c r="A84" s="131"/>
      <c r="B84" s="132"/>
      <c r="C84" s="132"/>
    </row>
    <row r="85" spans="1:8" x14ac:dyDescent="0.75">
      <c r="A85" s="263" t="s">
        <v>142</v>
      </c>
      <c r="B85" s="264"/>
      <c r="C85" s="265"/>
    </row>
    <row r="86" spans="1:8" ht="15" customHeight="1" thickBot="1" x14ac:dyDescent="0.9">
      <c r="A86" s="277" t="s">
        <v>143</v>
      </c>
      <c r="B86" s="278" t="s">
        <v>87</v>
      </c>
      <c r="C86" s="279" t="s">
        <v>3</v>
      </c>
    </row>
    <row r="87" spans="1:8" s="122" customFormat="1" x14ac:dyDescent="0.75">
      <c r="A87" s="83" t="s">
        <v>144</v>
      </c>
      <c r="B87" s="26">
        <v>2.5</v>
      </c>
      <c r="C87" s="106" t="s">
        <v>145</v>
      </c>
    </row>
    <row r="88" spans="1:8" s="122" customFormat="1" x14ac:dyDescent="0.75">
      <c r="A88" s="83" t="s">
        <v>146</v>
      </c>
      <c r="B88" s="26">
        <v>0.13</v>
      </c>
      <c r="C88" s="106" t="s">
        <v>147</v>
      </c>
    </row>
    <row r="89" spans="1:8" x14ac:dyDescent="0.75">
      <c r="A89" s="83" t="s">
        <v>148</v>
      </c>
      <c r="B89" s="26">
        <f>1000/B88</f>
        <v>7692.3076923076924</v>
      </c>
      <c r="C89" s="106" t="s">
        <v>149</v>
      </c>
    </row>
    <row r="90" spans="1:8" x14ac:dyDescent="0.75">
      <c r="A90" s="83" t="s">
        <v>150</v>
      </c>
      <c r="B90" s="26">
        <f>(B7/(ROUNDDOWN(B89,0)))*1000</f>
        <v>0.3250130005200208</v>
      </c>
      <c r="C90" s="106" t="s">
        <v>151</v>
      </c>
    </row>
    <row r="91" spans="1:8" x14ac:dyDescent="0.75">
      <c r="A91" s="83" t="s">
        <v>152</v>
      </c>
      <c r="B91" s="26">
        <v>100</v>
      </c>
      <c r="C91" s="106"/>
    </row>
    <row r="92" spans="1:8" x14ac:dyDescent="0.75">
      <c r="A92" s="83" t="s">
        <v>153</v>
      </c>
      <c r="B92" s="26">
        <v>1000</v>
      </c>
      <c r="C92" s="106"/>
    </row>
    <row r="93" spans="1:8" x14ac:dyDescent="0.75">
      <c r="A93" s="83" t="s">
        <v>154</v>
      </c>
      <c r="B93" s="26">
        <v>10</v>
      </c>
      <c r="C93" s="106" t="s">
        <v>155</v>
      </c>
    </row>
    <row r="94" spans="1:8" x14ac:dyDescent="0.75">
      <c r="A94" s="83" t="s">
        <v>154</v>
      </c>
      <c r="B94" s="26">
        <f>B93/60</f>
        <v>0.16666666666666666</v>
      </c>
      <c r="C94" s="106" t="s">
        <v>156</v>
      </c>
    </row>
    <row r="95" spans="1:8" x14ac:dyDescent="0.75">
      <c r="A95" s="83" t="s">
        <v>157</v>
      </c>
      <c r="B95" s="26">
        <v>15</v>
      </c>
      <c r="C95" s="106" t="s">
        <v>158</v>
      </c>
    </row>
    <row r="96" spans="1:8" x14ac:dyDescent="0.75">
      <c r="A96" s="83" t="s">
        <v>157</v>
      </c>
      <c r="B96" s="26">
        <f>B95/60/60</f>
        <v>4.1666666666666666E-3</v>
      </c>
      <c r="C96" s="106" t="s">
        <v>159</v>
      </c>
    </row>
    <row r="97" spans="1:17" x14ac:dyDescent="0.75">
      <c r="A97" s="83" t="s">
        <v>160</v>
      </c>
      <c r="B97" s="26">
        <v>3</v>
      </c>
      <c r="C97" s="106" t="s">
        <v>155</v>
      </c>
    </row>
    <row r="98" spans="1:17" x14ac:dyDescent="0.75">
      <c r="A98" s="83" t="s">
        <v>160</v>
      </c>
      <c r="B98" s="26">
        <f>B97/60</f>
        <v>0.05</v>
      </c>
      <c r="C98" s="106" t="s">
        <v>156</v>
      </c>
    </row>
    <row r="99" spans="1:17" x14ac:dyDescent="0.75">
      <c r="A99" s="83" t="s">
        <v>161</v>
      </c>
      <c r="B99" s="26">
        <v>12</v>
      </c>
      <c r="C99" s="106"/>
      <c r="P99" s="122"/>
    </row>
    <row r="100" spans="1:17" x14ac:dyDescent="0.75">
      <c r="A100" s="83" t="s">
        <v>162</v>
      </c>
      <c r="B100" s="26">
        <v>1.5</v>
      </c>
      <c r="C100" s="106"/>
      <c r="P100" s="122"/>
    </row>
    <row r="101" spans="1:17" x14ac:dyDescent="0.75">
      <c r="A101" s="175" t="s">
        <v>548</v>
      </c>
      <c r="B101" s="25">
        <f>321+91</f>
        <v>412</v>
      </c>
      <c r="C101" s="176" t="s">
        <v>163</v>
      </c>
      <c r="P101" s="122"/>
    </row>
    <row r="102" spans="1:17" ht="16.75" x14ac:dyDescent="0.75">
      <c r="A102" s="175" t="s">
        <v>549</v>
      </c>
      <c r="B102" s="25">
        <v>2</v>
      </c>
      <c r="C102" s="176" t="s">
        <v>518</v>
      </c>
    </row>
    <row r="103" spans="1:17" ht="16.75" x14ac:dyDescent="0.75">
      <c r="A103" s="175" t="s">
        <v>550</v>
      </c>
      <c r="B103" s="25">
        <v>0.61399999999999999</v>
      </c>
      <c r="C103" s="176" t="s">
        <v>518</v>
      </c>
    </row>
    <row r="104" spans="1:17" ht="16.75" x14ac:dyDescent="0.95">
      <c r="A104" s="175" t="s">
        <v>551</v>
      </c>
      <c r="B104" s="25">
        <v>0.20499999999999999</v>
      </c>
      <c r="C104" s="176" t="s">
        <v>519</v>
      </c>
    </row>
    <row r="105" spans="1:17" x14ac:dyDescent="0.75">
      <c r="A105" s="172" t="s">
        <v>165</v>
      </c>
      <c r="B105" s="15">
        <f>ROUNDUP(((B6*1000)/B90),0)</f>
        <v>15384</v>
      </c>
      <c r="C105" s="176"/>
    </row>
    <row r="106" spans="1:17" x14ac:dyDescent="0.75">
      <c r="A106" s="172" t="s">
        <v>166</v>
      </c>
      <c r="B106" s="15">
        <f>ROUNDUP((B105/B91),0)</f>
        <v>154</v>
      </c>
      <c r="C106" s="176"/>
    </row>
    <row r="107" spans="1:17" x14ac:dyDescent="0.75">
      <c r="A107" s="172" t="s">
        <v>167</v>
      </c>
      <c r="B107" s="15">
        <f>ROUNDUP((B105/B92),0)</f>
        <v>16</v>
      </c>
      <c r="C107" s="176"/>
    </row>
    <row r="108" spans="1:17" x14ac:dyDescent="0.75">
      <c r="A108" s="172" t="s">
        <v>552</v>
      </c>
      <c r="B108" s="21">
        <f>ROUNDUP(((B106*D150)/B103),0)</f>
        <v>1</v>
      </c>
      <c r="C108" s="176"/>
    </row>
    <row r="109" spans="1:17" ht="15" customHeight="1" thickBot="1" x14ac:dyDescent="0.9">
      <c r="A109" s="177" t="s">
        <v>553</v>
      </c>
      <c r="B109" s="44">
        <f>ROUNDUP((((B106*D150)*ROUNDUP(Assumptions!B7,0))/B103),0)</f>
        <v>13</v>
      </c>
      <c r="C109" s="178"/>
    </row>
    <row r="110" spans="1:17" ht="15" customHeight="1" thickBot="1" x14ac:dyDescent="0.9">
      <c r="A110" s="38"/>
      <c r="B110" s="38"/>
      <c r="C110" s="38"/>
    </row>
    <row r="111" spans="1:17" ht="15" customHeight="1" thickBot="1" x14ac:dyDescent="0.9">
      <c r="A111" s="263" t="s">
        <v>168</v>
      </c>
      <c r="B111" s="266"/>
      <c r="C111" s="266"/>
      <c r="D111" s="267"/>
      <c r="E111" s="267"/>
      <c r="F111" s="267"/>
      <c r="G111" s="267"/>
      <c r="H111" s="267"/>
      <c r="I111" s="267"/>
      <c r="J111" s="267"/>
      <c r="K111" s="267"/>
      <c r="L111" s="267"/>
      <c r="M111" s="267"/>
      <c r="N111" s="268"/>
      <c r="P111" s="122"/>
      <c r="Q111" s="122"/>
    </row>
    <row r="112" spans="1:17" ht="17" customHeight="1" thickBot="1" x14ac:dyDescent="0.9">
      <c r="A112" s="277" t="s">
        <v>169</v>
      </c>
      <c r="B112" s="278" t="s">
        <v>170</v>
      </c>
      <c r="C112" s="278" t="s">
        <v>33</v>
      </c>
      <c r="D112" s="278" t="s">
        <v>171</v>
      </c>
      <c r="E112" s="278" t="s">
        <v>172</v>
      </c>
      <c r="F112" s="278" t="s">
        <v>173</v>
      </c>
      <c r="G112" s="278" t="s">
        <v>174</v>
      </c>
      <c r="H112" s="278" t="s">
        <v>3</v>
      </c>
      <c r="I112" s="278" t="s">
        <v>175</v>
      </c>
      <c r="J112" s="278" t="s">
        <v>176</v>
      </c>
      <c r="K112" s="278" t="s">
        <v>177</v>
      </c>
      <c r="L112" s="278" t="s">
        <v>520</v>
      </c>
      <c r="M112" s="278"/>
      <c r="N112" s="279" t="s">
        <v>114</v>
      </c>
      <c r="O112" s="122"/>
      <c r="P112" s="280" t="s">
        <v>178</v>
      </c>
    </row>
    <row r="113" spans="1:16" x14ac:dyDescent="0.75">
      <c r="A113" s="172" t="s">
        <v>179</v>
      </c>
      <c r="B113" s="26">
        <v>1452.5</v>
      </c>
      <c r="C113" s="26">
        <f t="shared" ref="C113:C119" si="0">B113/1000</f>
        <v>1.4524999999999999</v>
      </c>
      <c r="D113" s="15" t="s">
        <v>180</v>
      </c>
      <c r="E113" s="15">
        <v>12.25</v>
      </c>
      <c r="F113" s="15">
        <v>9</v>
      </c>
      <c r="G113" s="15">
        <v>4</v>
      </c>
      <c r="H113" s="15" t="s">
        <v>181</v>
      </c>
      <c r="I113" s="15">
        <f t="shared" ref="I113:K116" si="1">(E113*$P$113)/100</f>
        <v>0.31115000000000004</v>
      </c>
      <c r="J113" s="15">
        <f t="shared" si="1"/>
        <v>0.2286</v>
      </c>
      <c r="K113" s="15">
        <f t="shared" si="1"/>
        <v>0.1016</v>
      </c>
      <c r="L113" s="26">
        <f>I113*J113*K113</f>
        <v>7.2266952240000008E-3</v>
      </c>
      <c r="M113" s="15"/>
      <c r="N113" s="11" t="s">
        <v>182</v>
      </c>
      <c r="O113" s="122"/>
      <c r="P113">
        <v>2.54</v>
      </c>
    </row>
    <row r="114" spans="1:16" x14ac:dyDescent="0.75">
      <c r="A114" s="172" t="s">
        <v>183</v>
      </c>
      <c r="B114" s="26">
        <v>643.20000000000005</v>
      </c>
      <c r="C114" s="26">
        <f t="shared" si="0"/>
        <v>0.64319999999999999</v>
      </c>
      <c r="D114" s="15" t="s">
        <v>184</v>
      </c>
      <c r="E114" s="15"/>
      <c r="F114" s="15">
        <v>0.8</v>
      </c>
      <c r="G114" s="15">
        <v>86</v>
      </c>
      <c r="H114" s="15" t="s">
        <v>181</v>
      </c>
      <c r="I114" s="15">
        <f t="shared" si="1"/>
        <v>0</v>
      </c>
      <c r="J114" s="15">
        <f t="shared" si="1"/>
        <v>2.0320000000000001E-2</v>
      </c>
      <c r="K114" s="15">
        <f t="shared" si="1"/>
        <v>2.1844000000000001</v>
      </c>
      <c r="L114" s="26">
        <f>PI()*((J114/2)^2)*K114</f>
        <v>7.083851630979676E-4</v>
      </c>
      <c r="M114" s="15"/>
      <c r="N114" s="11" t="s">
        <v>182</v>
      </c>
      <c r="O114" s="122"/>
    </row>
    <row r="115" spans="1:16" x14ac:dyDescent="0.75">
      <c r="A115" s="172" t="s">
        <v>185</v>
      </c>
      <c r="B115" s="26">
        <f>14/0.002205</f>
        <v>6349.2063492063498</v>
      </c>
      <c r="C115" s="26">
        <f t="shared" si="0"/>
        <v>6.3492063492063497</v>
      </c>
      <c r="D115" s="15"/>
      <c r="E115" s="15"/>
      <c r="F115" s="15">
        <v>6.75</v>
      </c>
      <c r="G115" s="15">
        <v>20.5</v>
      </c>
      <c r="H115" s="15" t="s">
        <v>181</v>
      </c>
      <c r="I115" s="15">
        <f t="shared" si="1"/>
        <v>0</v>
      </c>
      <c r="J115" s="15">
        <f t="shared" si="1"/>
        <v>0.17144999999999999</v>
      </c>
      <c r="K115" s="15">
        <f t="shared" si="1"/>
        <v>0.52070000000000005</v>
      </c>
      <c r="L115" s="26">
        <f>PI()*((J115/2)^2)*K115</f>
        <v>1.2021327750178929E-2</v>
      </c>
      <c r="M115" s="15"/>
      <c r="N115" s="179" t="s">
        <v>186</v>
      </c>
      <c r="O115" s="122"/>
    </row>
    <row r="116" spans="1:16" x14ac:dyDescent="0.75">
      <c r="A116" s="172" t="s">
        <v>187</v>
      </c>
      <c r="B116" s="26">
        <v>1908.6</v>
      </c>
      <c r="C116" s="26">
        <f t="shared" si="0"/>
        <v>1.9085999999999999</v>
      </c>
      <c r="D116" s="15" t="s">
        <v>180</v>
      </c>
      <c r="E116" s="15">
        <v>8.5</v>
      </c>
      <c r="F116" s="15">
        <v>6.5</v>
      </c>
      <c r="G116" s="15">
        <v>5</v>
      </c>
      <c r="H116" s="15" t="s">
        <v>181</v>
      </c>
      <c r="I116" s="15">
        <f t="shared" si="1"/>
        <v>0.21590000000000001</v>
      </c>
      <c r="J116" s="15">
        <f t="shared" si="1"/>
        <v>0.16510000000000002</v>
      </c>
      <c r="K116" s="15">
        <f t="shared" si="1"/>
        <v>0.127</v>
      </c>
      <c r="L116" s="26">
        <f>I116*J116*K116</f>
        <v>4.5269264300000006E-3</v>
      </c>
      <c r="M116" s="15"/>
      <c r="N116" s="11" t="s">
        <v>182</v>
      </c>
    </row>
    <row r="117" spans="1:16" x14ac:dyDescent="0.75">
      <c r="A117" s="172" t="s">
        <v>188</v>
      </c>
      <c r="B117" s="26">
        <v>9.1</v>
      </c>
      <c r="C117" s="26">
        <f t="shared" si="0"/>
        <v>9.1000000000000004E-3</v>
      </c>
      <c r="D117" s="15" t="s">
        <v>184</v>
      </c>
      <c r="E117" s="15"/>
      <c r="F117" s="15">
        <v>39</v>
      </c>
      <c r="G117" s="15">
        <v>32</v>
      </c>
      <c r="H117" s="15" t="s">
        <v>189</v>
      </c>
      <c r="I117" s="15">
        <f>E117/1000</f>
        <v>0</v>
      </c>
      <c r="J117" s="15">
        <f>F117/1000</f>
        <v>3.9E-2</v>
      </c>
      <c r="K117" s="15">
        <f>G117/1000</f>
        <v>3.2000000000000001E-2</v>
      </c>
      <c r="L117" s="26">
        <f>PI()*((J117/2)^2)*K117</f>
        <v>3.8226899408880607E-5</v>
      </c>
      <c r="M117" s="15"/>
      <c r="N117" s="11" t="s">
        <v>182</v>
      </c>
    </row>
    <row r="118" spans="1:16" x14ac:dyDescent="0.75">
      <c r="A118" s="172" t="s">
        <v>190</v>
      </c>
      <c r="B118" s="26">
        <v>212.5</v>
      </c>
      <c r="C118" s="26">
        <f t="shared" si="0"/>
        <v>0.21249999999999999</v>
      </c>
      <c r="D118" s="15" t="s">
        <v>180</v>
      </c>
      <c r="E118" s="15">
        <v>10</v>
      </c>
      <c r="F118" s="15">
        <v>8</v>
      </c>
      <c r="G118" s="15">
        <v>3</v>
      </c>
      <c r="H118" s="15" t="s">
        <v>181</v>
      </c>
      <c r="I118" s="15">
        <f t="shared" ref="I118:K119" si="2">(E118*$P$113)/100</f>
        <v>0.254</v>
      </c>
      <c r="J118" s="15">
        <f t="shared" si="2"/>
        <v>0.20319999999999999</v>
      </c>
      <c r="K118" s="15">
        <f t="shared" si="2"/>
        <v>7.6200000000000004E-2</v>
      </c>
      <c r="L118" s="26">
        <f>I118*J118*K118</f>
        <v>3.9328953599999999E-3</v>
      </c>
      <c r="M118" s="15"/>
      <c r="N118" s="11" t="s">
        <v>182</v>
      </c>
    </row>
    <row r="119" spans="1:16" x14ac:dyDescent="0.75">
      <c r="A119" s="172" t="s">
        <v>191</v>
      </c>
      <c r="B119" s="26">
        <v>24.3</v>
      </c>
      <c r="C119" s="26">
        <f t="shared" si="0"/>
        <v>2.4300000000000002E-2</v>
      </c>
      <c r="D119" s="15" t="s">
        <v>180</v>
      </c>
      <c r="E119" s="15">
        <v>2.25</v>
      </c>
      <c r="F119" s="15">
        <v>5.75</v>
      </c>
      <c r="G119" s="15">
        <v>2</v>
      </c>
      <c r="H119" s="15" t="s">
        <v>181</v>
      </c>
      <c r="I119" s="15">
        <f t="shared" si="2"/>
        <v>5.7149999999999999E-2</v>
      </c>
      <c r="J119" s="15">
        <f t="shared" si="2"/>
        <v>0.14605000000000001</v>
      </c>
      <c r="K119" s="15">
        <f t="shared" si="2"/>
        <v>5.0799999999999998E-2</v>
      </c>
      <c r="L119" s="26">
        <f>I119*J119*K119</f>
        <v>4.2401528100000004E-4</v>
      </c>
      <c r="M119" s="15"/>
      <c r="N119" s="11" t="s">
        <v>182</v>
      </c>
    </row>
    <row r="120" spans="1:16" x14ac:dyDescent="0.75">
      <c r="A120" s="172" t="s">
        <v>192</v>
      </c>
      <c r="B120" s="26">
        <f>AVERAGE(0.726, 0.7268,0.7259)</f>
        <v>0.7262333333333334</v>
      </c>
      <c r="C120" s="26">
        <f>(B120/1000)/9</f>
        <v>8.069259259259261E-5</v>
      </c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1" t="s">
        <v>193</v>
      </c>
    </row>
    <row r="121" spans="1:16" x14ac:dyDescent="0.75">
      <c r="A121" s="172" t="s">
        <v>194</v>
      </c>
      <c r="B121" s="26">
        <v>44.5</v>
      </c>
      <c r="C121" s="26">
        <f>B121/1000</f>
        <v>4.4499999999999998E-2</v>
      </c>
      <c r="D121" s="15" t="s">
        <v>180</v>
      </c>
      <c r="E121" s="15">
        <v>47</v>
      </c>
      <c r="F121" s="15">
        <v>17</v>
      </c>
      <c r="G121" s="15">
        <v>26</v>
      </c>
      <c r="H121" s="15" t="s">
        <v>189</v>
      </c>
      <c r="I121" s="15">
        <f>E121/1000</f>
        <v>4.7E-2</v>
      </c>
      <c r="J121" s="15">
        <f>F121/1000</f>
        <v>1.7000000000000001E-2</v>
      </c>
      <c r="K121" s="15">
        <f>G121/1000</f>
        <v>2.5999999999999999E-2</v>
      </c>
      <c r="L121" s="15">
        <f>I121*J121*K121</f>
        <v>2.0773999999999998E-5</v>
      </c>
      <c r="M121" s="15"/>
      <c r="N121" s="11" t="s">
        <v>195</v>
      </c>
    </row>
    <row r="122" spans="1:16" x14ac:dyDescent="0.75">
      <c r="A122" s="172" t="s">
        <v>196</v>
      </c>
      <c r="B122" s="26">
        <f>AVERAGE(6.509, 6.507, 6.5082)</f>
        <v>6.5080666666666671</v>
      </c>
      <c r="C122" s="26">
        <f>B122/1000</f>
        <v>6.508066666666667E-3</v>
      </c>
      <c r="D122" s="15" t="s">
        <v>184</v>
      </c>
      <c r="E122" s="15"/>
      <c r="F122" s="15">
        <v>27</v>
      </c>
      <c r="G122" s="15">
        <v>61</v>
      </c>
      <c r="H122" s="15" t="s">
        <v>189</v>
      </c>
      <c r="I122" s="15">
        <f>E122/1000</f>
        <v>0</v>
      </c>
      <c r="J122" s="15">
        <f>(F122*$P$113)/1000</f>
        <v>6.8580000000000002E-2</v>
      </c>
      <c r="K122" s="15">
        <f>(G122*$P$113)/1000</f>
        <v>0.15493999999999999</v>
      </c>
      <c r="L122" s="15">
        <f>PI()*((J122/2)^2)*K122</f>
        <v>5.7233248215486036E-4</v>
      </c>
      <c r="M122" s="15"/>
      <c r="N122" s="11" t="s">
        <v>182</v>
      </c>
    </row>
    <row r="123" spans="1:16" x14ac:dyDescent="0.75">
      <c r="A123" s="172" t="s">
        <v>197</v>
      </c>
      <c r="B123" s="26">
        <f>AVERAGE(1.1191,1.1197,1.119)</f>
        <v>1.1192666666666666</v>
      </c>
      <c r="C123" s="26">
        <f>B123/1000</f>
        <v>1.1192666666666666E-3</v>
      </c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1" t="s">
        <v>198</v>
      </c>
      <c r="P123" s="122"/>
    </row>
    <row r="124" spans="1:16" x14ac:dyDescent="0.75">
      <c r="A124" s="172" t="s">
        <v>199</v>
      </c>
      <c r="B124" s="26">
        <f>AVERAGE(1.5873, 1.5903, 1.5812, 1.5818)</f>
        <v>1.5851500000000001</v>
      </c>
      <c r="C124" s="26">
        <f>(B124/1000)/20</f>
        <v>7.9257499999999998E-5</v>
      </c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1" t="s">
        <v>200</v>
      </c>
      <c r="P124" s="122"/>
    </row>
    <row r="125" spans="1:16" x14ac:dyDescent="0.75">
      <c r="A125" s="180" t="s">
        <v>201</v>
      </c>
      <c r="B125" s="25"/>
      <c r="C125" s="181"/>
      <c r="D125" s="39"/>
      <c r="E125" s="39"/>
      <c r="F125" s="39">
        <v>32</v>
      </c>
      <c r="G125" s="39"/>
      <c r="H125" s="39" t="s">
        <v>189</v>
      </c>
      <c r="I125" s="39"/>
      <c r="J125" s="39"/>
      <c r="K125" s="39">
        <f>F125/1000</f>
        <v>3.2000000000000001E-2</v>
      </c>
      <c r="L125" s="39">
        <f>2*PI()*K125</f>
        <v>0.20106192982974677</v>
      </c>
      <c r="M125" s="39"/>
      <c r="N125" s="182"/>
    </row>
    <row r="126" spans="1:16" x14ac:dyDescent="0.75">
      <c r="A126" s="180" t="s">
        <v>202</v>
      </c>
      <c r="B126" s="25">
        <f>3.15/0.002205</f>
        <v>1428.5714285714287</v>
      </c>
      <c r="C126" s="25">
        <f>B126/1000</f>
        <v>1.4285714285714286</v>
      </c>
      <c r="D126" s="15" t="s">
        <v>180</v>
      </c>
      <c r="E126" s="39">
        <v>10</v>
      </c>
      <c r="F126" s="39">
        <v>8</v>
      </c>
      <c r="G126" s="39">
        <v>4</v>
      </c>
      <c r="H126" s="39" t="s">
        <v>181</v>
      </c>
      <c r="I126" s="15">
        <f>(E126*$P$113)/100</f>
        <v>0.254</v>
      </c>
      <c r="J126" s="15">
        <f>(F126*$P$113)/100</f>
        <v>0.20319999999999999</v>
      </c>
      <c r="K126" s="15">
        <f>(G126*$P$113)/100</f>
        <v>0.1016</v>
      </c>
      <c r="L126" s="39">
        <f>I126*J126*K126</f>
        <v>5.2438604800000002E-3</v>
      </c>
      <c r="M126" s="123"/>
      <c r="N126" s="11" t="s">
        <v>203</v>
      </c>
      <c r="O126" s="123"/>
    </row>
    <row r="127" spans="1:16" x14ac:dyDescent="0.75">
      <c r="A127" s="180" t="s">
        <v>204</v>
      </c>
      <c r="B127" s="25">
        <v>7.9</v>
      </c>
      <c r="C127" s="25">
        <f>B127/1000</f>
        <v>7.9000000000000008E-3</v>
      </c>
      <c r="D127" s="15" t="s">
        <v>184</v>
      </c>
      <c r="E127" s="39"/>
      <c r="F127" s="39">
        <v>29</v>
      </c>
      <c r="G127" s="39">
        <v>16</v>
      </c>
      <c r="H127" s="39" t="s">
        <v>189</v>
      </c>
      <c r="I127" s="39">
        <f t="shared" ref="I127:K129" si="3">E127/1000</f>
        <v>0</v>
      </c>
      <c r="J127" s="39">
        <f t="shared" si="3"/>
        <v>2.9000000000000001E-2</v>
      </c>
      <c r="K127" s="39">
        <f t="shared" si="3"/>
        <v>1.6E-2</v>
      </c>
      <c r="L127" s="39">
        <f>PI()*((J127/2)^2)*K127</f>
        <v>1.0568317686676066E-5</v>
      </c>
      <c r="M127" s="123"/>
      <c r="N127" s="182"/>
      <c r="O127" s="123"/>
    </row>
    <row r="128" spans="1:16" x14ac:dyDescent="0.75">
      <c r="A128" s="180" t="s">
        <v>205</v>
      </c>
      <c r="B128" s="25">
        <v>1.4</v>
      </c>
      <c r="C128" s="25">
        <f>B128/1000</f>
        <v>1.4E-3</v>
      </c>
      <c r="D128" s="15" t="s">
        <v>184</v>
      </c>
      <c r="E128" s="39"/>
      <c r="F128" s="39">
        <v>22</v>
      </c>
      <c r="G128" s="39">
        <v>1</v>
      </c>
      <c r="H128" s="39" t="s">
        <v>189</v>
      </c>
      <c r="I128" s="39">
        <f t="shared" si="3"/>
        <v>0</v>
      </c>
      <c r="J128" s="39">
        <f t="shared" si="3"/>
        <v>2.1999999999999999E-2</v>
      </c>
      <c r="K128" s="39">
        <f t="shared" si="3"/>
        <v>1E-3</v>
      </c>
      <c r="L128" s="39">
        <f>PI()*((J128/2)^2)*K128</f>
        <v>3.8013271108436495E-7</v>
      </c>
      <c r="M128" s="123"/>
      <c r="N128" s="182"/>
      <c r="O128" s="123"/>
    </row>
    <row r="129" spans="1:16" x14ac:dyDescent="0.75">
      <c r="A129" s="180" t="s">
        <v>206</v>
      </c>
      <c r="B129" s="25">
        <v>10.6</v>
      </c>
      <c r="C129" s="25">
        <f>B129/1000</f>
        <v>1.06E-2</v>
      </c>
      <c r="D129" s="15" t="s">
        <v>184</v>
      </c>
      <c r="E129" s="39"/>
      <c r="F129" s="39">
        <v>32</v>
      </c>
      <c r="G129" s="39">
        <v>83</v>
      </c>
      <c r="H129" s="39" t="s">
        <v>189</v>
      </c>
      <c r="I129" s="39">
        <f t="shared" si="3"/>
        <v>0</v>
      </c>
      <c r="J129" s="39">
        <f t="shared" si="3"/>
        <v>3.2000000000000001E-2</v>
      </c>
      <c r="K129" s="39">
        <f t="shared" si="3"/>
        <v>8.3000000000000004E-2</v>
      </c>
      <c r="L129" s="39">
        <f>PI()*((J129/2)^2)*K129</f>
        <v>6.6752560703475919E-5</v>
      </c>
      <c r="M129" s="123"/>
      <c r="N129" s="182"/>
      <c r="O129" s="123"/>
    </row>
    <row r="130" spans="1:16" x14ac:dyDescent="0.75">
      <c r="A130" s="180" t="s">
        <v>207</v>
      </c>
      <c r="B130" s="25"/>
      <c r="C130" s="25">
        <v>60</v>
      </c>
      <c r="D130" s="15" t="s">
        <v>184</v>
      </c>
      <c r="E130" s="39"/>
      <c r="F130" s="39">
        <v>9</v>
      </c>
      <c r="G130" s="39">
        <v>55</v>
      </c>
      <c r="H130" s="39" t="s">
        <v>181</v>
      </c>
      <c r="I130" s="39"/>
      <c r="J130" s="15">
        <f>(F130*$P$113)/100</f>
        <v>0.2286</v>
      </c>
      <c r="K130" s="15">
        <f>(G130*$P$113)/100</f>
        <v>1.3969999999999998</v>
      </c>
      <c r="L130" s="39">
        <f>PI()*((J130/2)^2)*K130</f>
        <v>5.7337498212235542E-2</v>
      </c>
      <c r="M130" s="123"/>
      <c r="N130" s="182" t="s">
        <v>208</v>
      </c>
      <c r="O130" s="123"/>
    </row>
    <row r="131" spans="1:16" ht="15" customHeight="1" thickBot="1" x14ac:dyDescent="0.9">
      <c r="A131" s="183" t="s">
        <v>209</v>
      </c>
      <c r="B131" s="184">
        <v>0.4894</v>
      </c>
      <c r="C131" s="184">
        <f>(B131/1000)/5</f>
        <v>9.7879999999999991E-5</v>
      </c>
      <c r="D131" s="70" t="s">
        <v>184</v>
      </c>
      <c r="E131" s="43"/>
      <c r="F131" s="43">
        <v>2</v>
      </c>
      <c r="G131" s="43">
        <v>7</v>
      </c>
      <c r="H131" s="43" t="s">
        <v>189</v>
      </c>
      <c r="I131" s="43">
        <f>E131/1000</f>
        <v>0</v>
      </c>
      <c r="J131" s="43">
        <f>F131/1000</f>
        <v>2E-3</v>
      </c>
      <c r="K131" s="43">
        <f>G131/1000</f>
        <v>7.0000000000000001E-3</v>
      </c>
      <c r="L131" s="43">
        <f>PI()*((J131/2)^2)*K131</f>
        <v>2.1991148575128551E-8</v>
      </c>
      <c r="M131" s="185"/>
      <c r="N131" s="186" t="s">
        <v>210</v>
      </c>
      <c r="O131" s="123"/>
    </row>
    <row r="132" spans="1:16" ht="15" customHeight="1" thickBot="1" x14ac:dyDescent="0.9">
      <c r="A132" s="130"/>
      <c r="B132" s="121"/>
      <c r="C132" s="122"/>
      <c r="D132" s="122"/>
      <c r="E132" s="122"/>
      <c r="F132" s="122"/>
      <c r="G132" s="122"/>
      <c r="H132" s="122"/>
      <c r="I132" s="122"/>
      <c r="J132" s="122"/>
      <c r="K132" s="122"/>
      <c r="L132" s="122"/>
      <c r="M132" s="122"/>
      <c r="N132" s="122"/>
      <c r="O132" s="122"/>
      <c r="P132" s="122"/>
    </row>
    <row r="133" spans="1:16" x14ac:dyDescent="0.75">
      <c r="A133" s="263" t="s">
        <v>211</v>
      </c>
      <c r="B133" s="269"/>
      <c r="C133" s="269"/>
      <c r="D133" s="270"/>
      <c r="E133" s="270"/>
      <c r="F133" s="270"/>
      <c r="G133" s="271"/>
      <c r="H133" s="122"/>
      <c r="I133" s="122"/>
      <c r="J133" s="122"/>
      <c r="K133" s="122"/>
      <c r="L133" s="122"/>
      <c r="M133" s="122"/>
      <c r="N133" s="122"/>
      <c r="O133" s="122"/>
    </row>
    <row r="134" spans="1:16" ht="15" customHeight="1" thickBot="1" x14ac:dyDescent="1.1000000000000001">
      <c r="A134" s="281" t="s">
        <v>212</v>
      </c>
      <c r="B134" s="282" t="s">
        <v>80</v>
      </c>
      <c r="C134" s="282" t="s">
        <v>33</v>
      </c>
      <c r="D134" s="282" t="s">
        <v>499</v>
      </c>
      <c r="E134" s="282" t="s">
        <v>34</v>
      </c>
      <c r="F134" s="282" t="s">
        <v>213</v>
      </c>
      <c r="G134" s="283" t="s">
        <v>500</v>
      </c>
      <c r="H134" s="122"/>
      <c r="I134" s="122"/>
      <c r="J134" s="122"/>
      <c r="K134" s="122"/>
      <c r="L134" s="122"/>
      <c r="M134" s="122"/>
      <c r="N134" s="122"/>
      <c r="O134" s="122"/>
    </row>
    <row r="135" spans="1:16" x14ac:dyDescent="0.75">
      <c r="A135" s="172" t="s">
        <v>179</v>
      </c>
      <c r="B135" s="15" t="s">
        <v>60</v>
      </c>
      <c r="C135" s="26">
        <f t="shared" ref="C135:C141" si="4">C113</f>
        <v>1.4524999999999999</v>
      </c>
      <c r="D135" s="26">
        <f t="shared" ref="D135:D141" si="5">L113</f>
        <v>7.2266952240000008E-3</v>
      </c>
      <c r="E135" s="15">
        <v>1</v>
      </c>
      <c r="F135" s="15">
        <v>0</v>
      </c>
      <c r="G135" s="106">
        <v>0</v>
      </c>
      <c r="H135" s="122"/>
      <c r="I135" s="122"/>
      <c r="J135" s="122"/>
      <c r="K135" s="122"/>
      <c r="L135" s="122"/>
      <c r="M135" s="122"/>
      <c r="N135" s="122"/>
      <c r="O135" s="122"/>
    </row>
    <row r="136" spans="1:16" x14ac:dyDescent="0.75">
      <c r="A136" s="172" t="s">
        <v>214</v>
      </c>
      <c r="B136" s="15" t="s">
        <v>60</v>
      </c>
      <c r="C136" s="26">
        <f t="shared" si="4"/>
        <v>0.64319999999999999</v>
      </c>
      <c r="D136" s="26">
        <f t="shared" si="5"/>
        <v>7.083851630979676E-4</v>
      </c>
      <c r="E136" s="15">
        <v>0</v>
      </c>
      <c r="F136" s="15">
        <v>0</v>
      </c>
      <c r="G136" s="106">
        <v>0</v>
      </c>
    </row>
    <row r="137" spans="1:16" x14ac:dyDescent="0.75">
      <c r="A137" s="172" t="s">
        <v>215</v>
      </c>
      <c r="B137" s="15" t="s">
        <v>60</v>
      </c>
      <c r="C137" s="26">
        <f t="shared" si="4"/>
        <v>6.3492063492063497</v>
      </c>
      <c r="D137" s="26">
        <f t="shared" si="5"/>
        <v>1.2021327750178929E-2</v>
      </c>
      <c r="E137" s="15">
        <v>1</v>
      </c>
      <c r="F137" s="15">
        <v>0</v>
      </c>
      <c r="G137" s="106">
        <v>0</v>
      </c>
    </row>
    <row r="138" spans="1:16" x14ac:dyDescent="0.75">
      <c r="A138" s="172" t="s">
        <v>216</v>
      </c>
      <c r="B138" s="15" t="s">
        <v>60</v>
      </c>
      <c r="C138" s="26">
        <f t="shared" si="4"/>
        <v>1.9085999999999999</v>
      </c>
      <c r="D138" s="26">
        <f t="shared" si="5"/>
        <v>4.5269264300000006E-3</v>
      </c>
      <c r="E138" s="15">
        <v>0</v>
      </c>
      <c r="F138" s="15">
        <v>0</v>
      </c>
      <c r="G138" s="106">
        <v>0</v>
      </c>
    </row>
    <row r="139" spans="1:16" x14ac:dyDescent="0.75">
      <c r="A139" s="172" t="s">
        <v>217</v>
      </c>
      <c r="B139" s="15" t="s">
        <v>60</v>
      </c>
      <c r="C139" s="26">
        <f t="shared" si="4"/>
        <v>9.1000000000000004E-3</v>
      </c>
      <c r="D139" s="26">
        <f t="shared" si="5"/>
        <v>3.8226899408880607E-5</v>
      </c>
      <c r="E139" s="15">
        <v>0</v>
      </c>
      <c r="F139" s="15">
        <v>0</v>
      </c>
      <c r="G139" s="106">
        <v>0</v>
      </c>
    </row>
    <row r="140" spans="1:16" x14ac:dyDescent="0.75">
      <c r="A140" s="172" t="s">
        <v>218</v>
      </c>
      <c r="B140" s="15" t="s">
        <v>60</v>
      </c>
      <c r="C140" s="26">
        <f t="shared" si="4"/>
        <v>0.21249999999999999</v>
      </c>
      <c r="D140" s="26">
        <f t="shared" si="5"/>
        <v>3.9328953599999999E-3</v>
      </c>
      <c r="E140" s="15">
        <v>0</v>
      </c>
      <c r="F140" s="15">
        <v>0</v>
      </c>
      <c r="G140" s="106">
        <v>0</v>
      </c>
    </row>
    <row r="141" spans="1:16" x14ac:dyDescent="0.75">
      <c r="A141" s="172" t="s">
        <v>219</v>
      </c>
      <c r="B141" s="15" t="s">
        <v>60</v>
      </c>
      <c r="C141" s="26">
        <f t="shared" si="4"/>
        <v>2.4300000000000002E-2</v>
      </c>
      <c r="D141" s="26">
        <f t="shared" si="5"/>
        <v>4.2401528100000004E-4</v>
      </c>
      <c r="E141" s="15">
        <v>0</v>
      </c>
      <c r="F141" s="15">
        <v>0</v>
      </c>
      <c r="G141" s="106">
        <v>0</v>
      </c>
    </row>
    <row r="142" spans="1:16" x14ac:dyDescent="0.75">
      <c r="A142" s="83" t="s">
        <v>547</v>
      </c>
      <c r="B142" s="15" t="s">
        <v>60</v>
      </c>
      <c r="C142" s="26">
        <f>B101</f>
        <v>412</v>
      </c>
      <c r="D142" s="26">
        <f>B102</f>
        <v>2</v>
      </c>
      <c r="E142" s="15"/>
      <c r="F142" s="15"/>
      <c r="G142" s="50">
        <f>B104</f>
        <v>0.20499999999999999</v>
      </c>
    </row>
    <row r="143" spans="1:16" x14ac:dyDescent="0.75">
      <c r="A143" s="180" t="s">
        <v>204</v>
      </c>
      <c r="B143" s="15" t="s">
        <v>60</v>
      </c>
      <c r="C143" s="25">
        <f>B102</f>
        <v>2</v>
      </c>
      <c r="D143" s="25">
        <f>L127</f>
        <v>1.0568317686676066E-5</v>
      </c>
      <c r="E143" s="39">
        <v>0</v>
      </c>
      <c r="F143" s="39">
        <v>0</v>
      </c>
      <c r="G143" s="176">
        <v>0</v>
      </c>
    </row>
    <row r="144" spans="1:16" x14ac:dyDescent="0.75">
      <c r="A144" s="180" t="s">
        <v>205</v>
      </c>
      <c r="B144" s="15" t="s">
        <v>60</v>
      </c>
      <c r="C144" s="25">
        <f>C128</f>
        <v>1.4E-3</v>
      </c>
      <c r="D144" s="25">
        <f>L128</f>
        <v>3.8013271108436495E-7</v>
      </c>
      <c r="E144" s="39">
        <v>0</v>
      </c>
      <c r="F144" s="39">
        <v>0</v>
      </c>
      <c r="G144" s="176">
        <v>0</v>
      </c>
    </row>
    <row r="145" spans="1:8" x14ac:dyDescent="0.75">
      <c r="A145" s="180" t="s">
        <v>220</v>
      </c>
      <c r="B145" s="15" t="s">
        <v>60</v>
      </c>
      <c r="C145" s="25">
        <f>C129</f>
        <v>1.06E-2</v>
      </c>
      <c r="D145" s="25">
        <f>L129</f>
        <v>6.6752560703475919E-5</v>
      </c>
      <c r="E145" s="39">
        <v>0</v>
      </c>
      <c r="F145" s="39">
        <v>0</v>
      </c>
      <c r="G145" s="176">
        <v>0</v>
      </c>
    </row>
    <row r="146" spans="1:8" x14ac:dyDescent="0.75">
      <c r="A146" s="180" t="s">
        <v>221</v>
      </c>
      <c r="B146" s="15" t="s">
        <v>60</v>
      </c>
      <c r="C146" s="25">
        <f>C130</f>
        <v>60</v>
      </c>
      <c r="D146" s="25">
        <f>L130</f>
        <v>5.7337498212235542E-2</v>
      </c>
      <c r="E146" s="39">
        <v>1</v>
      </c>
      <c r="F146" s="39">
        <v>0</v>
      </c>
      <c r="G146" s="176">
        <v>0</v>
      </c>
    </row>
    <row r="147" spans="1:8" x14ac:dyDescent="0.75">
      <c r="A147" s="180" t="s">
        <v>222</v>
      </c>
      <c r="B147" s="15" t="s">
        <v>60</v>
      </c>
      <c r="C147" s="25">
        <f>C131</f>
        <v>9.7879999999999991E-5</v>
      </c>
      <c r="D147" s="25">
        <f>L131</f>
        <v>2.1991148575128551E-8</v>
      </c>
      <c r="E147" s="39">
        <v>0</v>
      </c>
      <c r="F147" s="39">
        <v>0</v>
      </c>
      <c r="G147" s="176">
        <v>0</v>
      </c>
    </row>
    <row r="148" spans="1:8" x14ac:dyDescent="0.75">
      <c r="A148" s="172" t="s">
        <v>223</v>
      </c>
      <c r="B148" s="15" t="s">
        <v>42</v>
      </c>
      <c r="C148" s="26">
        <f>C120</f>
        <v>8.069259259259261E-5</v>
      </c>
      <c r="D148" s="15">
        <v>0</v>
      </c>
      <c r="E148" s="15">
        <v>0</v>
      </c>
      <c r="F148" s="15">
        <v>0</v>
      </c>
      <c r="G148" s="106">
        <v>0</v>
      </c>
    </row>
    <row r="149" spans="1:8" x14ac:dyDescent="0.75">
      <c r="A149" s="172" t="s">
        <v>224</v>
      </c>
      <c r="B149" s="15" t="s">
        <v>42</v>
      </c>
      <c r="C149" s="26">
        <f>C121</f>
        <v>4.4499999999999998E-2</v>
      </c>
      <c r="D149" s="26">
        <f>L121</f>
        <v>2.0773999999999998E-5</v>
      </c>
      <c r="E149" s="15">
        <v>0</v>
      </c>
      <c r="F149" s="15">
        <v>0</v>
      </c>
      <c r="G149" s="106">
        <v>0</v>
      </c>
    </row>
    <row r="150" spans="1:8" x14ac:dyDescent="0.75">
      <c r="A150" s="172" t="s">
        <v>225</v>
      </c>
      <c r="B150" s="15" t="s">
        <v>42</v>
      </c>
      <c r="C150" s="26">
        <f>C122</f>
        <v>6.508066666666667E-3</v>
      </c>
      <c r="D150" s="26">
        <f>L122</f>
        <v>5.7233248215486036E-4</v>
      </c>
      <c r="E150" s="15">
        <v>0</v>
      </c>
      <c r="F150" s="15">
        <v>0</v>
      </c>
      <c r="G150" s="106">
        <v>0</v>
      </c>
    </row>
    <row r="151" spans="1:8" x14ac:dyDescent="0.75">
      <c r="A151" s="172" t="s">
        <v>226</v>
      </c>
      <c r="B151" s="15" t="s">
        <v>42</v>
      </c>
      <c r="C151" s="26">
        <f>C123</f>
        <v>1.1192666666666666E-3</v>
      </c>
      <c r="D151" s="15">
        <v>0</v>
      </c>
      <c r="E151" s="15">
        <v>0</v>
      </c>
      <c r="F151" s="15">
        <v>0</v>
      </c>
      <c r="G151" s="106">
        <v>0</v>
      </c>
    </row>
    <row r="152" spans="1:8" x14ac:dyDescent="0.75">
      <c r="A152" s="172" t="s">
        <v>227</v>
      </c>
      <c r="B152" s="15" t="s">
        <v>56</v>
      </c>
      <c r="C152" s="26">
        <f>C124</f>
        <v>7.9257499999999998E-5</v>
      </c>
      <c r="D152" s="15">
        <v>0</v>
      </c>
      <c r="E152" s="15">
        <v>0</v>
      </c>
      <c r="F152" s="15">
        <v>0</v>
      </c>
      <c r="G152" s="106">
        <v>0</v>
      </c>
    </row>
    <row r="153" spans="1:8" x14ac:dyDescent="0.75">
      <c r="A153" s="172" t="s">
        <v>228</v>
      </c>
      <c r="B153" s="15" t="s">
        <v>56</v>
      </c>
      <c r="C153" s="26">
        <f>C149</f>
        <v>4.4499999999999998E-2</v>
      </c>
      <c r="D153" s="26">
        <f>D149</f>
        <v>2.0773999999999998E-5</v>
      </c>
      <c r="E153" s="15">
        <v>0</v>
      </c>
      <c r="F153" s="15">
        <v>0</v>
      </c>
      <c r="G153" s="106">
        <v>0</v>
      </c>
    </row>
    <row r="154" spans="1:8" x14ac:dyDescent="0.75">
      <c r="A154" s="172" t="s">
        <v>225</v>
      </c>
      <c r="B154" s="15" t="s">
        <v>56</v>
      </c>
      <c r="C154" s="26">
        <f>C150</f>
        <v>6.508066666666667E-3</v>
      </c>
      <c r="D154" s="26">
        <f>D150</f>
        <v>5.7233248215486036E-4</v>
      </c>
      <c r="E154" s="15">
        <v>0</v>
      </c>
      <c r="F154" s="15">
        <v>0</v>
      </c>
      <c r="G154" s="106">
        <v>0</v>
      </c>
    </row>
    <row r="155" spans="1:8" ht="15" customHeight="1" thickBot="1" x14ac:dyDescent="0.9">
      <c r="A155" s="177" t="s">
        <v>226</v>
      </c>
      <c r="B155" s="70" t="s">
        <v>56</v>
      </c>
      <c r="C155" s="44">
        <f>C151</f>
        <v>1.1192666666666666E-3</v>
      </c>
      <c r="D155" s="70">
        <v>0</v>
      </c>
      <c r="E155" s="70">
        <v>0</v>
      </c>
      <c r="F155" s="70">
        <v>0</v>
      </c>
      <c r="G155" s="74">
        <v>0</v>
      </c>
    </row>
    <row r="156" spans="1:8" ht="15" customHeight="1" thickBot="1" x14ac:dyDescent="0.9">
      <c r="A156" s="130"/>
      <c r="B156" s="121"/>
      <c r="C156" s="121"/>
      <c r="D156" s="122"/>
      <c r="E156" s="122"/>
      <c r="F156" s="122"/>
      <c r="G156" s="122"/>
    </row>
    <row r="157" spans="1:8" x14ac:dyDescent="0.75">
      <c r="A157" s="272" t="s">
        <v>229</v>
      </c>
      <c r="B157" s="267"/>
      <c r="C157" s="267"/>
      <c r="D157" s="267"/>
      <c r="E157" s="267"/>
      <c r="F157" s="267"/>
      <c r="G157" s="268"/>
    </row>
    <row r="158" spans="1:8" ht="15" customHeight="1" thickBot="1" x14ac:dyDescent="1.1000000000000001">
      <c r="A158" s="284" t="s">
        <v>212</v>
      </c>
      <c r="B158" s="285" t="s">
        <v>80</v>
      </c>
      <c r="C158" s="285" t="s">
        <v>32</v>
      </c>
      <c r="D158" s="285" t="s">
        <v>33</v>
      </c>
      <c r="E158" s="286" t="s">
        <v>496</v>
      </c>
      <c r="F158" s="286" t="s">
        <v>498</v>
      </c>
      <c r="G158" s="287" t="s">
        <v>34</v>
      </c>
    </row>
    <row r="159" spans="1:8" x14ac:dyDescent="0.75">
      <c r="A159" s="172" t="s">
        <v>230</v>
      </c>
      <c r="B159" s="15" t="s">
        <v>60</v>
      </c>
      <c r="C159" s="15">
        <v>1</v>
      </c>
      <c r="D159" s="26">
        <f>C135*C159/Assumptions!$B$5</f>
        <v>0.24208333333333332</v>
      </c>
      <c r="E159" s="26">
        <f>D135*C159/Assumptions!$B$5</f>
        <v>1.2044492040000001E-3</v>
      </c>
      <c r="F159" s="15"/>
      <c r="G159" s="3"/>
      <c r="H159" t="s">
        <v>526</v>
      </c>
    </row>
    <row r="160" spans="1:8" x14ac:dyDescent="0.75">
      <c r="A160" s="172" t="s">
        <v>214</v>
      </c>
      <c r="B160" s="15" t="s">
        <v>60</v>
      </c>
      <c r="C160" s="15">
        <v>1</v>
      </c>
      <c r="D160" s="26">
        <f>C136*C160/Assumptions!$B$5</f>
        <v>0.1072</v>
      </c>
      <c r="E160" s="26">
        <f>D136*C160/Assumptions!$B$5</f>
        <v>1.1806419384966127E-4</v>
      </c>
      <c r="F160" s="15"/>
      <c r="G160" s="3"/>
      <c r="H160" t="s">
        <v>526</v>
      </c>
    </row>
    <row r="161" spans="1:8" x14ac:dyDescent="0.75">
      <c r="A161" s="172" t="s">
        <v>215</v>
      </c>
      <c r="B161" s="15" t="s">
        <v>60</v>
      </c>
      <c r="C161" s="15">
        <v>1</v>
      </c>
      <c r="D161" s="26">
        <f>C137*C161/Assumptions!$B$5</f>
        <v>1.0582010582010584</v>
      </c>
      <c r="E161" s="26">
        <f>D137*C161/Assumptions!$B$5</f>
        <v>2.0035546250298216E-3</v>
      </c>
      <c r="F161" s="15"/>
      <c r="G161" s="3"/>
      <c r="H161" t="s">
        <v>526</v>
      </c>
    </row>
    <row r="162" spans="1:8" x14ac:dyDescent="0.75">
      <c r="A162" s="172" t="s">
        <v>216</v>
      </c>
      <c r="B162" s="15" t="s">
        <v>60</v>
      </c>
      <c r="C162" s="15">
        <v>1</v>
      </c>
      <c r="D162" s="26">
        <f>C138*C162/Assumptions!$B$5</f>
        <v>0.31809999999999999</v>
      </c>
      <c r="E162" s="26">
        <f>D138*C162/Assumptions!$B$5</f>
        <v>7.5448773833333347E-4</v>
      </c>
      <c r="F162" s="15"/>
      <c r="G162" s="3"/>
      <c r="H162" t="s">
        <v>526</v>
      </c>
    </row>
    <row r="163" spans="1:8" x14ac:dyDescent="0.75">
      <c r="A163" s="172" t="s">
        <v>231</v>
      </c>
      <c r="B163" s="15" t="s">
        <v>60</v>
      </c>
      <c r="C163" s="15">
        <v>1</v>
      </c>
      <c r="D163" s="26">
        <f>C139*C163/Assumptions!$B$5</f>
        <v>1.5166666666666668E-3</v>
      </c>
      <c r="E163" s="26">
        <f>D139*C163/Assumptions!$B$5</f>
        <v>6.3711499014801012E-6</v>
      </c>
      <c r="F163" s="15"/>
      <c r="G163" s="3"/>
      <c r="H163" t="s">
        <v>526</v>
      </c>
    </row>
    <row r="164" spans="1:8" x14ac:dyDescent="0.75">
      <c r="A164" s="172" t="s">
        <v>218</v>
      </c>
      <c r="B164" s="15" t="s">
        <v>60</v>
      </c>
      <c r="C164" s="15">
        <v>1</v>
      </c>
      <c r="D164" s="26">
        <f>C140*C164/Assumptions!$B$5</f>
        <v>3.5416666666666666E-2</v>
      </c>
      <c r="E164" s="26">
        <f>D140*C164/Assumptions!$B$5</f>
        <v>6.5548256000000002E-4</v>
      </c>
      <c r="F164" s="15"/>
      <c r="G164" s="3"/>
      <c r="H164" t="s">
        <v>526</v>
      </c>
    </row>
    <row r="165" spans="1:8" x14ac:dyDescent="0.75">
      <c r="A165" s="172" t="s">
        <v>219</v>
      </c>
      <c r="B165" s="15" t="s">
        <v>60</v>
      </c>
      <c r="C165" s="15">
        <v>1</v>
      </c>
      <c r="D165" s="26">
        <f>C141*C165/Assumptions!$B$5</f>
        <v>4.0500000000000006E-3</v>
      </c>
      <c r="E165" s="26">
        <f>D141*C165/Assumptions!$B$5</f>
        <v>7.0669213500000011E-5</v>
      </c>
      <c r="F165" s="15"/>
      <c r="G165" s="3"/>
      <c r="H165" t="s">
        <v>526</v>
      </c>
    </row>
    <row r="166" spans="1:8" x14ac:dyDescent="0.75">
      <c r="A166" s="83" t="s">
        <v>547</v>
      </c>
      <c r="B166" s="15" t="s">
        <v>60</v>
      </c>
      <c r="C166" s="21">
        <f>B109</f>
        <v>13</v>
      </c>
      <c r="D166" s="26">
        <f>C142*C166</f>
        <v>5356</v>
      </c>
      <c r="E166" s="26">
        <f>D142*C166</f>
        <v>26</v>
      </c>
      <c r="F166" s="26">
        <f>G142*C166</f>
        <v>2.665</v>
      </c>
      <c r="G166" s="3"/>
    </row>
    <row r="167" spans="1:8" x14ac:dyDescent="0.75">
      <c r="A167" s="172" t="s">
        <v>192</v>
      </c>
      <c r="B167" s="15" t="s">
        <v>42</v>
      </c>
      <c r="C167" s="15">
        <f>B105*Assumptions!$B$7</f>
        <v>1323024</v>
      </c>
      <c r="D167" s="26">
        <f t="shared" ref="D167:D174" si="6">C148*C167</f>
        <v>106.75823662222224</v>
      </c>
      <c r="E167" s="26">
        <f t="shared" ref="E167:E174" si="7">D148*C167</f>
        <v>0</v>
      </c>
      <c r="F167" s="26"/>
      <c r="G167" s="50">
        <f>((B94+(B105*B96)+((ROUNDUP((B105/B99),0))*B98))*B100)*ROUNDUP(Assumptions!B7,0)</f>
        <v>16559.3</v>
      </c>
    </row>
    <row r="168" spans="1:8" x14ac:dyDescent="0.75">
      <c r="A168" s="172" t="s">
        <v>194</v>
      </c>
      <c r="B168" s="15" t="s">
        <v>42</v>
      </c>
      <c r="C168" s="15">
        <f>B107*Assumptions!$B$7</f>
        <v>1376</v>
      </c>
      <c r="D168" s="26">
        <f t="shared" si="6"/>
        <v>61.231999999999999</v>
      </c>
      <c r="E168" s="26">
        <f t="shared" si="7"/>
        <v>2.8585023999999997E-2</v>
      </c>
      <c r="F168" s="129"/>
      <c r="G168" s="187"/>
    </row>
    <row r="169" spans="1:8" x14ac:dyDescent="0.75">
      <c r="A169" s="172" t="s">
        <v>232</v>
      </c>
      <c r="B169" s="15" t="s">
        <v>42</v>
      </c>
      <c r="C169" s="15">
        <f>B106*Assumptions!$B$7</f>
        <v>13244</v>
      </c>
      <c r="D169" s="26">
        <f t="shared" si="6"/>
        <v>86.192834933333344</v>
      </c>
      <c r="E169" s="26">
        <f t="shared" si="7"/>
        <v>7.5799713936589708</v>
      </c>
      <c r="F169" s="15"/>
      <c r="G169" s="106"/>
    </row>
    <row r="170" spans="1:8" x14ac:dyDescent="0.75">
      <c r="A170" s="172" t="s">
        <v>233</v>
      </c>
      <c r="B170" s="15" t="s">
        <v>42</v>
      </c>
      <c r="C170" s="15">
        <f>B106*Assumptions!$B$7</f>
        <v>13244</v>
      </c>
      <c r="D170" s="26">
        <f t="shared" si="6"/>
        <v>14.823567733333332</v>
      </c>
      <c r="E170" s="26">
        <f t="shared" si="7"/>
        <v>0</v>
      </c>
      <c r="F170" s="15"/>
      <c r="G170" s="106"/>
    </row>
    <row r="171" spans="1:8" x14ac:dyDescent="0.75">
      <c r="A171" s="172" t="s">
        <v>234</v>
      </c>
      <c r="B171" s="15" t="s">
        <v>56</v>
      </c>
      <c r="C171" s="15">
        <f>C167</f>
        <v>1323024</v>
      </c>
      <c r="D171" s="26">
        <f t="shared" si="6"/>
        <v>104.85957467999999</v>
      </c>
      <c r="E171" s="26">
        <f t="shared" si="7"/>
        <v>0</v>
      </c>
      <c r="F171" s="15"/>
      <c r="G171" s="106"/>
    </row>
    <row r="172" spans="1:8" x14ac:dyDescent="0.75">
      <c r="A172" s="172" t="s">
        <v>235</v>
      </c>
      <c r="B172" s="15" t="s">
        <v>56</v>
      </c>
      <c r="C172" s="15">
        <f>C168</f>
        <v>1376</v>
      </c>
      <c r="D172" s="26">
        <f t="shared" si="6"/>
        <v>61.231999999999999</v>
      </c>
      <c r="E172" s="26">
        <f t="shared" si="7"/>
        <v>2.8585023999999997E-2</v>
      </c>
      <c r="F172" s="15"/>
      <c r="G172" s="106"/>
    </row>
    <row r="173" spans="1:8" x14ac:dyDescent="0.75">
      <c r="A173" s="172" t="s">
        <v>232</v>
      </c>
      <c r="B173" s="15" t="s">
        <v>56</v>
      </c>
      <c r="C173" s="15">
        <f>C169</f>
        <v>13244</v>
      </c>
      <c r="D173" s="26">
        <f t="shared" si="6"/>
        <v>86.192834933333344</v>
      </c>
      <c r="E173" s="26">
        <f t="shared" si="7"/>
        <v>7.5799713936589708</v>
      </c>
      <c r="F173" s="15"/>
      <c r="G173" s="106"/>
    </row>
    <row r="174" spans="1:8" ht="15" customHeight="1" thickBot="1" x14ac:dyDescent="0.9">
      <c r="A174" s="177" t="s">
        <v>233</v>
      </c>
      <c r="B174" s="70" t="s">
        <v>56</v>
      </c>
      <c r="C174" s="70">
        <f>C170</f>
        <v>13244</v>
      </c>
      <c r="D174" s="44">
        <f t="shared" si="6"/>
        <v>14.823567733333332</v>
      </c>
      <c r="E174" s="44">
        <f t="shared" si="7"/>
        <v>0</v>
      </c>
      <c r="F174" s="70"/>
      <c r="G174" s="74"/>
    </row>
    <row r="175" spans="1:8" ht="15" customHeight="1" thickBot="1" x14ac:dyDescent="0.9">
      <c r="B175" s="15"/>
    </row>
    <row r="176" spans="1:8" x14ac:dyDescent="0.75">
      <c r="A176" s="273" t="s">
        <v>524</v>
      </c>
      <c r="B176" s="274"/>
      <c r="C176" s="267"/>
      <c r="D176" s="267"/>
      <c r="E176" s="267"/>
      <c r="F176" s="275"/>
    </row>
    <row r="177" spans="1:8" ht="15" customHeight="1" thickBot="1" x14ac:dyDescent="0.9">
      <c r="A177" s="284" t="s">
        <v>59</v>
      </c>
      <c r="B177" s="285" t="s">
        <v>60</v>
      </c>
      <c r="C177" s="285" t="s">
        <v>61</v>
      </c>
      <c r="D177" s="285" t="s">
        <v>62</v>
      </c>
      <c r="E177" s="285" t="s">
        <v>63</v>
      </c>
      <c r="F177" s="288" t="s">
        <v>516</v>
      </c>
    </row>
    <row r="178" spans="1:8" x14ac:dyDescent="0.75">
      <c r="A178" s="58" t="s">
        <v>33</v>
      </c>
      <c r="B178" s="26">
        <f>SUM(D159:D166)</f>
        <v>5357.7665677248679</v>
      </c>
      <c r="C178" s="26">
        <f>+D168</f>
        <v>61.231999999999999</v>
      </c>
      <c r="D178" s="52"/>
      <c r="E178" s="229"/>
      <c r="F178" s="219"/>
    </row>
    <row r="179" spans="1:8" ht="16.5" customHeight="1" x14ac:dyDescent="0.75">
      <c r="A179" s="58" t="s">
        <v>499</v>
      </c>
      <c r="B179" s="26">
        <f>SUM(E159:E166)</f>
        <v>26.004813078684613</v>
      </c>
      <c r="C179" s="26">
        <f>SUM(E167:E170)</f>
        <v>7.6085564176589706</v>
      </c>
      <c r="D179" s="52"/>
      <c r="E179" s="229"/>
      <c r="F179" s="219"/>
    </row>
    <row r="180" spans="1:8" ht="16.75" x14ac:dyDescent="0.95">
      <c r="A180" s="58" t="s">
        <v>500</v>
      </c>
      <c r="B180" s="26">
        <f>SUM(F159:F166)</f>
        <v>2.665</v>
      </c>
      <c r="C180" s="52"/>
      <c r="D180" s="52"/>
      <c r="E180" s="229"/>
      <c r="F180" s="220"/>
    </row>
    <row r="181" spans="1:8" ht="16.75" x14ac:dyDescent="0.95">
      <c r="A181" s="58" t="s">
        <v>521</v>
      </c>
      <c r="B181" s="26">
        <f>+B180</f>
        <v>2.665</v>
      </c>
      <c r="C181" s="52"/>
      <c r="D181" s="52"/>
      <c r="E181" s="229"/>
      <c r="F181" s="220"/>
    </row>
    <row r="182" spans="1:8" x14ac:dyDescent="0.75">
      <c r="A182" s="58" t="s">
        <v>512</v>
      </c>
      <c r="B182" s="217">
        <f>+SUM(G159:G166)</f>
        <v>0</v>
      </c>
      <c r="C182" s="52"/>
      <c r="D182" s="52"/>
      <c r="E182" s="229"/>
      <c r="F182" s="221">
        <f>+G167</f>
        <v>16559.3</v>
      </c>
    </row>
    <row r="183" spans="1:8" x14ac:dyDescent="0.75">
      <c r="A183" s="64" t="s">
        <v>65</v>
      </c>
      <c r="B183" s="52"/>
      <c r="C183" s="26">
        <f>SUM(D167,D169,D170)</f>
        <v>207.77463928888892</v>
      </c>
      <c r="D183" s="52"/>
      <c r="E183" s="229"/>
      <c r="F183" s="220"/>
    </row>
    <row r="184" spans="1:8" x14ac:dyDescent="0.75">
      <c r="A184" s="64" t="s">
        <v>66</v>
      </c>
      <c r="B184" s="217">
        <v>0</v>
      </c>
      <c r="C184" s="217">
        <v>0</v>
      </c>
      <c r="D184" s="52"/>
      <c r="E184" s="229"/>
      <c r="F184" s="220"/>
    </row>
    <row r="185" spans="1:8" ht="15" customHeight="1" thickBot="1" x14ac:dyDescent="0.9">
      <c r="A185" s="66" t="s">
        <v>67</v>
      </c>
      <c r="B185" s="134"/>
      <c r="C185" s="134"/>
      <c r="D185" s="44">
        <f>SUM(D171:D174)</f>
        <v>267.1079773466667</v>
      </c>
      <c r="E185" s="230"/>
      <c r="F185" s="223"/>
    </row>
    <row r="186" spans="1:8" ht="15" customHeight="1" thickBot="1" x14ac:dyDescent="0.9">
      <c r="A186" s="119"/>
      <c r="B186" s="26"/>
      <c r="C186" s="26"/>
      <c r="D186" s="26"/>
      <c r="E186" s="51"/>
    </row>
    <row r="187" spans="1:8" x14ac:dyDescent="0.75">
      <c r="A187" s="276" t="s">
        <v>68</v>
      </c>
      <c r="B187" s="267"/>
      <c r="C187" s="267"/>
      <c r="D187" s="267"/>
      <c r="E187" s="267"/>
      <c r="F187" s="267"/>
      <c r="G187" s="267"/>
      <c r="H187" s="268"/>
    </row>
    <row r="188" spans="1:8" ht="15.5" customHeight="1" thickBot="1" x14ac:dyDescent="0.9">
      <c r="A188" s="289" t="s">
        <v>69</v>
      </c>
      <c r="B188" s="290" t="s">
        <v>503</v>
      </c>
      <c r="C188" s="290" t="s">
        <v>504</v>
      </c>
      <c r="D188" s="290" t="s">
        <v>505</v>
      </c>
      <c r="E188" s="290" t="s">
        <v>506</v>
      </c>
      <c r="F188" s="290" t="s">
        <v>507</v>
      </c>
      <c r="G188" s="290" t="s">
        <v>508</v>
      </c>
      <c r="H188" s="291" t="s">
        <v>76</v>
      </c>
    </row>
    <row r="189" spans="1:8" ht="15" customHeight="1" thickBot="1" x14ac:dyDescent="0.9">
      <c r="A189" s="73" t="s">
        <v>485</v>
      </c>
      <c r="B189" s="70">
        <f>Assumptions!B13</f>
        <v>79.3</v>
      </c>
      <c r="C189" s="70">
        <f>Assumptions!C13</f>
        <v>162</v>
      </c>
      <c r="D189" s="70">
        <f>Assumptions!D13</f>
        <v>96</v>
      </c>
      <c r="E189" s="70">
        <f>Assumptions!E13</f>
        <v>0.21</v>
      </c>
      <c r="F189" s="70">
        <f>Assumptions!F13</f>
        <v>0.93</v>
      </c>
      <c r="G189" s="70">
        <f>Assumptions!G13</f>
        <v>0.3</v>
      </c>
      <c r="H189" s="210">
        <f>Assumptions!H13</f>
        <v>0.94</v>
      </c>
    </row>
    <row r="190" spans="1:8" ht="15" customHeight="1" thickBot="1" x14ac:dyDescent="0.9">
      <c r="B190" s="15"/>
    </row>
    <row r="191" spans="1:8" ht="17" customHeight="1" thickBot="1" x14ac:dyDescent="1.1000000000000001">
      <c r="A191" s="292" t="s">
        <v>80</v>
      </c>
      <c r="B191" s="293" t="s">
        <v>502</v>
      </c>
    </row>
    <row r="192" spans="1:8" x14ac:dyDescent="0.75">
      <c r="A192" s="75" t="s">
        <v>60</v>
      </c>
      <c r="B192" s="235">
        <f>B178+(B179*B189)+(B180*C189)+(B181*D189)+(B184*G189)</f>
        <v>8107.5182448645573</v>
      </c>
    </row>
    <row r="193" spans="1:8" x14ac:dyDescent="0.75">
      <c r="A193" s="75" t="s">
        <v>516</v>
      </c>
      <c r="B193" s="235">
        <f>+F182*H189</f>
        <v>15565.741999999998</v>
      </c>
    </row>
    <row r="194" spans="1:8" x14ac:dyDescent="0.75">
      <c r="A194" s="75" t="s">
        <v>82</v>
      </c>
      <c r="B194" s="236">
        <f>C178+(C179*B189)+(C183*E189)+(C184*G189)</f>
        <v>708.22319817102311</v>
      </c>
    </row>
    <row r="195" spans="1:8" x14ac:dyDescent="0.75">
      <c r="A195" s="75" t="s">
        <v>83</v>
      </c>
      <c r="B195" s="236">
        <f>+(D185*F189)</f>
        <v>248.41041893240003</v>
      </c>
    </row>
    <row r="196" spans="1:8" x14ac:dyDescent="0.75">
      <c r="A196" s="76" t="s">
        <v>84</v>
      </c>
      <c r="B196" s="237">
        <v>0</v>
      </c>
    </row>
    <row r="197" spans="1:8" ht="17" customHeight="1" thickBot="1" x14ac:dyDescent="1.1000000000000001">
      <c r="A197" s="77" t="s">
        <v>522</v>
      </c>
      <c r="B197" s="238">
        <f>B192+B193+B194+B195-B196</f>
        <v>24629.893861967979</v>
      </c>
    </row>
    <row r="199" spans="1:8" x14ac:dyDescent="0.75">
      <c r="A199" s="362"/>
      <c r="B199" s="363"/>
      <c r="C199" s="363"/>
      <c r="D199" s="363"/>
      <c r="E199" s="363"/>
      <c r="F199" s="363"/>
      <c r="G199" s="363"/>
      <c r="H199" s="363"/>
    </row>
    <row r="200" spans="1:8" ht="15" customHeight="1" thickBot="1" x14ac:dyDescent="0.9"/>
    <row r="201" spans="1:8" x14ac:dyDescent="0.75">
      <c r="A201" s="294" t="s">
        <v>236</v>
      </c>
      <c r="B201" s="295"/>
    </row>
    <row r="202" spans="1:8" ht="17" customHeight="1" thickBot="1" x14ac:dyDescent="1.1000000000000001">
      <c r="A202" s="296" t="s">
        <v>80</v>
      </c>
      <c r="B202" s="244" t="s">
        <v>502</v>
      </c>
    </row>
    <row r="203" spans="1:8" x14ac:dyDescent="0.75">
      <c r="A203" s="75" t="s">
        <v>60</v>
      </c>
      <c r="B203" s="235">
        <f>B75+B192</f>
        <v>8950.0307415172465</v>
      </c>
    </row>
    <row r="204" spans="1:8" x14ac:dyDescent="0.75">
      <c r="A204" s="75" t="s">
        <v>516</v>
      </c>
      <c r="B204" s="235">
        <f>+B76+B193</f>
        <v>15610.484344883731</v>
      </c>
    </row>
    <row r="205" spans="1:8" x14ac:dyDescent="0.75">
      <c r="A205" s="75" t="s">
        <v>82</v>
      </c>
      <c r="B205" s="235">
        <f>B77+B194</f>
        <v>2524.8368108551754</v>
      </c>
    </row>
    <row r="206" spans="1:8" x14ac:dyDescent="0.75">
      <c r="A206" s="75" t="s">
        <v>83</v>
      </c>
      <c r="B206" s="235">
        <f>B78+B195</f>
        <v>257.77641018240001</v>
      </c>
    </row>
    <row r="207" spans="1:8" x14ac:dyDescent="0.75">
      <c r="A207" s="76" t="s">
        <v>84</v>
      </c>
      <c r="B207" s="239">
        <f>B79+B196</f>
        <v>1941.684070072801</v>
      </c>
    </row>
    <row r="208" spans="1:8" ht="17" customHeight="1" thickBot="1" x14ac:dyDescent="1.1000000000000001">
      <c r="A208" s="77" t="s">
        <v>523</v>
      </c>
      <c r="B208" s="238">
        <f>B203+B204+B205+B206-B207</f>
        <v>25401.444237365751</v>
      </c>
    </row>
    <row r="210" spans="1:18" x14ac:dyDescent="0.75">
      <c r="A210" s="362"/>
      <c r="B210" s="363"/>
      <c r="C210" s="363"/>
      <c r="D210" s="363"/>
      <c r="E210" s="363"/>
      <c r="F210" s="363"/>
      <c r="G210" s="363"/>
      <c r="H210" s="363"/>
    </row>
    <row r="211" spans="1:18" ht="15" customHeight="1" thickBot="1" x14ac:dyDescent="0.9"/>
    <row r="212" spans="1:18" x14ac:dyDescent="0.75">
      <c r="A212" s="312" t="s">
        <v>546</v>
      </c>
      <c r="B212" s="313"/>
      <c r="C212" s="313"/>
      <c r="D212" s="313"/>
      <c r="E212" s="313"/>
      <c r="F212" s="313"/>
      <c r="G212" s="313"/>
      <c r="H212" s="313"/>
      <c r="I212" s="313"/>
      <c r="J212" s="313"/>
      <c r="K212" s="313"/>
      <c r="L212" s="313"/>
      <c r="M212" s="313"/>
      <c r="N212" s="313"/>
      <c r="O212" s="313"/>
      <c r="P212" s="313"/>
      <c r="Q212" s="313"/>
      <c r="R212" s="295"/>
    </row>
    <row r="213" spans="1:18" x14ac:dyDescent="0.75">
      <c r="A213" s="314"/>
      <c r="B213" s="389" t="s">
        <v>344</v>
      </c>
      <c r="C213" s="389"/>
      <c r="D213" s="389"/>
      <c r="E213" s="390"/>
      <c r="F213" s="391" t="s">
        <v>543</v>
      </c>
      <c r="G213" s="389"/>
      <c r="H213" s="389"/>
      <c r="I213" s="389"/>
      <c r="J213" s="391" t="s">
        <v>544</v>
      </c>
      <c r="K213" s="389"/>
      <c r="L213" s="389"/>
      <c r="M213" s="389"/>
      <c r="N213" s="391" t="s">
        <v>545</v>
      </c>
      <c r="O213" s="389"/>
      <c r="P213" s="389"/>
      <c r="Q213" s="389"/>
      <c r="R213" s="392"/>
    </row>
    <row r="214" spans="1:18" ht="15.5" thickBot="1" x14ac:dyDescent="0.9">
      <c r="A214" s="315"/>
      <c r="B214" s="246" t="s">
        <v>60</v>
      </c>
      <c r="C214" s="243" t="s">
        <v>42</v>
      </c>
      <c r="D214" s="243" t="s">
        <v>47</v>
      </c>
      <c r="E214" s="243" t="s">
        <v>56</v>
      </c>
      <c r="F214" s="242" t="s">
        <v>60</v>
      </c>
      <c r="G214" s="243" t="s">
        <v>42</v>
      </c>
      <c r="H214" s="243" t="s">
        <v>47</v>
      </c>
      <c r="I214" s="243" t="s">
        <v>56</v>
      </c>
      <c r="J214" s="242" t="s">
        <v>60</v>
      </c>
      <c r="K214" s="243" t="s">
        <v>42</v>
      </c>
      <c r="L214" s="243" t="s">
        <v>47</v>
      </c>
      <c r="M214" s="243" t="s">
        <v>56</v>
      </c>
      <c r="N214" s="242" t="s">
        <v>60</v>
      </c>
      <c r="O214" s="246" t="s">
        <v>516</v>
      </c>
      <c r="P214" s="243" t="s">
        <v>42</v>
      </c>
      <c r="Q214" s="243" t="s">
        <v>47</v>
      </c>
      <c r="R214" s="244" t="s">
        <v>56</v>
      </c>
    </row>
    <row r="215" spans="1:18" x14ac:dyDescent="0.75">
      <c r="A215" s="335" t="s">
        <v>554</v>
      </c>
      <c r="B215" s="340">
        <f>D35</f>
        <v>9.67779624E-2</v>
      </c>
      <c r="C215" s="105"/>
      <c r="D215" s="105"/>
      <c r="E215" s="341"/>
      <c r="F215" s="348">
        <f>E35</f>
        <v>5.2210181100000003E-5</v>
      </c>
      <c r="G215" s="105"/>
      <c r="H215" s="105"/>
      <c r="I215" s="341"/>
      <c r="J215" s="349"/>
      <c r="K215" s="105"/>
      <c r="L215" s="105"/>
      <c r="M215" s="341"/>
      <c r="N215" s="349"/>
      <c r="O215" s="105"/>
      <c r="P215" s="105"/>
      <c r="Q215" s="105"/>
      <c r="R215" s="72"/>
    </row>
    <row r="216" spans="1:18" x14ac:dyDescent="0.75">
      <c r="A216" s="336" t="s">
        <v>541</v>
      </c>
      <c r="B216" s="342">
        <f>D34</f>
        <v>3.4018333333333338E-2</v>
      </c>
      <c r="C216" s="15"/>
      <c r="D216" s="15"/>
      <c r="E216" s="343"/>
      <c r="F216" s="350">
        <f>E34</f>
        <v>1.0735999999999999E-4</v>
      </c>
      <c r="G216" s="15"/>
      <c r="H216" s="15"/>
      <c r="I216" s="343"/>
      <c r="J216" s="149"/>
      <c r="K216" s="15"/>
      <c r="L216" s="15"/>
      <c r="M216" s="343"/>
      <c r="N216" s="149"/>
      <c r="O216" s="15"/>
      <c r="P216" s="15"/>
      <c r="Q216" s="15"/>
      <c r="R216" s="106"/>
    </row>
    <row r="217" spans="1:18" x14ac:dyDescent="0.75">
      <c r="A217" s="336" t="s">
        <v>547</v>
      </c>
      <c r="B217" s="342">
        <f>D33+D166</f>
        <v>5360.7409140625005</v>
      </c>
      <c r="C217" s="15"/>
      <c r="D217" s="15"/>
      <c r="E217" s="343"/>
      <c r="F217" s="350">
        <f>E33+E166</f>
        <v>26.0248423896875</v>
      </c>
      <c r="G217" s="15"/>
      <c r="H217" s="15"/>
      <c r="I217" s="343"/>
      <c r="J217" s="350">
        <f>F33+F166</f>
        <v>2.6670860021875002</v>
      </c>
      <c r="K217" s="15"/>
      <c r="L217" s="15"/>
      <c r="M217" s="343"/>
      <c r="N217" s="149"/>
      <c r="O217" s="15"/>
      <c r="P217" s="15"/>
      <c r="Q217" s="15"/>
      <c r="R217" s="106"/>
    </row>
    <row r="218" spans="1:18" x14ac:dyDescent="0.75">
      <c r="A218" s="336" t="s">
        <v>37</v>
      </c>
      <c r="B218" s="342">
        <f>D32</f>
        <v>5.1029999999999998</v>
      </c>
      <c r="C218" s="15"/>
      <c r="D218" s="15"/>
      <c r="E218" s="343"/>
      <c r="F218" s="350">
        <f>E32</f>
        <v>1.8899999999999998E-3</v>
      </c>
      <c r="G218" s="15"/>
      <c r="H218" s="15"/>
      <c r="I218" s="343"/>
      <c r="J218" s="350">
        <f>F32</f>
        <v>1.0647</v>
      </c>
      <c r="K218" s="15"/>
      <c r="L218" s="15"/>
      <c r="M218" s="343"/>
      <c r="N218" s="149"/>
      <c r="O218" s="15"/>
      <c r="P218" s="15"/>
      <c r="Q218" s="15"/>
      <c r="R218" s="106"/>
    </row>
    <row r="219" spans="1:18" x14ac:dyDescent="0.75">
      <c r="A219" s="336" t="s">
        <v>36</v>
      </c>
      <c r="B219" s="342">
        <f>D31</f>
        <v>160.875</v>
      </c>
      <c r="C219" s="15"/>
      <c r="D219" s="15"/>
      <c r="E219" s="343"/>
      <c r="F219" s="350">
        <f>E31</f>
        <v>1.7875000000000003</v>
      </c>
      <c r="G219" s="15"/>
      <c r="H219" s="15"/>
      <c r="I219" s="343"/>
      <c r="J219" s="350">
        <f>F31</f>
        <v>0.97395833333333348</v>
      </c>
      <c r="K219" s="15"/>
      <c r="L219" s="15"/>
      <c r="M219" s="343"/>
      <c r="N219" s="149"/>
      <c r="O219" s="15"/>
      <c r="P219" s="15"/>
      <c r="Q219" s="15"/>
      <c r="R219" s="106"/>
    </row>
    <row r="220" spans="1:18" x14ac:dyDescent="0.75">
      <c r="A220" s="336" t="s">
        <v>43</v>
      </c>
      <c r="B220" s="75"/>
      <c r="C220" s="26">
        <f>C39*Assumptions!B7</f>
        <v>9.5545999999999999E-4</v>
      </c>
      <c r="D220" s="15"/>
      <c r="E220" s="343"/>
      <c r="F220" s="149"/>
      <c r="G220" s="26">
        <f>D39*Assumptions!B7</f>
        <v>3.2942936400000002E-6</v>
      </c>
      <c r="H220" s="15"/>
      <c r="I220" s="343"/>
      <c r="J220" s="149"/>
      <c r="K220" s="15"/>
      <c r="L220" s="15"/>
      <c r="M220" s="343"/>
      <c r="N220" s="149"/>
      <c r="O220" s="26">
        <f>F39*Assumptions!B7</f>
        <v>2.3650000000000002</v>
      </c>
      <c r="P220" s="15"/>
      <c r="Q220" s="15"/>
      <c r="R220" s="106"/>
    </row>
    <row r="221" spans="1:18" x14ac:dyDescent="0.75">
      <c r="A221" s="336" t="s">
        <v>44</v>
      </c>
      <c r="B221" s="75"/>
      <c r="C221" s="26">
        <f>C40*Assumptions!B7</f>
        <v>3424.1258333333335</v>
      </c>
      <c r="D221" s="26">
        <f>(C45+C49)*Assumptions!B7</f>
        <v>3060.2124437500006</v>
      </c>
      <c r="E221" s="343"/>
      <c r="F221" s="149"/>
      <c r="G221" s="26">
        <f>D40*Assumptions!B7</f>
        <v>3.424125833333334</v>
      </c>
      <c r="H221" s="26">
        <f>(D45+D49)*Assumptions!B7</f>
        <v>3.0602124437500007</v>
      </c>
      <c r="I221" s="343"/>
      <c r="J221" s="149"/>
      <c r="K221" s="15"/>
      <c r="L221" s="15"/>
      <c r="M221" s="343"/>
      <c r="N221" s="149"/>
      <c r="O221" s="26">
        <f>F40*Assumptions!B7</f>
        <v>2.7213698630136989</v>
      </c>
      <c r="P221" s="15"/>
      <c r="Q221" s="15"/>
      <c r="R221" s="106"/>
    </row>
    <row r="222" spans="1:18" x14ac:dyDescent="0.75">
      <c r="A222" s="336" t="s">
        <v>45</v>
      </c>
      <c r="B222" s="75"/>
      <c r="C222" s="26">
        <f>C41*Assumptions!B7</f>
        <v>131.43164598666669</v>
      </c>
      <c r="D222" s="15"/>
      <c r="E222" s="343"/>
      <c r="F222" s="149"/>
      <c r="G222" s="15"/>
      <c r="H222" s="15"/>
      <c r="I222" s="343"/>
      <c r="J222" s="149"/>
      <c r="K222" s="15"/>
      <c r="L222" s="15"/>
      <c r="M222" s="343"/>
      <c r="N222" s="149"/>
      <c r="O222" s="26">
        <f>F41*Assumptions!B7</f>
        <v>5.5652391666666672</v>
      </c>
      <c r="P222" s="15"/>
      <c r="Q222" s="15"/>
      <c r="R222" s="106"/>
    </row>
    <row r="223" spans="1:18" x14ac:dyDescent="0.75">
      <c r="A223" s="336" t="s">
        <v>46</v>
      </c>
      <c r="B223" s="75"/>
      <c r="C223" s="26">
        <f>C42*Assumptions!B7</f>
        <v>14.761541666666666</v>
      </c>
      <c r="D223" s="15"/>
      <c r="E223" s="343"/>
      <c r="F223" s="149"/>
      <c r="G223" s="26">
        <f>D42*Assumptions!B7</f>
        <v>8.1107371794871792</v>
      </c>
      <c r="H223" s="15"/>
      <c r="I223" s="343"/>
      <c r="J223" s="149"/>
      <c r="K223" s="15"/>
      <c r="L223" s="15"/>
      <c r="M223" s="343"/>
      <c r="N223" s="149"/>
      <c r="O223" s="26">
        <f>(F42/4)*Assumptions!B7</f>
        <v>32.0565</v>
      </c>
      <c r="P223" s="15"/>
      <c r="Q223" s="15"/>
      <c r="R223" s="106"/>
    </row>
    <row r="224" spans="1:18" x14ac:dyDescent="0.75">
      <c r="A224" s="336" t="s">
        <v>48</v>
      </c>
      <c r="B224" s="75"/>
      <c r="C224" s="15"/>
      <c r="D224" s="26">
        <f>C44*Assumptions!B7</f>
        <v>10.733158333333336</v>
      </c>
      <c r="E224" s="343"/>
      <c r="F224" s="149"/>
      <c r="G224" s="15"/>
      <c r="H224" s="26">
        <f>D44*Assumptions!B7</f>
        <v>8.2562756410256419</v>
      </c>
      <c r="I224" s="343"/>
      <c r="J224" s="149"/>
      <c r="K224" s="15"/>
      <c r="L224" s="15"/>
      <c r="M224" s="343"/>
      <c r="N224" s="149"/>
      <c r="O224" s="26"/>
      <c r="P224" s="15"/>
      <c r="Q224" s="15"/>
      <c r="R224" s="106"/>
    </row>
    <row r="225" spans="1:18" x14ac:dyDescent="0.75">
      <c r="A225" s="336" t="s">
        <v>50</v>
      </c>
      <c r="B225" s="75"/>
      <c r="C225" s="15"/>
      <c r="D225" s="26">
        <f>C47*Assumptions!B7</f>
        <v>4.2999999999999994E-4</v>
      </c>
      <c r="E225" s="343"/>
      <c r="F225" s="149"/>
      <c r="G225" s="15"/>
      <c r="H225" s="15"/>
      <c r="I225" s="343"/>
      <c r="J225" s="149"/>
      <c r="K225" s="15"/>
      <c r="L225" s="15"/>
      <c r="M225" s="343"/>
      <c r="N225" s="149"/>
      <c r="O225" s="15"/>
      <c r="P225" s="15"/>
      <c r="Q225" s="15"/>
      <c r="R225" s="106"/>
    </row>
    <row r="226" spans="1:18" x14ac:dyDescent="0.75">
      <c r="A226" s="336" t="s">
        <v>140</v>
      </c>
      <c r="B226" s="75"/>
      <c r="C226" s="15"/>
      <c r="D226" s="26">
        <f>C48*Assumptions!B7</f>
        <v>18.120827083333324</v>
      </c>
      <c r="E226" s="343"/>
      <c r="F226" s="149"/>
      <c r="G226" s="15"/>
      <c r="H226" s="26">
        <f>D48*Assumptions!B7</f>
        <v>4.924137794384055E-2</v>
      </c>
      <c r="I226" s="343"/>
      <c r="J226" s="149"/>
      <c r="K226" s="15"/>
      <c r="L226" s="15"/>
      <c r="M226" s="343"/>
      <c r="N226" s="149"/>
      <c r="O226" s="26">
        <f>F47*Assumptions!B7</f>
        <v>4.8901302083333338</v>
      </c>
      <c r="P226" s="15"/>
      <c r="Q226" s="15"/>
      <c r="R226" s="106"/>
    </row>
    <row r="227" spans="1:18" x14ac:dyDescent="0.75">
      <c r="A227" s="336" t="s">
        <v>53</v>
      </c>
      <c r="B227" s="75"/>
      <c r="C227" s="15"/>
      <c r="D227" s="15"/>
      <c r="E227" s="343"/>
      <c r="F227" s="149"/>
      <c r="G227" s="15"/>
      <c r="H227" s="15"/>
      <c r="I227" s="343"/>
      <c r="J227" s="149"/>
      <c r="K227" s="15"/>
      <c r="L227" s="26">
        <f>E50</f>
        <v>6.1951009596836431E-4</v>
      </c>
      <c r="M227" s="343"/>
      <c r="N227" s="149"/>
      <c r="O227" s="15"/>
      <c r="P227" s="15"/>
      <c r="Q227" s="15"/>
      <c r="R227" s="106"/>
    </row>
    <row r="228" spans="1:18" x14ac:dyDescent="0.75">
      <c r="A228" s="336" t="s">
        <v>54</v>
      </c>
      <c r="B228" s="75"/>
      <c r="C228" s="15"/>
      <c r="D228" s="26">
        <f>C51*Assumptions!B7</f>
        <v>8.3718221124999985</v>
      </c>
      <c r="E228" s="343"/>
      <c r="F228" s="149"/>
      <c r="G228" s="15"/>
      <c r="H228" s="15"/>
      <c r="I228" s="343"/>
      <c r="J228" s="149"/>
      <c r="K228" s="15"/>
      <c r="L228" s="15"/>
      <c r="M228" s="343"/>
      <c r="N228" s="149"/>
      <c r="O228" s="15"/>
      <c r="P228" s="15"/>
      <c r="Q228" s="15"/>
      <c r="R228" s="106"/>
    </row>
    <row r="229" spans="1:18" x14ac:dyDescent="0.75">
      <c r="A229" s="336" t="s">
        <v>55</v>
      </c>
      <c r="B229" s="75"/>
      <c r="C229" s="15"/>
      <c r="D229" s="26">
        <f>C52*Assumptions!B7</f>
        <v>0.35326461794822905</v>
      </c>
      <c r="E229" s="343"/>
      <c r="F229" s="149"/>
      <c r="G229" s="15"/>
      <c r="H229" s="15"/>
      <c r="I229" s="343"/>
      <c r="J229" s="149"/>
      <c r="K229" s="15"/>
      <c r="L229" s="15"/>
      <c r="M229" s="343"/>
      <c r="N229" s="149"/>
      <c r="O229" s="15"/>
      <c r="P229" s="15"/>
      <c r="Q229" s="15"/>
      <c r="R229" s="106"/>
    </row>
    <row r="230" spans="1:18" x14ac:dyDescent="0.75">
      <c r="A230" s="336" t="s">
        <v>57</v>
      </c>
      <c r="B230" s="75"/>
      <c r="C230" s="15"/>
      <c r="D230" s="26"/>
      <c r="E230" s="344">
        <f>C54*Assumptions!B7</f>
        <v>10.070958333333335</v>
      </c>
      <c r="F230" s="149"/>
      <c r="G230" s="15"/>
      <c r="H230" s="15"/>
      <c r="I230" s="344">
        <f>D54*Assumptions!B7</f>
        <v>0.16784930555555561</v>
      </c>
      <c r="J230" s="149"/>
      <c r="K230" s="15"/>
      <c r="L230" s="15"/>
      <c r="M230" s="343"/>
      <c r="N230" s="149"/>
      <c r="O230" s="15"/>
      <c r="P230" s="15"/>
      <c r="Q230" s="15"/>
      <c r="R230" s="106"/>
    </row>
    <row r="231" spans="1:18" x14ac:dyDescent="0.75">
      <c r="A231" s="336" t="s">
        <v>179</v>
      </c>
      <c r="B231" s="342">
        <f t="shared" ref="B231:B237" si="8">D159</f>
        <v>0.24208333333333332</v>
      </c>
      <c r="D231" s="15"/>
      <c r="E231" s="343"/>
      <c r="F231" s="350">
        <f t="shared" ref="F231:F237" si="9">E159</f>
        <v>1.2044492040000001E-3</v>
      </c>
      <c r="G231" s="15"/>
      <c r="H231" s="15"/>
      <c r="I231" s="343"/>
      <c r="J231" s="149"/>
      <c r="K231" s="15"/>
      <c r="L231" s="15"/>
      <c r="M231" s="343"/>
      <c r="N231" s="149"/>
      <c r="O231" s="26">
        <f>G167</f>
        <v>16559.3</v>
      </c>
      <c r="P231" s="15"/>
      <c r="Q231" s="15"/>
      <c r="R231" s="106"/>
    </row>
    <row r="232" spans="1:18" x14ac:dyDescent="0.75">
      <c r="A232" s="336" t="s">
        <v>214</v>
      </c>
      <c r="B232" s="342">
        <f t="shared" si="8"/>
        <v>0.1072</v>
      </c>
      <c r="C232" s="15"/>
      <c r="D232" s="15"/>
      <c r="E232" s="343"/>
      <c r="F232" s="350">
        <f t="shared" si="9"/>
        <v>1.1806419384966127E-4</v>
      </c>
      <c r="G232" s="15"/>
      <c r="H232" s="15"/>
      <c r="I232" s="343"/>
      <c r="J232" s="149"/>
      <c r="K232" s="15"/>
      <c r="L232" s="15"/>
      <c r="M232" s="343"/>
      <c r="N232" s="149"/>
      <c r="P232" s="15"/>
      <c r="Q232" s="15"/>
      <c r="R232" s="106"/>
    </row>
    <row r="233" spans="1:18" x14ac:dyDescent="0.75">
      <c r="A233" s="336" t="s">
        <v>215</v>
      </c>
      <c r="B233" s="342">
        <f t="shared" si="8"/>
        <v>1.0582010582010584</v>
      </c>
      <c r="C233" s="15"/>
      <c r="D233" s="15"/>
      <c r="E233" s="343"/>
      <c r="F233" s="350">
        <f t="shared" si="9"/>
        <v>2.0035546250298216E-3</v>
      </c>
      <c r="G233" s="15"/>
      <c r="H233" s="15"/>
      <c r="I233" s="343"/>
      <c r="J233" s="149"/>
      <c r="K233" s="15"/>
      <c r="L233" s="15"/>
      <c r="M233" s="343"/>
      <c r="N233" s="149"/>
      <c r="O233" s="15"/>
      <c r="P233" s="15"/>
      <c r="Q233" s="15"/>
      <c r="R233" s="106"/>
    </row>
    <row r="234" spans="1:18" x14ac:dyDescent="0.75">
      <c r="A234" s="336" t="s">
        <v>216</v>
      </c>
      <c r="B234" s="342">
        <f t="shared" si="8"/>
        <v>0.31809999999999999</v>
      </c>
      <c r="C234" s="15"/>
      <c r="D234" s="15"/>
      <c r="E234" s="343"/>
      <c r="F234" s="350">
        <f t="shared" si="9"/>
        <v>7.5448773833333347E-4</v>
      </c>
      <c r="G234" s="15"/>
      <c r="H234" s="15"/>
      <c r="I234" s="343"/>
      <c r="J234" s="149"/>
      <c r="K234" s="15"/>
      <c r="L234" s="15"/>
      <c r="M234" s="343"/>
      <c r="N234" s="149"/>
      <c r="O234" s="15"/>
      <c r="P234" s="15"/>
      <c r="Q234" s="15"/>
      <c r="R234" s="106"/>
    </row>
    <row r="235" spans="1:18" x14ac:dyDescent="0.75">
      <c r="A235" s="336" t="s">
        <v>217</v>
      </c>
      <c r="B235" s="342">
        <f t="shared" si="8"/>
        <v>1.5166666666666668E-3</v>
      </c>
      <c r="C235" s="15"/>
      <c r="D235" s="15"/>
      <c r="E235" s="343"/>
      <c r="F235" s="350">
        <f t="shared" si="9"/>
        <v>6.3711499014801012E-6</v>
      </c>
      <c r="G235" s="15"/>
      <c r="H235" s="15"/>
      <c r="I235" s="343"/>
      <c r="J235" s="149"/>
      <c r="K235" s="15"/>
      <c r="L235" s="15"/>
      <c r="M235" s="343"/>
      <c r="N235" s="149"/>
      <c r="O235" s="15"/>
      <c r="P235" s="15"/>
      <c r="Q235" s="15"/>
      <c r="R235" s="106"/>
    </row>
    <row r="236" spans="1:18" x14ac:dyDescent="0.75">
      <c r="A236" s="336" t="s">
        <v>218</v>
      </c>
      <c r="B236" s="342">
        <f t="shared" si="8"/>
        <v>3.5416666666666666E-2</v>
      </c>
      <c r="C236" s="15"/>
      <c r="D236" s="15"/>
      <c r="E236" s="343"/>
      <c r="F236" s="350">
        <f t="shared" si="9"/>
        <v>6.5548256000000002E-4</v>
      </c>
      <c r="G236" s="15"/>
      <c r="H236" s="15"/>
      <c r="I236" s="343"/>
      <c r="J236" s="149"/>
      <c r="K236" s="15"/>
      <c r="L236" s="15"/>
      <c r="M236" s="343"/>
      <c r="N236" s="149"/>
      <c r="O236" s="15"/>
      <c r="P236" s="15"/>
      <c r="Q236" s="15"/>
      <c r="R236" s="106"/>
    </row>
    <row r="237" spans="1:18" x14ac:dyDescent="0.75">
      <c r="A237" s="336" t="s">
        <v>219</v>
      </c>
      <c r="B237" s="342">
        <f t="shared" si="8"/>
        <v>4.0500000000000006E-3</v>
      </c>
      <c r="C237" s="15"/>
      <c r="D237" s="15"/>
      <c r="E237" s="343"/>
      <c r="F237" s="350">
        <f t="shared" si="9"/>
        <v>7.0669213500000011E-5</v>
      </c>
      <c r="G237" s="15"/>
      <c r="H237" s="15"/>
      <c r="I237" s="343"/>
      <c r="J237" s="149"/>
      <c r="K237" s="15"/>
      <c r="L237" s="15"/>
      <c r="M237" s="343"/>
      <c r="N237" s="149"/>
      <c r="O237" s="15"/>
      <c r="P237" s="15"/>
      <c r="Q237" s="15"/>
      <c r="R237" s="106"/>
    </row>
    <row r="238" spans="1:18" x14ac:dyDescent="0.75">
      <c r="A238" s="336" t="s">
        <v>192</v>
      </c>
      <c r="B238" s="342"/>
      <c r="C238" s="26">
        <f>D167</f>
        <v>106.75823662222224</v>
      </c>
      <c r="D238" s="15"/>
      <c r="E238" s="344">
        <f>D171</f>
        <v>104.85957467999999</v>
      </c>
      <c r="F238" s="149"/>
      <c r="G238" s="26">
        <f>E167</f>
        <v>0</v>
      </c>
      <c r="H238" s="15"/>
      <c r="I238" s="344">
        <f>E171</f>
        <v>0</v>
      </c>
      <c r="J238" s="149"/>
      <c r="K238" s="15"/>
      <c r="L238" s="15"/>
      <c r="M238" s="343"/>
      <c r="N238" s="149"/>
      <c r="P238" s="15"/>
      <c r="Q238" s="15"/>
      <c r="R238" s="106"/>
    </row>
    <row r="239" spans="1:18" x14ac:dyDescent="0.75">
      <c r="A239" s="336" t="s">
        <v>194</v>
      </c>
      <c r="B239" s="342"/>
      <c r="C239" s="26">
        <f t="shared" ref="C239:C241" si="10">D168</f>
        <v>61.231999999999999</v>
      </c>
      <c r="D239" s="15"/>
      <c r="E239" s="344">
        <f>D172</f>
        <v>61.231999999999999</v>
      </c>
      <c r="F239" s="149"/>
      <c r="G239" s="26">
        <f>E168</f>
        <v>2.8585023999999997E-2</v>
      </c>
      <c r="H239" s="15"/>
      <c r="I239" s="344">
        <f t="shared" ref="I239:I241" si="11">E172</f>
        <v>2.8585023999999997E-2</v>
      </c>
      <c r="J239" s="149"/>
      <c r="K239" s="15"/>
      <c r="L239" s="15"/>
      <c r="M239" s="343"/>
      <c r="N239" s="149"/>
      <c r="O239" s="15"/>
      <c r="P239" s="15"/>
      <c r="Q239" s="15"/>
      <c r="R239" s="106"/>
    </row>
    <row r="240" spans="1:18" x14ac:dyDescent="0.75">
      <c r="A240" s="336" t="s">
        <v>232</v>
      </c>
      <c r="B240" s="342"/>
      <c r="C240" s="26">
        <f t="shared" si="10"/>
        <v>86.192834933333344</v>
      </c>
      <c r="D240" s="15"/>
      <c r="E240" s="344">
        <f>D173</f>
        <v>86.192834933333344</v>
      </c>
      <c r="F240" s="149"/>
      <c r="G240" s="26">
        <f>E169</f>
        <v>7.5799713936589708</v>
      </c>
      <c r="H240" s="15"/>
      <c r="I240" s="344">
        <f t="shared" si="11"/>
        <v>7.5799713936589708</v>
      </c>
      <c r="J240" s="149"/>
      <c r="K240" s="15"/>
      <c r="L240" s="15"/>
      <c r="M240" s="343"/>
      <c r="N240" s="149"/>
      <c r="O240" s="15"/>
      <c r="P240" s="15"/>
      <c r="Q240" s="15"/>
      <c r="R240" s="106"/>
    </row>
    <row r="241" spans="1:18" ht="15.5" thickBot="1" x14ac:dyDescent="0.9">
      <c r="A241" s="337" t="s">
        <v>555</v>
      </c>
      <c r="B241" s="345"/>
      <c r="C241" s="44">
        <f t="shared" si="10"/>
        <v>14.823567733333332</v>
      </c>
      <c r="D241" s="70"/>
      <c r="E241" s="352">
        <f>D174</f>
        <v>14.823567733333332</v>
      </c>
      <c r="F241" s="351"/>
      <c r="G241" s="44">
        <f>E170</f>
        <v>0</v>
      </c>
      <c r="H241" s="70"/>
      <c r="I241" s="352">
        <f t="shared" si="11"/>
        <v>0</v>
      </c>
      <c r="J241" s="351"/>
      <c r="K241" s="70"/>
      <c r="L241" s="70"/>
      <c r="M241" s="346"/>
      <c r="N241" s="351"/>
      <c r="O241" s="70"/>
      <c r="P241" s="70"/>
      <c r="Q241" s="70"/>
      <c r="R241" s="74"/>
    </row>
  </sheetData>
  <mergeCells count="19">
    <mergeCell ref="A210:H210"/>
    <mergeCell ref="B213:E213"/>
    <mergeCell ref="F213:I213"/>
    <mergeCell ref="J213:M213"/>
    <mergeCell ref="N213:R213"/>
    <mergeCell ref="A199:H199"/>
    <mergeCell ref="F47:F52"/>
    <mergeCell ref="A3:C3"/>
    <mergeCell ref="A31:A32"/>
    <mergeCell ref="A1:H1"/>
    <mergeCell ref="A12:C12"/>
    <mergeCell ref="H31:H32"/>
    <mergeCell ref="A39:A45"/>
    <mergeCell ref="A83:C83"/>
    <mergeCell ref="A13:C13"/>
    <mergeCell ref="A23:C23"/>
    <mergeCell ref="A33:A35"/>
    <mergeCell ref="A37:B37"/>
    <mergeCell ref="A47:A54"/>
  </mergeCells>
  <hyperlinks>
    <hyperlink ref="N115" r:id="rId1" xr:uid="{00000000-0004-0000-0400-000000000000}"/>
  </hyperlinks>
  <pageMargins left="0.7" right="0.7" top="0.75" bottom="0.75" header="0.3" footer="0.3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L682"/>
  <sheetViews>
    <sheetView topLeftCell="A267" zoomScale="85" zoomScaleNormal="85" workbookViewId="0">
      <selection activeCell="B275" sqref="B275"/>
    </sheetView>
  </sheetViews>
  <sheetFormatPr defaultRowHeight="14.75" x14ac:dyDescent="0.75"/>
  <cols>
    <col min="1" max="1" width="42.6328125" customWidth="1"/>
    <col min="2" max="2" width="29.90625" customWidth="1"/>
    <col min="3" max="3" width="25.36328125" bestFit="1" customWidth="1"/>
    <col min="4" max="4" width="23.54296875" bestFit="1" customWidth="1"/>
    <col min="5" max="5" width="21.26953125" customWidth="1"/>
    <col min="6" max="6" width="20.90625" customWidth="1"/>
    <col min="7" max="7" width="23.08984375" customWidth="1"/>
    <col min="8" max="8" width="18.81640625" customWidth="1"/>
    <col min="9" max="9" width="35.7265625" customWidth="1"/>
    <col min="10" max="14" width="8.7265625" customWidth="1"/>
    <col min="15" max="15" width="17.1796875" bestFit="1" customWidth="1"/>
    <col min="16" max="16" width="8.7265625" customWidth="1"/>
  </cols>
  <sheetData>
    <row r="1" spans="1:8" ht="26" customHeight="1" x14ac:dyDescent="0.75">
      <c r="A1" s="400" t="s">
        <v>105</v>
      </c>
      <c r="B1" s="363"/>
      <c r="C1" s="363"/>
      <c r="D1" s="363"/>
      <c r="E1" s="363"/>
      <c r="F1" s="363"/>
      <c r="G1" s="363"/>
      <c r="H1" s="363"/>
    </row>
    <row r="2" spans="1:8" ht="15" customHeight="1" x14ac:dyDescent="0.75">
      <c r="A2" s="92"/>
    </row>
    <row r="3" spans="1:8" ht="15" customHeight="1" thickBot="1" x14ac:dyDescent="0.9">
      <c r="A3" s="372" t="s">
        <v>1</v>
      </c>
      <c r="B3" s="363"/>
      <c r="C3" s="363"/>
    </row>
    <row r="4" spans="1:8" ht="15" customHeight="1" thickBot="1" x14ac:dyDescent="0.9">
      <c r="A4" s="298"/>
      <c r="B4" s="299" t="s">
        <v>2</v>
      </c>
      <c r="C4" s="300" t="s">
        <v>3</v>
      </c>
      <c r="E4" s="301" t="s">
        <v>4</v>
      </c>
    </row>
    <row r="5" spans="1:8" x14ac:dyDescent="0.75">
      <c r="A5" s="136" t="s">
        <v>5</v>
      </c>
      <c r="B5" s="138">
        <f>Assumptions!B8</f>
        <v>5</v>
      </c>
      <c r="C5" s="87" t="s">
        <v>580</v>
      </c>
      <c r="E5" s="4" t="s">
        <v>6</v>
      </c>
    </row>
    <row r="6" spans="1:8" ht="15" customHeight="1" thickBot="1" x14ac:dyDescent="0.9">
      <c r="A6" s="68" t="s">
        <v>5</v>
      </c>
      <c r="B6" s="135">
        <f>B5</f>
        <v>5</v>
      </c>
      <c r="C6" s="3" t="s">
        <v>580</v>
      </c>
      <c r="E6" s="8" t="s">
        <v>7</v>
      </c>
    </row>
    <row r="7" spans="1:8" ht="15" customHeight="1" thickBot="1" x14ac:dyDescent="0.9">
      <c r="A7" s="137" t="s">
        <v>8</v>
      </c>
      <c r="B7" s="139">
        <f>Assumptions!C20</f>
        <v>373</v>
      </c>
      <c r="C7" s="7" t="s">
        <v>145</v>
      </c>
    </row>
    <row r="8" spans="1:8" ht="15" customHeight="1" x14ac:dyDescent="0.75"/>
    <row r="9" spans="1:8" s="89" customFormat="1" ht="15" customHeight="1" thickBot="1" x14ac:dyDescent="0.9"/>
    <row r="10" spans="1:8" ht="19" customHeight="1" thickBot="1" x14ac:dyDescent="0.9">
      <c r="A10" s="249" t="s">
        <v>9</v>
      </c>
      <c r="B10" s="154"/>
      <c r="C10" s="154"/>
      <c r="D10" s="154"/>
      <c r="E10" s="154"/>
      <c r="F10" s="154"/>
      <c r="G10" s="155"/>
    </row>
    <row r="11" spans="1:8" ht="15" customHeight="1" thickBot="1" x14ac:dyDescent="0.9"/>
    <row r="12" spans="1:8" ht="15" customHeight="1" x14ac:dyDescent="0.75">
      <c r="A12" s="383" t="s">
        <v>136</v>
      </c>
      <c r="B12" s="384"/>
      <c r="C12" s="385"/>
    </row>
    <row r="13" spans="1:8" x14ac:dyDescent="0.75">
      <c r="A13" s="378" t="s">
        <v>11</v>
      </c>
      <c r="B13" s="379"/>
      <c r="C13" s="380"/>
      <c r="D13" s="9"/>
    </row>
    <row r="14" spans="1:8" ht="16.5" customHeight="1" thickBot="1" x14ac:dyDescent="0.9">
      <c r="A14" s="156"/>
      <c r="B14" s="150" t="s">
        <v>2</v>
      </c>
      <c r="C14" s="151" t="s">
        <v>3</v>
      </c>
      <c r="D14" s="9"/>
    </row>
    <row r="15" spans="1:8" x14ac:dyDescent="0.75">
      <c r="A15" s="12" t="s">
        <v>12</v>
      </c>
      <c r="B15" s="15">
        <v>5</v>
      </c>
      <c r="C15" s="11" t="s">
        <v>13</v>
      </c>
      <c r="D15" s="9"/>
    </row>
    <row r="16" spans="1:8" ht="16.75" x14ac:dyDescent="0.75">
      <c r="A16" s="12" t="s">
        <v>137</v>
      </c>
      <c r="B16" s="13">
        <f>(320/16)*(1/0.0929)*(9830000/982000)*(1/1000)</f>
        <v>2.1550448437866532</v>
      </c>
      <c r="C16" s="11" t="s">
        <v>509</v>
      </c>
      <c r="D16" s="9"/>
    </row>
    <row r="17" spans="1:8" x14ac:dyDescent="0.75">
      <c r="A17" s="12" t="s">
        <v>16</v>
      </c>
      <c r="B17" s="13">
        <f>(9830000/982000)*(1/1000)</f>
        <v>1.0010183299389002E-2</v>
      </c>
      <c r="C17" s="11" t="s">
        <v>17</v>
      </c>
      <c r="D17" s="9"/>
    </row>
    <row r="18" spans="1:8" ht="17" customHeight="1" x14ac:dyDescent="0.75">
      <c r="A18" s="12" t="s">
        <v>18</v>
      </c>
      <c r="B18" s="13">
        <f>B6*(1/B7)</f>
        <v>1.3404825737265416E-2</v>
      </c>
      <c r="C18" s="11" t="s">
        <v>19</v>
      </c>
      <c r="D18" s="9"/>
    </row>
    <row r="19" spans="1:8" ht="15" customHeight="1" x14ac:dyDescent="0.75">
      <c r="A19" s="12" t="s">
        <v>20</v>
      </c>
      <c r="B19" s="15">
        <f>ROUNDUP(B18/B17,0)</f>
        <v>2</v>
      </c>
      <c r="C19" s="11" t="s">
        <v>21</v>
      </c>
      <c r="D19" s="9"/>
    </row>
    <row r="20" spans="1:8" ht="15" customHeight="1" thickBot="1" x14ac:dyDescent="0.9">
      <c r="A20" s="12" t="s">
        <v>23</v>
      </c>
      <c r="B20" s="13">
        <f>B18/B16</f>
        <v>6.2202073316078412E-3</v>
      </c>
      <c r="C20" s="11" t="s">
        <v>511</v>
      </c>
      <c r="D20" s="19"/>
      <c r="E20" s="20"/>
      <c r="F20" s="20"/>
    </row>
    <row r="21" spans="1:8" x14ac:dyDescent="0.75">
      <c r="A21" s="364" t="s">
        <v>138</v>
      </c>
      <c r="B21" s="365"/>
      <c r="C21" s="366"/>
      <c r="D21" s="9"/>
    </row>
    <row r="22" spans="1:8" ht="15" customHeight="1" thickBot="1" x14ac:dyDescent="0.9">
      <c r="A22" s="174"/>
      <c r="B22" s="150" t="s">
        <v>2</v>
      </c>
      <c r="C22" s="151" t="s">
        <v>3</v>
      </c>
      <c r="D22" s="9"/>
      <c r="G22" s="20"/>
      <c r="H22" s="20"/>
    </row>
    <row r="23" spans="1:8" ht="17" customHeight="1" x14ac:dyDescent="0.75">
      <c r="A23" s="12" t="s">
        <v>25</v>
      </c>
      <c r="B23" s="21">
        <f>B19*B15</f>
        <v>10</v>
      </c>
      <c r="C23" s="11" t="s">
        <v>26</v>
      </c>
      <c r="D23" s="9"/>
      <c r="G23" s="20"/>
      <c r="H23" s="20"/>
    </row>
    <row r="24" spans="1:8" x14ac:dyDescent="0.75">
      <c r="A24" s="12" t="s">
        <v>27</v>
      </c>
      <c r="B24" s="22">
        <f>B17*B23</f>
        <v>0.10010183299389003</v>
      </c>
      <c r="C24" s="11" t="s">
        <v>28</v>
      </c>
      <c r="D24" s="9"/>
      <c r="G24" s="20"/>
      <c r="H24" s="20"/>
    </row>
    <row r="25" spans="1:8" ht="15" customHeight="1" thickBot="1" x14ac:dyDescent="0.9">
      <c r="A25" s="5" t="s">
        <v>23</v>
      </c>
      <c r="B25" s="23">
        <f>B24/B16</f>
        <v>4.6449999999999991E-2</v>
      </c>
      <c r="C25" s="24" t="s">
        <v>511</v>
      </c>
      <c r="D25" s="9"/>
      <c r="G25" s="20"/>
      <c r="H25" s="20"/>
    </row>
    <row r="26" spans="1:8" ht="17" customHeight="1" thickBot="1" x14ac:dyDescent="0.9">
      <c r="B26" s="15"/>
      <c r="C26" s="15"/>
    </row>
    <row r="27" spans="1:8" x14ac:dyDescent="0.75">
      <c r="A27" s="158" t="s">
        <v>29</v>
      </c>
      <c r="B27" s="159"/>
      <c r="C27" s="159"/>
      <c r="D27" s="159"/>
      <c r="E27" s="159"/>
      <c r="F27" s="159"/>
      <c r="G27" s="160"/>
    </row>
    <row r="28" spans="1:8" ht="17" customHeight="1" thickBot="1" x14ac:dyDescent="1.1000000000000001">
      <c r="A28" s="157" t="s">
        <v>30</v>
      </c>
      <c r="B28" s="150" t="s">
        <v>31</v>
      </c>
      <c r="C28" s="150" t="s">
        <v>32</v>
      </c>
      <c r="D28" s="150" t="s">
        <v>33</v>
      </c>
      <c r="E28" s="150" t="s">
        <v>499</v>
      </c>
      <c r="F28" s="150" t="s">
        <v>500</v>
      </c>
      <c r="G28" s="151" t="s">
        <v>34</v>
      </c>
    </row>
    <row r="29" spans="1:8" x14ac:dyDescent="0.75">
      <c r="A29" s="386" t="s">
        <v>35</v>
      </c>
      <c r="B29" t="s">
        <v>36</v>
      </c>
      <c r="C29" s="15">
        <v>1</v>
      </c>
      <c r="D29" s="25">
        <f>(101.5-22.9-8.4)*B25</f>
        <v>3.2607899999999987</v>
      </c>
      <c r="E29" s="25">
        <f>(1.03-0.25)*B25</f>
        <v>3.6230999999999992E-2</v>
      </c>
      <c r="F29" s="26">
        <f>(2.6-2.1-0.075)*B25</f>
        <v>1.9741249999999995E-2</v>
      </c>
      <c r="G29" s="27"/>
      <c r="H29" s="381"/>
    </row>
    <row r="30" spans="1:8" x14ac:dyDescent="0.75">
      <c r="A30" s="387"/>
      <c r="B30" s="28" t="s">
        <v>37</v>
      </c>
      <c r="C30" s="29">
        <f>ROUNDUP(B25*9,0)</f>
        <v>1</v>
      </c>
      <c r="D30" s="30">
        <f>0.243*C30</f>
        <v>0.24299999999999999</v>
      </c>
      <c r="E30" s="31">
        <f>(0.3*0.3*0.001)*C30</f>
        <v>8.9999999999999992E-5</v>
      </c>
      <c r="F30" s="31">
        <f>50.7*C30*(1/1000)</f>
        <v>5.0700000000000002E-2</v>
      </c>
      <c r="G30" s="32"/>
      <c r="H30" s="382"/>
    </row>
    <row r="31" spans="1:8" ht="15" customHeight="1" thickBot="1" x14ac:dyDescent="0.9">
      <c r="A31" s="371" t="s">
        <v>38</v>
      </c>
      <c r="B31" s="38" t="s">
        <v>547</v>
      </c>
      <c r="C31" s="34">
        <f>IF((0.003785*C33*2) &lt;= 0.0187, 1, CEILING((0.003785*C33*2)/0.0187, 1))</f>
        <v>1</v>
      </c>
      <c r="D31" s="35">
        <f>0.75*B18*C31</f>
        <v>1.0053619302949061E-2</v>
      </c>
      <c r="E31" s="36">
        <f>0.00393*B18*C31</f>
        <v>5.2680965147453091E-5</v>
      </c>
      <c r="F31" s="35">
        <f>0.00033*B18*C31</f>
        <v>4.4235924932975873E-6</v>
      </c>
      <c r="G31" s="37"/>
      <c r="H31" s="79"/>
    </row>
    <row r="32" spans="1:8" x14ac:dyDescent="0.75">
      <c r="A32" s="368"/>
      <c r="B32" s="38" t="s">
        <v>39</v>
      </c>
      <c r="C32" s="39">
        <f>IF(F45 &lt;= 2, 1, CEILING(F45 / 2, 1))</f>
        <v>1</v>
      </c>
      <c r="D32" s="26">
        <f>0.20411*C32/Assumptions!$B$5</f>
        <v>3.4018333333333338E-2</v>
      </c>
      <c r="E32" s="26">
        <f>0.00064416*C32/Assumptions!$B$5</f>
        <v>1.0735999999999999E-4</v>
      </c>
      <c r="F32" s="40"/>
      <c r="G32" s="41"/>
      <c r="H32" t="s">
        <v>526</v>
      </c>
    </row>
    <row r="33" spans="1:8" ht="15" customHeight="1" thickBot="1" x14ac:dyDescent="0.9">
      <c r="A33" s="369"/>
      <c r="B33" s="42" t="s">
        <v>40</v>
      </c>
      <c r="C33" s="43">
        <f>ROUNDUP(B18/(85*0.003785),0)</f>
        <v>1</v>
      </c>
      <c r="D33" s="44">
        <f>(7.62/250)*(0.45359/1)*C33</f>
        <v>1.3825423199999999E-2</v>
      </c>
      <c r="E33" s="44">
        <f>(10.5*11*0.00394)*0.00001639*C33</f>
        <v>7.4585973E-6</v>
      </c>
      <c r="F33" s="45"/>
      <c r="G33" s="46"/>
      <c r="H33" s="80"/>
    </row>
    <row r="34" spans="1:8" ht="17" customHeight="1" thickBot="1" x14ac:dyDescent="0.9"/>
    <row r="35" spans="1:8" x14ac:dyDescent="0.75">
      <c r="A35" s="373" t="s">
        <v>517</v>
      </c>
      <c r="B35" s="365"/>
      <c r="C35" s="162"/>
      <c r="D35" s="162"/>
      <c r="E35" s="161"/>
      <c r="F35" s="163"/>
    </row>
    <row r="36" spans="1:8" ht="17" customHeight="1" thickBot="1" x14ac:dyDescent="1.1000000000000001">
      <c r="A36" s="169" t="s">
        <v>30</v>
      </c>
      <c r="B36" s="170" t="s">
        <v>42</v>
      </c>
      <c r="C36" s="170" t="s">
        <v>33</v>
      </c>
      <c r="D36" s="232" t="s">
        <v>499</v>
      </c>
      <c r="E36" s="170" t="s">
        <v>500</v>
      </c>
      <c r="F36" s="171" t="s">
        <v>34</v>
      </c>
    </row>
    <row r="37" spans="1:8" ht="15" customHeight="1" thickBot="1" x14ac:dyDescent="0.9">
      <c r="A37" s="388" t="s">
        <v>35</v>
      </c>
      <c r="B37" t="s">
        <v>237</v>
      </c>
      <c r="C37" s="25">
        <f>0.0004288*B19*2</f>
        <v>1.7152000000000001E-3</v>
      </c>
      <c r="D37" s="25">
        <f>(4/3)*PI()*((0.45/2)^3)*(1/1000^3)</f>
        <v>4.771293842639499E-11</v>
      </c>
      <c r="E37" s="49"/>
      <c r="F37" s="63">
        <f>((1/10)*(B19*2)*(1/60)*1.5)+(4.6*(1/(215*2))*1.5)</f>
        <v>2.6046511627906978E-2</v>
      </c>
    </row>
    <row r="38" spans="1:8" x14ac:dyDescent="0.75">
      <c r="A38" s="368"/>
      <c r="B38" t="s">
        <v>44</v>
      </c>
      <c r="C38" s="26">
        <f>D38*1000</f>
        <v>0.54034941089677324</v>
      </c>
      <c r="D38" s="26">
        <f>(7.3*B20*35)*0.34*0.001</f>
        <v>5.4034941089677328E-4</v>
      </c>
      <c r="E38" s="49"/>
      <c r="F38" s="50">
        <f>90*4*(1/60)*(1/12.5)*(1/365)*35*B20*1.5</f>
        <v>4.2944993083977423E-4</v>
      </c>
    </row>
    <row r="39" spans="1:8" ht="16.5" customHeight="1" x14ac:dyDescent="0.75">
      <c r="A39" s="368"/>
      <c r="B39" t="s">
        <v>45</v>
      </c>
      <c r="C39" s="26">
        <f>((1.166+(12.406*3))*(D38*1000))/1000</f>
        <v>2.0740771787861743E-2</v>
      </c>
      <c r="D39" s="52"/>
      <c r="E39" s="49"/>
      <c r="F39" s="50">
        <f>(20.17/10)*(1/60)*(1/12.5)*B20*35*1.5</f>
        <v>8.7823107314971105E-4</v>
      </c>
    </row>
    <row r="40" spans="1:8" x14ac:dyDescent="0.75">
      <c r="A40" s="368"/>
      <c r="B40" t="s">
        <v>46</v>
      </c>
      <c r="C40" s="26">
        <f>(10.7*B20*35)/1000</f>
        <v>2.3294676456871366E-3</v>
      </c>
      <c r="D40" s="26">
        <f>C40/1.82</f>
        <v>1.2799272778500749E-3</v>
      </c>
      <c r="E40" s="49"/>
      <c r="F40" s="53">
        <f>2.13*365*(1/60)*(1/365)*35*1.5</f>
        <v>1.86375</v>
      </c>
    </row>
    <row r="41" spans="1:8" ht="15" customHeight="1" x14ac:dyDescent="0.95">
      <c r="A41" s="368"/>
      <c r="B41" s="164" t="s">
        <v>47</v>
      </c>
      <c r="C41" s="165" t="s">
        <v>33</v>
      </c>
      <c r="D41" s="231" t="s">
        <v>499</v>
      </c>
      <c r="E41" s="165" t="s">
        <v>500</v>
      </c>
      <c r="F41" s="166" t="s">
        <v>34</v>
      </c>
    </row>
    <row r="42" spans="1:8" ht="17" customHeight="1" x14ac:dyDescent="0.75">
      <c r="A42" s="368"/>
      <c r="B42" s="38" t="s">
        <v>48</v>
      </c>
      <c r="C42" s="26">
        <f>(7.78*B20*35)/1000</f>
        <v>1.6937624563968152E-3</v>
      </c>
      <c r="D42" s="26">
        <f>C42/1.3</f>
        <v>1.3028941972283194E-3</v>
      </c>
      <c r="E42" s="49"/>
      <c r="F42" s="54"/>
    </row>
    <row r="43" spans="1:8" ht="15.5" thickBot="1" x14ac:dyDescent="0.9">
      <c r="A43" s="369"/>
      <c r="B43" s="38" t="s">
        <v>49</v>
      </c>
      <c r="C43" s="26">
        <f>2.1*B20*35</f>
        <v>0.45718523887317636</v>
      </c>
      <c r="D43" s="26">
        <f>C43/1000</f>
        <v>4.5718523887317637E-4</v>
      </c>
      <c r="E43" s="49"/>
      <c r="F43" s="54"/>
      <c r="G43" s="250"/>
    </row>
    <row r="44" spans="1:8" ht="16.5" customHeight="1" x14ac:dyDescent="0.95">
      <c r="A44" s="152" t="s">
        <v>30</v>
      </c>
      <c r="B44" s="165" t="s">
        <v>47</v>
      </c>
      <c r="C44" s="165" t="s">
        <v>33</v>
      </c>
      <c r="D44" s="231" t="s">
        <v>499</v>
      </c>
      <c r="E44" s="165" t="s">
        <v>500</v>
      </c>
      <c r="F44" s="166" t="s">
        <v>34</v>
      </c>
    </row>
    <row r="45" spans="1:8" ht="15" customHeight="1" thickBot="1" x14ac:dyDescent="0.9">
      <c r="A45" s="367" t="s">
        <v>38</v>
      </c>
      <c r="B45" s="38" t="s">
        <v>50</v>
      </c>
      <c r="C45" s="26">
        <f>B6/1000000</f>
        <v>5.0000000000000004E-6</v>
      </c>
      <c r="D45" s="49"/>
      <c r="E45" s="49"/>
      <c r="F45" s="374">
        <f>(3.97*B20)/60*1.5</f>
        <v>6.1735557766207821E-4</v>
      </c>
    </row>
    <row r="46" spans="1:8" x14ac:dyDescent="0.75">
      <c r="A46" s="368"/>
      <c r="B46" s="38" t="s">
        <v>140</v>
      </c>
      <c r="C46" s="26">
        <f>B16*B20</f>
        <v>1.3404825737265414E-2</v>
      </c>
      <c r="D46" s="26">
        <f>C46*(1/60)</f>
        <v>2.2341376228775689E-4</v>
      </c>
      <c r="E46" s="49"/>
      <c r="F46" s="375"/>
    </row>
    <row r="47" spans="1:8" ht="16.5" customHeight="1" x14ac:dyDescent="0.95">
      <c r="A47" s="368"/>
      <c r="B47" s="164" t="s">
        <v>56</v>
      </c>
      <c r="C47" s="165" t="s">
        <v>33</v>
      </c>
      <c r="D47" s="231" t="s">
        <v>499</v>
      </c>
      <c r="E47" s="165" t="s">
        <v>500</v>
      </c>
      <c r="F47" s="166" t="s">
        <v>34</v>
      </c>
    </row>
    <row r="48" spans="1:8" ht="15" customHeight="1" thickBot="1" x14ac:dyDescent="0.9">
      <c r="A48" s="369"/>
      <c r="B48" s="42" t="s">
        <v>57</v>
      </c>
      <c r="C48" s="44">
        <f>(7.3/1000)*B20*35</f>
        <v>1.5892629732258035E-3</v>
      </c>
      <c r="D48" s="44">
        <f>C48*(1/60)</f>
        <v>2.6487716220430056E-5</v>
      </c>
      <c r="E48" s="55"/>
      <c r="F48" s="57"/>
    </row>
    <row r="49" spans="1:8" ht="15" customHeight="1" thickBot="1" x14ac:dyDescent="0.9"/>
    <row r="50" spans="1:8" x14ac:dyDescent="0.75">
      <c r="A50" s="173" t="s">
        <v>58</v>
      </c>
      <c r="B50" s="161"/>
      <c r="C50" s="161"/>
      <c r="D50" s="161"/>
      <c r="E50" s="161"/>
      <c r="F50" s="233"/>
    </row>
    <row r="51" spans="1:8" ht="15" customHeight="1" thickBot="1" x14ac:dyDescent="0.9">
      <c r="A51" s="157" t="s">
        <v>59</v>
      </c>
      <c r="B51" s="150" t="s">
        <v>60</v>
      </c>
      <c r="C51" s="150" t="s">
        <v>61</v>
      </c>
      <c r="D51" s="150" t="s">
        <v>62</v>
      </c>
      <c r="E51" s="150" t="s">
        <v>63</v>
      </c>
      <c r="F51" s="166" t="s">
        <v>516</v>
      </c>
    </row>
    <row r="52" spans="1:8" x14ac:dyDescent="0.75">
      <c r="A52" s="58" t="s">
        <v>33</v>
      </c>
      <c r="B52" s="26">
        <f>SUM(D29:D33)</f>
        <v>3.5616873758362813</v>
      </c>
      <c r="C52" s="26">
        <f>C37+(C39/5*5)+(C40/5*5)</f>
        <v>2.478543943354888E-2</v>
      </c>
      <c r="D52" s="59"/>
      <c r="E52" s="26">
        <f>SUM((C42/5*5),C45,C46)</f>
        <v>1.510358819366223E-2</v>
      </c>
      <c r="F52" s="61"/>
      <c r="H52" s="15"/>
    </row>
    <row r="53" spans="1:8" ht="16.75" x14ac:dyDescent="0.75">
      <c r="A53" s="58" t="s">
        <v>499</v>
      </c>
      <c r="B53" s="26">
        <f>SUM(E29:E33)</f>
        <v>3.648849956244745E-2</v>
      </c>
      <c r="C53" s="26">
        <f>D37+(D40/5*5)</f>
        <v>1.2799273255630135E-3</v>
      </c>
      <c r="D53" s="52"/>
      <c r="E53" s="26">
        <f>SUM((D42/5*5),(D43/5*5),D46)</f>
        <v>1.9834931983892527E-3</v>
      </c>
      <c r="F53" s="61"/>
      <c r="H53" s="15"/>
    </row>
    <row r="54" spans="1:8" ht="16.75" x14ac:dyDescent="0.95">
      <c r="A54" s="58" t="s">
        <v>500</v>
      </c>
      <c r="B54" s="26">
        <f>SUM(F29:F31)</f>
        <v>7.0445673592493291E-2</v>
      </c>
      <c r="C54" s="60"/>
      <c r="D54" s="49"/>
      <c r="E54" s="217">
        <v>0</v>
      </c>
      <c r="F54" s="54"/>
      <c r="H54" s="15"/>
    </row>
    <row r="55" spans="1:8" ht="16.75" x14ac:dyDescent="0.95">
      <c r="A55" s="58" t="s">
        <v>501</v>
      </c>
      <c r="B55" s="26">
        <f>SUM(F29:F31)</f>
        <v>7.0445673592493291E-2</v>
      </c>
      <c r="C55" s="49"/>
      <c r="D55" s="59"/>
      <c r="E55" s="49"/>
      <c r="F55" s="54"/>
      <c r="H55" s="39"/>
    </row>
    <row r="56" spans="1:8" x14ac:dyDescent="0.75">
      <c r="A56" s="58" t="s">
        <v>512</v>
      </c>
      <c r="B56" s="217">
        <f>+SUM(G29:G33)</f>
        <v>0</v>
      </c>
      <c r="C56" s="62"/>
      <c r="D56" s="62"/>
      <c r="E56" s="62"/>
      <c r="F56" s="234">
        <f>+SUM(F37,(F38/5*5),(F39/5*5),(F40/5))+F45</f>
        <v>0.40072154820955858</v>
      </c>
      <c r="H56" s="39"/>
    </row>
    <row r="57" spans="1:8" ht="15" customHeight="1" x14ac:dyDescent="0.75">
      <c r="A57" s="64" t="s">
        <v>65</v>
      </c>
      <c r="B57" s="65"/>
      <c r="C57" s="228">
        <v>0</v>
      </c>
      <c r="D57" s="49"/>
      <c r="E57" s="26">
        <f>B18</f>
        <v>1.3404825737265416E-2</v>
      </c>
      <c r="F57" s="54"/>
      <c r="H57" s="15"/>
    </row>
    <row r="58" spans="1:8" x14ac:dyDescent="0.75">
      <c r="A58" s="58" t="s">
        <v>66</v>
      </c>
      <c r="B58" s="26">
        <f>C58-C43</f>
        <v>8.3164172023596883E-2</v>
      </c>
      <c r="C58" s="26">
        <f>(C38/4*4)</f>
        <v>0.54034941089677324</v>
      </c>
      <c r="D58" s="49"/>
      <c r="E58" s="26">
        <f>C43/5*5</f>
        <v>0.4571852388731763</v>
      </c>
      <c r="F58" s="54"/>
      <c r="H58" s="15"/>
    </row>
    <row r="59" spans="1:8" ht="15" customHeight="1" thickBot="1" x14ac:dyDescent="0.9">
      <c r="A59" s="66" t="s">
        <v>67</v>
      </c>
      <c r="B59" s="67"/>
      <c r="C59" s="67"/>
      <c r="D59" s="44">
        <f>C48</f>
        <v>1.5892629732258035E-3</v>
      </c>
      <c r="E59" s="67"/>
      <c r="F59" s="216"/>
      <c r="H59" s="15"/>
    </row>
    <row r="60" spans="1:8" ht="19" customHeight="1" thickBot="1" x14ac:dyDescent="0.9"/>
    <row r="61" spans="1:8" ht="15" customHeight="1" x14ac:dyDescent="0.75">
      <c r="A61" s="173" t="s">
        <v>68</v>
      </c>
      <c r="B61" s="162"/>
      <c r="C61" s="162"/>
      <c r="D61" s="162"/>
      <c r="E61" s="162"/>
      <c r="F61" s="162"/>
      <c r="G61" s="161"/>
      <c r="H61" s="163"/>
    </row>
    <row r="62" spans="1:8" ht="17" customHeight="1" thickBot="1" x14ac:dyDescent="1.1000000000000001">
      <c r="A62" s="157" t="s">
        <v>69</v>
      </c>
      <c r="B62" s="150" t="s">
        <v>503</v>
      </c>
      <c r="C62" s="150" t="s">
        <v>504</v>
      </c>
      <c r="D62" s="150" t="s">
        <v>505</v>
      </c>
      <c r="E62" s="150" t="s">
        <v>506</v>
      </c>
      <c r="F62" s="150" t="s">
        <v>507</v>
      </c>
      <c r="G62" s="150" t="s">
        <v>508</v>
      </c>
      <c r="H62" s="151" t="s">
        <v>76</v>
      </c>
    </row>
    <row r="63" spans="1:8" ht="15" customHeight="1" thickBot="1" x14ac:dyDescent="0.9">
      <c r="A63" s="192" t="s">
        <v>485</v>
      </c>
      <c r="B63" s="70">
        <f>Assumptions!B13</f>
        <v>79.3</v>
      </c>
      <c r="C63" s="70">
        <f>Assumptions!C13</f>
        <v>162</v>
      </c>
      <c r="D63" s="70">
        <f>Assumptions!D13</f>
        <v>96</v>
      </c>
      <c r="E63" s="70">
        <f>Assumptions!E13</f>
        <v>0.21</v>
      </c>
      <c r="F63" s="70">
        <f>Assumptions!F13</f>
        <v>0.93</v>
      </c>
      <c r="G63" s="70">
        <f>Assumptions!G13</f>
        <v>0.3</v>
      </c>
      <c r="H63" s="70">
        <f>Assumptions!H13</f>
        <v>0.94</v>
      </c>
    </row>
    <row r="64" spans="1:8" ht="15" customHeight="1" thickBot="1" x14ac:dyDescent="0.9">
      <c r="B64" s="15"/>
      <c r="C64" s="15"/>
      <c r="D64" s="15"/>
      <c r="E64" s="15"/>
      <c r="F64" s="15"/>
    </row>
    <row r="65" spans="1:8" ht="15" customHeight="1" x14ac:dyDescent="0.75">
      <c r="A65" s="190" t="s">
        <v>78</v>
      </c>
      <c r="B65" s="72">
        <v>1</v>
      </c>
      <c r="C65" s="15"/>
      <c r="D65" s="26"/>
      <c r="E65" s="26"/>
      <c r="F65" s="26"/>
    </row>
    <row r="66" spans="1:8" ht="17" customHeight="1" thickBot="1" x14ac:dyDescent="0.9">
      <c r="A66" s="191" t="s">
        <v>79</v>
      </c>
      <c r="B66" s="74">
        <f>B65*86</f>
        <v>86</v>
      </c>
      <c r="C66" s="15"/>
      <c r="D66" s="15"/>
      <c r="E66" s="15"/>
      <c r="F66" s="15"/>
    </row>
    <row r="67" spans="1:8" ht="15" customHeight="1" thickBot="1" x14ac:dyDescent="0.9">
      <c r="B67" s="15"/>
      <c r="C67" s="15"/>
      <c r="D67" s="15"/>
      <c r="E67" s="15"/>
      <c r="F67" s="15"/>
    </row>
    <row r="68" spans="1:8" ht="17" customHeight="1" thickBot="1" x14ac:dyDescent="1.1000000000000001">
      <c r="A68" s="167" t="s">
        <v>80</v>
      </c>
      <c r="B68" s="148" t="s">
        <v>502</v>
      </c>
    </row>
    <row r="69" spans="1:8" x14ac:dyDescent="0.75">
      <c r="A69" s="83" t="s">
        <v>60</v>
      </c>
      <c r="B69" s="235">
        <f>B52+(B53*B63)+(B54*C63)+(B55*D63)+(B56*H63)+(B58*G63)</f>
        <v>24.655158429608711</v>
      </c>
    </row>
    <row r="70" spans="1:8" x14ac:dyDescent="0.75">
      <c r="A70" s="83" t="s">
        <v>516</v>
      </c>
      <c r="B70" s="235">
        <f>+B66*F56*H63</f>
        <v>32.394329957260709</v>
      </c>
    </row>
    <row r="71" spans="1:8" x14ac:dyDescent="0.75">
      <c r="A71" s="83" t="s">
        <v>82</v>
      </c>
      <c r="B71" s="236">
        <f>B66*(C52+(C53*B63)+(C57*E63)+(C58*G63))</f>
        <v>24.80141096729659</v>
      </c>
    </row>
    <row r="72" spans="1:8" ht="17" customHeight="1" x14ac:dyDescent="0.75">
      <c r="A72" s="83" t="s">
        <v>83</v>
      </c>
      <c r="B72" s="236">
        <f>B66*((D59*F63))</f>
        <v>0.12710925259859976</v>
      </c>
    </row>
    <row r="73" spans="1:8" x14ac:dyDescent="0.75">
      <c r="A73" s="84" t="s">
        <v>84</v>
      </c>
      <c r="B73" s="237">
        <f>B66*(E52+(E53*B63)+(E54*C63)-(E57*E63)+(E58*G63))</f>
        <v>26.379223509142911</v>
      </c>
    </row>
    <row r="74" spans="1:8" ht="17" customHeight="1" thickBot="1" x14ac:dyDescent="1.1000000000000001">
      <c r="A74" s="85" t="s">
        <v>531</v>
      </c>
      <c r="B74" s="238">
        <f>B69+B70+B71+B72-B73</f>
        <v>55.598785097621708</v>
      </c>
    </row>
    <row r="76" spans="1:8" s="89" customFormat="1" ht="15" customHeight="1" thickBot="1" x14ac:dyDescent="0.9">
      <c r="A76" s="188"/>
      <c r="B76" s="189"/>
    </row>
    <row r="77" spans="1:8" ht="19" customHeight="1" thickBot="1" x14ac:dyDescent="0.9">
      <c r="A77" s="401" t="s">
        <v>238</v>
      </c>
      <c r="B77" s="377"/>
      <c r="C77" s="377"/>
      <c r="D77" s="261"/>
      <c r="E77" s="261"/>
      <c r="F77" s="261"/>
      <c r="G77" s="261"/>
      <c r="H77" s="262"/>
    </row>
    <row r="78" spans="1:8" ht="15" customHeight="1" thickBot="1" x14ac:dyDescent="0.9">
      <c r="A78" s="9"/>
      <c r="B78" s="9"/>
      <c r="C78" s="9"/>
    </row>
    <row r="79" spans="1:8" x14ac:dyDescent="0.75">
      <c r="A79" s="263" t="s">
        <v>239</v>
      </c>
      <c r="B79" s="264"/>
      <c r="C79" s="264"/>
      <c r="D79" s="267"/>
      <c r="E79" s="268"/>
    </row>
    <row r="80" spans="1:8" ht="15" customHeight="1" thickBot="1" x14ac:dyDescent="0.9">
      <c r="A80" s="277" t="s">
        <v>143</v>
      </c>
      <c r="B80" s="278" t="s">
        <v>87</v>
      </c>
      <c r="C80" s="278" t="s">
        <v>3</v>
      </c>
      <c r="D80" s="278" t="s">
        <v>114</v>
      </c>
      <c r="E80" s="279" t="s">
        <v>240</v>
      </c>
    </row>
    <row r="81" spans="1:5" x14ac:dyDescent="0.75">
      <c r="A81" s="172" t="s">
        <v>241</v>
      </c>
      <c r="B81" s="15">
        <f>Assumptions!B7</f>
        <v>86</v>
      </c>
      <c r="C81" s="15" t="s">
        <v>242</v>
      </c>
      <c r="D81" s="15"/>
      <c r="E81" s="11"/>
    </row>
    <row r="82" spans="1:5" x14ac:dyDescent="0.75">
      <c r="A82" s="172" t="s">
        <v>243</v>
      </c>
      <c r="B82" s="15">
        <v>1</v>
      </c>
      <c r="C82" s="15" t="s">
        <v>244</v>
      </c>
      <c r="D82" s="15"/>
      <c r="E82" s="11"/>
    </row>
    <row r="83" spans="1:5" x14ac:dyDescent="0.75">
      <c r="A83" s="172" t="s">
        <v>243</v>
      </c>
      <c r="B83" s="39">
        <v>1000</v>
      </c>
      <c r="C83" s="39" t="s">
        <v>245</v>
      </c>
      <c r="D83" s="15"/>
      <c r="E83" s="11"/>
    </row>
    <row r="84" spans="1:5" x14ac:dyDescent="0.75">
      <c r="A84" s="180" t="s">
        <v>246</v>
      </c>
      <c r="B84" s="15">
        <v>1000</v>
      </c>
      <c r="C84" s="39" t="s">
        <v>247</v>
      </c>
      <c r="D84" s="15"/>
      <c r="E84" s="11"/>
    </row>
    <row r="85" spans="1:5" x14ac:dyDescent="0.75">
      <c r="A85" s="180" t="s">
        <v>248</v>
      </c>
      <c r="B85" s="15">
        <f>1/20</f>
        <v>0.05</v>
      </c>
      <c r="C85" s="39" t="s">
        <v>249</v>
      </c>
      <c r="D85" s="38" t="s">
        <v>250</v>
      </c>
      <c r="E85" s="11"/>
    </row>
    <row r="86" spans="1:5" x14ac:dyDescent="0.75">
      <c r="A86" s="180" t="s">
        <v>251</v>
      </c>
      <c r="B86" s="15">
        <f>B85*0.1</f>
        <v>5.000000000000001E-3</v>
      </c>
      <c r="C86" s="39" t="s">
        <v>249</v>
      </c>
      <c r="D86" s="38" t="s">
        <v>252</v>
      </c>
      <c r="E86" s="11"/>
    </row>
    <row r="87" spans="1:5" x14ac:dyDescent="0.75">
      <c r="A87" s="180" t="s">
        <v>253</v>
      </c>
      <c r="B87" s="15">
        <v>1.1000000000000001</v>
      </c>
      <c r="C87" s="39" t="s">
        <v>244</v>
      </c>
      <c r="D87" s="38" t="s">
        <v>254</v>
      </c>
      <c r="E87" s="179" t="s">
        <v>255</v>
      </c>
    </row>
    <row r="88" spans="1:5" x14ac:dyDescent="0.75">
      <c r="A88" s="180" t="s">
        <v>256</v>
      </c>
      <c r="B88" s="15">
        <v>196.19</v>
      </c>
      <c r="C88" s="39" t="s">
        <v>257</v>
      </c>
      <c r="D88" s="38"/>
      <c r="E88" s="11"/>
    </row>
    <row r="89" spans="1:5" x14ac:dyDescent="0.75">
      <c r="A89" s="180" t="s">
        <v>258</v>
      </c>
      <c r="B89" s="15">
        <v>195.2</v>
      </c>
      <c r="C89" s="39" t="s">
        <v>257</v>
      </c>
      <c r="D89" s="38"/>
      <c r="E89" s="11"/>
    </row>
    <row r="90" spans="1:5" x14ac:dyDescent="0.75">
      <c r="A90" s="180" t="s">
        <v>259</v>
      </c>
      <c r="B90" s="15">
        <v>95.21</v>
      </c>
      <c r="C90" s="39" t="s">
        <v>257</v>
      </c>
      <c r="D90" s="38"/>
      <c r="E90" s="11"/>
    </row>
    <row r="91" spans="1:5" x14ac:dyDescent="0.75">
      <c r="A91" s="180" t="s">
        <v>260</v>
      </c>
      <c r="B91" s="15">
        <v>5</v>
      </c>
      <c r="C91" s="39" t="s">
        <v>261</v>
      </c>
      <c r="D91" s="38"/>
      <c r="E91" s="11"/>
    </row>
    <row r="92" spans="1:5" x14ac:dyDescent="0.75">
      <c r="A92" s="180" t="s">
        <v>262</v>
      </c>
      <c r="B92" s="15">
        <v>250</v>
      </c>
      <c r="C92" s="39" t="s">
        <v>261</v>
      </c>
      <c r="D92" s="38"/>
      <c r="E92" s="11"/>
    </row>
    <row r="93" spans="1:5" x14ac:dyDescent="0.75">
      <c r="A93" s="180" t="s">
        <v>263</v>
      </c>
      <c r="B93" s="15">
        <v>20</v>
      </c>
      <c r="C93" s="39"/>
      <c r="D93" s="38"/>
      <c r="E93" s="11"/>
    </row>
    <row r="94" spans="1:5" x14ac:dyDescent="0.75">
      <c r="A94" s="180" t="s">
        <v>264</v>
      </c>
      <c r="B94" s="15">
        <f>B91+(B92/B93)</f>
        <v>17.5</v>
      </c>
      <c r="C94" s="39" t="s">
        <v>261</v>
      </c>
      <c r="D94" s="38"/>
      <c r="E94" s="11"/>
    </row>
    <row r="95" spans="1:5" x14ac:dyDescent="0.75">
      <c r="A95" s="180" t="s">
        <v>265</v>
      </c>
      <c r="B95" s="15">
        <f>B94/1000</f>
        <v>1.7500000000000002E-2</v>
      </c>
      <c r="C95" s="39" t="s">
        <v>261</v>
      </c>
      <c r="D95" s="38" t="s">
        <v>266</v>
      </c>
      <c r="E95" s="11"/>
    </row>
    <row r="96" spans="1:5" x14ac:dyDescent="0.75">
      <c r="A96" s="180" t="s">
        <v>267</v>
      </c>
      <c r="B96" s="15">
        <f>1.5*B85</f>
        <v>7.5000000000000011E-2</v>
      </c>
      <c r="C96" s="39" t="s">
        <v>261</v>
      </c>
      <c r="D96" s="38" t="s">
        <v>268</v>
      </c>
      <c r="E96" s="11"/>
    </row>
    <row r="97" spans="1:5" x14ac:dyDescent="0.75">
      <c r="A97" s="180" t="s">
        <v>269</v>
      </c>
      <c r="B97" s="15">
        <f>10*B85</f>
        <v>0.5</v>
      </c>
      <c r="C97" s="39" t="s">
        <v>261</v>
      </c>
      <c r="D97" s="38" t="s">
        <v>270</v>
      </c>
      <c r="E97" s="11"/>
    </row>
    <row r="98" spans="1:5" x14ac:dyDescent="0.75">
      <c r="A98" s="180" t="s">
        <v>271</v>
      </c>
      <c r="B98" s="15">
        <f>20*B85</f>
        <v>1</v>
      </c>
      <c r="C98" s="39" t="s">
        <v>261</v>
      </c>
      <c r="D98" s="38" t="s">
        <v>270</v>
      </c>
      <c r="E98" s="11"/>
    </row>
    <row r="99" spans="1:5" x14ac:dyDescent="0.75">
      <c r="A99" s="180" t="s">
        <v>272</v>
      </c>
      <c r="B99" s="15">
        <f>0.0002*B85</f>
        <v>1.0000000000000001E-5</v>
      </c>
      <c r="C99" s="39" t="s">
        <v>249</v>
      </c>
      <c r="D99" s="38" t="s">
        <v>273</v>
      </c>
      <c r="E99" s="11"/>
    </row>
    <row r="100" spans="1:5" x14ac:dyDescent="0.75">
      <c r="A100" s="180" t="s">
        <v>274</v>
      </c>
      <c r="B100" s="15">
        <f>B94</f>
        <v>17.5</v>
      </c>
      <c r="C100" s="39" t="s">
        <v>261</v>
      </c>
      <c r="D100" s="38"/>
      <c r="E100" s="11"/>
    </row>
    <row r="101" spans="1:5" x14ac:dyDescent="0.75">
      <c r="A101" s="180" t="s">
        <v>275</v>
      </c>
      <c r="B101" s="15">
        <f>(B85*1000)-B96-B97-B98</f>
        <v>48.424999999999997</v>
      </c>
      <c r="C101" s="39" t="s">
        <v>261</v>
      </c>
      <c r="D101" s="38"/>
      <c r="E101" s="11"/>
    </row>
    <row r="102" spans="1:5" x14ac:dyDescent="0.75">
      <c r="A102" s="180" t="s">
        <v>276</v>
      </c>
      <c r="B102" s="15">
        <f>B100+B101</f>
        <v>65.924999999999997</v>
      </c>
      <c r="C102" s="39" t="s">
        <v>261</v>
      </c>
      <c r="D102" s="38"/>
      <c r="E102" s="11"/>
    </row>
    <row r="103" spans="1:5" x14ac:dyDescent="0.75">
      <c r="A103" s="180" t="s">
        <v>277</v>
      </c>
      <c r="B103" s="15">
        <f>25*(B94/1000)</f>
        <v>0.43750000000000006</v>
      </c>
      <c r="C103" s="39" t="s">
        <v>278</v>
      </c>
      <c r="D103" s="38" t="s">
        <v>279</v>
      </c>
      <c r="E103" s="11"/>
    </row>
    <row r="104" spans="1:5" x14ac:dyDescent="0.75">
      <c r="A104" s="172" t="s">
        <v>280</v>
      </c>
      <c r="B104" s="15">
        <v>1.5</v>
      </c>
      <c r="C104" s="15"/>
      <c r="D104" s="38"/>
      <c r="E104" s="11" t="s">
        <v>281</v>
      </c>
    </row>
    <row r="105" spans="1:5" x14ac:dyDescent="0.75">
      <c r="A105" s="180" t="s">
        <v>282</v>
      </c>
      <c r="B105" s="15">
        <v>20</v>
      </c>
      <c r="C105" s="39" t="s">
        <v>283</v>
      </c>
      <c r="D105" s="38" t="s">
        <v>284</v>
      </c>
      <c r="E105" s="11"/>
    </row>
    <row r="106" spans="1:5" x14ac:dyDescent="0.75">
      <c r="A106" s="180" t="s">
        <v>282</v>
      </c>
      <c r="B106" s="15">
        <f>B105/60</f>
        <v>0.33333333333333331</v>
      </c>
      <c r="C106" s="39" t="s">
        <v>285</v>
      </c>
      <c r="D106" s="38" t="s">
        <v>286</v>
      </c>
      <c r="E106" s="11"/>
    </row>
    <row r="107" spans="1:5" x14ac:dyDescent="0.75">
      <c r="A107" s="180" t="s">
        <v>287</v>
      </c>
      <c r="B107" s="15">
        <v>35</v>
      </c>
      <c r="C107" s="39" t="s">
        <v>283</v>
      </c>
      <c r="D107" s="38" t="s">
        <v>288</v>
      </c>
      <c r="E107" s="11"/>
    </row>
    <row r="108" spans="1:5" x14ac:dyDescent="0.75">
      <c r="A108" s="180" t="s">
        <v>287</v>
      </c>
      <c r="B108" s="15">
        <f>B107/60</f>
        <v>0.58333333333333337</v>
      </c>
      <c r="C108" s="39" t="s">
        <v>285</v>
      </c>
      <c r="D108" s="38" t="s">
        <v>288</v>
      </c>
      <c r="E108" s="11"/>
    </row>
    <row r="109" spans="1:5" x14ac:dyDescent="0.75">
      <c r="A109" s="180" t="s">
        <v>289</v>
      </c>
      <c r="B109" s="15">
        <v>30</v>
      </c>
      <c r="C109" s="39" t="s">
        <v>283</v>
      </c>
      <c r="D109" s="38" t="s">
        <v>290</v>
      </c>
      <c r="E109" s="11"/>
    </row>
    <row r="110" spans="1:5" x14ac:dyDescent="0.75">
      <c r="A110" s="180" t="s">
        <v>289</v>
      </c>
      <c r="B110" s="15">
        <f>B109/60</f>
        <v>0.5</v>
      </c>
      <c r="C110" s="39" t="s">
        <v>285</v>
      </c>
      <c r="D110" s="38" t="s">
        <v>290</v>
      </c>
      <c r="E110" s="11"/>
    </row>
    <row r="111" spans="1:5" x14ac:dyDescent="0.75">
      <c r="A111" s="180" t="s">
        <v>291</v>
      </c>
      <c r="B111" s="15">
        <v>65</v>
      </c>
      <c r="C111" s="39" t="s">
        <v>283</v>
      </c>
      <c r="D111" s="38" t="s">
        <v>292</v>
      </c>
      <c r="E111" s="11"/>
    </row>
    <row r="112" spans="1:5" x14ac:dyDescent="0.75">
      <c r="A112" s="180" t="s">
        <v>291</v>
      </c>
      <c r="B112" s="15">
        <f>B111/60</f>
        <v>1.0833333333333333</v>
      </c>
      <c r="C112" s="39" t="s">
        <v>285</v>
      </c>
      <c r="D112" s="38" t="s">
        <v>292</v>
      </c>
      <c r="E112" s="11"/>
    </row>
    <row r="113" spans="1:5" x14ac:dyDescent="0.75">
      <c r="A113" s="180" t="s">
        <v>293</v>
      </c>
      <c r="B113" s="15">
        <v>5</v>
      </c>
      <c r="C113" s="39" t="s">
        <v>294</v>
      </c>
      <c r="D113" s="38" t="s">
        <v>295</v>
      </c>
      <c r="E113" s="11"/>
    </row>
    <row r="114" spans="1:5" x14ac:dyDescent="0.75">
      <c r="A114" s="180" t="s">
        <v>293</v>
      </c>
      <c r="B114" s="15">
        <f>B113/60</f>
        <v>8.3333333333333329E-2</v>
      </c>
      <c r="C114" s="39" t="s">
        <v>296</v>
      </c>
      <c r="D114" s="38" t="s">
        <v>295</v>
      </c>
      <c r="E114" s="11"/>
    </row>
    <row r="115" spans="1:5" x14ac:dyDescent="0.75">
      <c r="A115" s="175" t="s">
        <v>548</v>
      </c>
      <c r="B115" s="25">
        <f>321+91</f>
        <v>412</v>
      </c>
      <c r="C115" s="39" t="s">
        <v>163</v>
      </c>
      <c r="D115" s="123"/>
      <c r="E115" s="193"/>
    </row>
    <row r="116" spans="1:5" x14ac:dyDescent="0.75">
      <c r="A116" s="175" t="s">
        <v>549</v>
      </c>
      <c r="B116" s="25">
        <v>2</v>
      </c>
      <c r="C116" s="39" t="s">
        <v>130</v>
      </c>
      <c r="D116" s="123"/>
      <c r="E116" s="193"/>
    </row>
    <row r="117" spans="1:5" x14ac:dyDescent="0.75">
      <c r="A117" s="175" t="s">
        <v>550</v>
      </c>
      <c r="B117" s="25">
        <v>0.61399999999999999</v>
      </c>
      <c r="C117" s="39" t="s">
        <v>130</v>
      </c>
      <c r="D117" s="123"/>
      <c r="E117" s="193"/>
    </row>
    <row r="118" spans="1:5" x14ac:dyDescent="0.75">
      <c r="A118" s="175" t="s">
        <v>551</v>
      </c>
      <c r="B118" s="25">
        <v>0.20499999999999999</v>
      </c>
      <c r="C118" s="39" t="s">
        <v>164</v>
      </c>
      <c r="D118" s="123"/>
      <c r="E118" s="193"/>
    </row>
    <row r="119" spans="1:5" x14ac:dyDescent="0.75">
      <c r="A119" s="175" t="s">
        <v>297</v>
      </c>
      <c r="B119" s="15">
        <v>0.9</v>
      </c>
      <c r="C119" s="15"/>
      <c r="E119" s="193" t="s">
        <v>298</v>
      </c>
    </row>
    <row r="120" spans="1:5" x14ac:dyDescent="0.75">
      <c r="A120" s="175" t="s">
        <v>299</v>
      </c>
      <c r="B120" s="15">
        <v>800</v>
      </c>
      <c r="C120" s="15" t="s">
        <v>300</v>
      </c>
      <c r="E120" s="3" t="s">
        <v>301</v>
      </c>
    </row>
    <row r="121" spans="1:5" x14ac:dyDescent="0.75">
      <c r="A121" s="175" t="s">
        <v>299</v>
      </c>
      <c r="B121" s="15">
        <f>B119*B120</f>
        <v>720</v>
      </c>
      <c r="C121" s="15" t="s">
        <v>302</v>
      </c>
      <c r="E121" s="3" t="s">
        <v>301</v>
      </c>
    </row>
    <row r="122" spans="1:5" x14ac:dyDescent="0.75">
      <c r="A122" s="175" t="s">
        <v>303</v>
      </c>
      <c r="B122" s="15">
        <v>60</v>
      </c>
      <c r="C122" s="15" t="s">
        <v>163</v>
      </c>
      <c r="E122" s="3" t="s">
        <v>301</v>
      </c>
    </row>
    <row r="123" spans="1:5" x14ac:dyDescent="0.75">
      <c r="A123" s="175" t="s">
        <v>304</v>
      </c>
      <c r="B123" s="15">
        <f>Q186</f>
        <v>0.25983437999999998</v>
      </c>
      <c r="C123" s="15" t="s">
        <v>130</v>
      </c>
      <c r="E123" s="3" t="s">
        <v>301</v>
      </c>
    </row>
    <row r="124" spans="1:5" x14ac:dyDescent="0.75">
      <c r="A124" s="175" t="s">
        <v>305</v>
      </c>
      <c r="B124" s="15">
        <v>130</v>
      </c>
      <c r="C124" s="15" t="s">
        <v>163</v>
      </c>
      <c r="E124" s="3" t="s">
        <v>306</v>
      </c>
    </row>
    <row r="125" spans="1:5" x14ac:dyDescent="0.75">
      <c r="A125" s="175" t="s">
        <v>307</v>
      </c>
      <c r="B125" s="15">
        <f>Q185</f>
        <v>0.58239999999999992</v>
      </c>
      <c r="C125" s="15" t="s">
        <v>130</v>
      </c>
      <c r="E125" s="3" t="s">
        <v>306</v>
      </c>
    </row>
    <row r="126" spans="1:5" x14ac:dyDescent="0.75">
      <c r="A126" s="175" t="s">
        <v>308</v>
      </c>
      <c r="B126" s="15">
        <v>700</v>
      </c>
      <c r="C126" s="15" t="s">
        <v>302</v>
      </c>
      <c r="E126" s="3" t="s">
        <v>306</v>
      </c>
    </row>
    <row r="127" spans="1:5" x14ac:dyDescent="0.75">
      <c r="A127" s="175" t="s">
        <v>309</v>
      </c>
      <c r="B127" s="15">
        <f>G187</f>
        <v>6.5759637188208613</v>
      </c>
      <c r="C127" s="15" t="s">
        <v>163</v>
      </c>
      <c r="E127" s="3" t="s">
        <v>310</v>
      </c>
    </row>
    <row r="128" spans="1:5" x14ac:dyDescent="0.75">
      <c r="A128" s="175" t="s">
        <v>311</v>
      </c>
      <c r="B128" s="15">
        <f>Q187</f>
        <v>5.1146517577728007E-3</v>
      </c>
      <c r="C128" s="15" t="s">
        <v>130</v>
      </c>
      <c r="E128" s="3" t="s">
        <v>310</v>
      </c>
    </row>
    <row r="129" spans="1:5" x14ac:dyDescent="0.75">
      <c r="A129" s="175" t="s">
        <v>312</v>
      </c>
      <c r="B129" s="15">
        <v>115</v>
      </c>
      <c r="C129" s="15" t="s">
        <v>313</v>
      </c>
      <c r="E129" s="3" t="s">
        <v>310</v>
      </c>
    </row>
    <row r="130" spans="1:5" x14ac:dyDescent="0.75">
      <c r="A130" s="175" t="s">
        <v>312</v>
      </c>
      <c r="B130" s="15">
        <v>4.2</v>
      </c>
      <c r="C130" s="15" t="s">
        <v>314</v>
      </c>
      <c r="E130" s="3" t="s">
        <v>310</v>
      </c>
    </row>
    <row r="131" spans="1:5" x14ac:dyDescent="0.75">
      <c r="A131" s="175" t="s">
        <v>312</v>
      </c>
      <c r="B131" s="15">
        <f>(B129*B130)*B119</f>
        <v>434.7</v>
      </c>
      <c r="C131" s="15" t="s">
        <v>302</v>
      </c>
      <c r="E131" s="3" t="s">
        <v>310</v>
      </c>
    </row>
    <row r="132" spans="1:5" x14ac:dyDescent="0.75">
      <c r="A132" s="175" t="s">
        <v>315</v>
      </c>
      <c r="B132" s="15">
        <v>48</v>
      </c>
      <c r="C132" s="15" t="s">
        <v>163</v>
      </c>
      <c r="E132" s="3" t="s">
        <v>316</v>
      </c>
    </row>
    <row r="133" spans="1:5" x14ac:dyDescent="0.75">
      <c r="A133" s="175" t="s">
        <v>317</v>
      </c>
      <c r="B133" s="15">
        <f>Q188</f>
        <v>0.121278</v>
      </c>
      <c r="C133" s="15" t="s">
        <v>130</v>
      </c>
      <c r="E133" s="3" t="s">
        <v>316</v>
      </c>
    </row>
    <row r="134" spans="1:5" x14ac:dyDescent="0.75">
      <c r="A134" s="175" t="s">
        <v>318</v>
      </c>
      <c r="B134" s="15">
        <v>1400</v>
      </c>
      <c r="C134" s="15" t="s">
        <v>302</v>
      </c>
      <c r="E134" s="3" t="s">
        <v>316</v>
      </c>
    </row>
    <row r="135" spans="1:5" x14ac:dyDescent="0.75">
      <c r="A135" s="175" t="s">
        <v>319</v>
      </c>
      <c r="B135" s="15">
        <v>0.61</v>
      </c>
      <c r="C135" s="15" t="s">
        <v>163</v>
      </c>
      <c r="E135" s="3" t="s">
        <v>320</v>
      </c>
    </row>
    <row r="136" spans="1:5" x14ac:dyDescent="0.75">
      <c r="A136" s="175" t="s">
        <v>321</v>
      </c>
      <c r="B136" s="15">
        <f>Q189</f>
        <v>5.4000000000000001E-4</v>
      </c>
      <c r="C136" s="15" t="s">
        <v>130</v>
      </c>
      <c r="E136" s="3" t="s">
        <v>320</v>
      </c>
    </row>
    <row r="137" spans="1:5" x14ac:dyDescent="0.75">
      <c r="A137" s="175" t="s">
        <v>322</v>
      </c>
      <c r="B137" s="15">
        <v>0</v>
      </c>
      <c r="C137" s="15" t="s">
        <v>302</v>
      </c>
      <c r="D137" t="s">
        <v>323</v>
      </c>
      <c r="E137" s="3" t="s">
        <v>320</v>
      </c>
    </row>
    <row r="138" spans="1:5" x14ac:dyDescent="0.75">
      <c r="A138" s="175" t="s">
        <v>324</v>
      </c>
      <c r="B138" s="15">
        <f>G190</f>
        <v>71.679999999999993</v>
      </c>
      <c r="C138" s="15" t="s">
        <v>163</v>
      </c>
      <c r="E138" s="3" t="s">
        <v>325</v>
      </c>
    </row>
    <row r="139" spans="1:5" x14ac:dyDescent="0.75">
      <c r="A139" s="175" t="s">
        <v>326</v>
      </c>
      <c r="B139" s="15">
        <f>Q190</f>
        <v>0.11222159999999999</v>
      </c>
      <c r="C139" s="15" t="s">
        <v>130</v>
      </c>
      <c r="E139" s="3" t="s">
        <v>325</v>
      </c>
    </row>
    <row r="140" spans="1:5" x14ac:dyDescent="0.75">
      <c r="A140" s="175" t="s">
        <v>327</v>
      </c>
      <c r="B140" s="15">
        <v>950</v>
      </c>
      <c r="C140" s="15" t="s">
        <v>302</v>
      </c>
      <c r="E140" s="3" t="s">
        <v>325</v>
      </c>
    </row>
    <row r="141" spans="1:5" x14ac:dyDescent="0.75">
      <c r="A141" s="175" t="s">
        <v>328</v>
      </c>
      <c r="B141" s="15">
        <f>B19*Assumptions!B7</f>
        <v>172</v>
      </c>
      <c r="C141" s="15" t="s">
        <v>117</v>
      </c>
      <c r="E141" s="3"/>
    </row>
    <row r="142" spans="1:5" x14ac:dyDescent="0.75">
      <c r="A142" s="175" t="s">
        <v>329</v>
      </c>
      <c r="B142" s="15">
        <f>B141*(B103/1000)</f>
        <v>7.5250000000000011E-2</v>
      </c>
      <c r="C142" s="15" t="s">
        <v>163</v>
      </c>
      <c r="E142" s="3"/>
    </row>
    <row r="143" spans="1:5" x14ac:dyDescent="0.75">
      <c r="A143" s="175" t="s">
        <v>330</v>
      </c>
      <c r="B143" s="15">
        <f>B141*B95</f>
        <v>3.0100000000000002</v>
      </c>
      <c r="C143" s="15" t="s">
        <v>261</v>
      </c>
      <c r="E143" s="3"/>
    </row>
    <row r="144" spans="1:5" x14ac:dyDescent="0.75">
      <c r="A144" s="175" t="s">
        <v>331</v>
      </c>
      <c r="B144" s="15">
        <f>ROUNDUP(B143/D182,)</f>
        <v>2</v>
      </c>
      <c r="C144" s="15" t="s">
        <v>117</v>
      </c>
      <c r="E144" s="3"/>
    </row>
    <row r="145" spans="1:22" x14ac:dyDescent="0.75">
      <c r="A145" s="175" t="s">
        <v>332</v>
      </c>
      <c r="B145" s="15">
        <f>B81*2</f>
        <v>172</v>
      </c>
      <c r="C145" s="15" t="s">
        <v>117</v>
      </c>
      <c r="E145" s="3"/>
    </row>
    <row r="146" spans="1:22" x14ac:dyDescent="0.75">
      <c r="A146" s="175" t="s">
        <v>333</v>
      </c>
      <c r="B146" s="15">
        <f>$B$141*B96</f>
        <v>12.900000000000002</v>
      </c>
      <c r="C146" s="15" t="s">
        <v>261</v>
      </c>
      <c r="E146" s="3"/>
    </row>
    <row r="147" spans="1:22" x14ac:dyDescent="0.75">
      <c r="A147" s="175" t="s">
        <v>334</v>
      </c>
      <c r="B147" s="15">
        <f>$B$141*B97</f>
        <v>86</v>
      </c>
      <c r="C147" s="15" t="s">
        <v>261</v>
      </c>
      <c r="E147" s="3"/>
    </row>
    <row r="148" spans="1:22" x14ac:dyDescent="0.75">
      <c r="A148" s="175" t="s">
        <v>335</v>
      </c>
      <c r="B148" s="15">
        <f>$B$141*B98</f>
        <v>172</v>
      </c>
      <c r="C148" s="15" t="s">
        <v>261</v>
      </c>
      <c r="E148" s="3"/>
    </row>
    <row r="149" spans="1:22" x14ac:dyDescent="0.75">
      <c r="A149" s="175" t="s">
        <v>336</v>
      </c>
      <c r="B149" s="15">
        <f>$B$141*B99</f>
        <v>1.7200000000000002E-3</v>
      </c>
      <c r="C149" s="15" t="s">
        <v>261</v>
      </c>
      <c r="E149" s="3"/>
    </row>
    <row r="150" spans="1:22" x14ac:dyDescent="0.75">
      <c r="A150" s="175" t="s">
        <v>337</v>
      </c>
      <c r="B150" s="15">
        <f>ROUNDUP(B146/D179,)</f>
        <v>1</v>
      </c>
      <c r="C150" s="15" t="s">
        <v>117</v>
      </c>
      <c r="E150" s="3"/>
    </row>
    <row r="151" spans="1:22" x14ac:dyDescent="0.75">
      <c r="A151" s="175" t="s">
        <v>338</v>
      </c>
      <c r="B151" s="15">
        <f>ROUNDUP(B147/D180,)</f>
        <v>2</v>
      </c>
      <c r="C151" s="15" t="s">
        <v>117</v>
      </c>
      <c r="E151" s="3"/>
    </row>
    <row r="152" spans="1:22" x14ac:dyDescent="0.75">
      <c r="A152" s="175" t="s">
        <v>339</v>
      </c>
      <c r="B152" s="15">
        <f>ROUNDUP(B148/D181,)</f>
        <v>4</v>
      </c>
      <c r="C152" s="15" t="s">
        <v>117</v>
      </c>
      <c r="E152" s="3"/>
    </row>
    <row r="153" spans="1:22" x14ac:dyDescent="0.75">
      <c r="A153" s="175" t="s">
        <v>340</v>
      </c>
      <c r="B153" s="15">
        <f>ROUNDUP(B149/D182,)</f>
        <v>1</v>
      </c>
      <c r="C153" s="15" t="s">
        <v>117</v>
      </c>
      <c r="E153" s="3"/>
    </row>
    <row r="154" spans="1:22" x14ac:dyDescent="0.75">
      <c r="A154" s="175" t="s">
        <v>341</v>
      </c>
      <c r="B154" s="15">
        <f>(B145*B102)/1000</f>
        <v>11.3391</v>
      </c>
      <c r="C154" s="15" t="s">
        <v>249</v>
      </c>
      <c r="E154" s="3"/>
    </row>
    <row r="155" spans="1:22" x14ac:dyDescent="0.75">
      <c r="A155" s="38" t="s">
        <v>553</v>
      </c>
      <c r="B155" s="15">
        <f>ROUNDUP(((SUM(E236:E241,E243))/B117),)</f>
        <v>1</v>
      </c>
      <c r="C155" s="15" t="s">
        <v>117</v>
      </c>
      <c r="E155" s="3"/>
    </row>
    <row r="156" spans="1:22" ht="15" customHeight="1" thickBot="1" x14ac:dyDescent="0.9">
      <c r="A156" s="194" t="s">
        <v>342</v>
      </c>
      <c r="B156" s="70">
        <f>ROUNDUP(B142/G168,)</f>
        <v>1</v>
      </c>
      <c r="C156" s="70" t="s">
        <v>117</v>
      </c>
      <c r="D156" s="48"/>
      <c r="E156" s="7"/>
    </row>
    <row r="157" spans="1:22" ht="15" customHeight="1" thickBot="1" x14ac:dyDescent="0.9">
      <c r="A157" s="33"/>
      <c r="B157" s="15"/>
      <c r="C157" s="39"/>
      <c r="D157" s="38"/>
      <c r="E157" s="38"/>
    </row>
    <row r="158" spans="1:22" x14ac:dyDescent="0.75">
      <c r="A158" s="263" t="s">
        <v>168</v>
      </c>
      <c r="B158" s="266"/>
      <c r="C158" s="266"/>
      <c r="D158" s="267"/>
      <c r="E158" s="267"/>
      <c r="F158" s="267"/>
      <c r="G158" s="267"/>
      <c r="H158" s="267"/>
      <c r="I158" s="267"/>
      <c r="J158" s="267"/>
      <c r="K158" s="267"/>
      <c r="L158" s="267"/>
      <c r="M158" s="267"/>
      <c r="N158" s="267"/>
      <c r="O158" s="267"/>
      <c r="P158" s="267"/>
      <c r="Q158" s="267"/>
      <c r="R158" s="267"/>
      <c r="S158" s="267"/>
      <c r="T158" s="267"/>
      <c r="U158" s="267"/>
      <c r="V158" s="268"/>
    </row>
    <row r="159" spans="1:22" ht="15" customHeight="1" thickBot="1" x14ac:dyDescent="0.9">
      <c r="A159" s="277" t="s">
        <v>169</v>
      </c>
      <c r="B159" s="278" t="s">
        <v>343</v>
      </c>
      <c r="C159" s="278" t="s">
        <v>3</v>
      </c>
      <c r="D159" s="278" t="s">
        <v>527</v>
      </c>
      <c r="E159" s="278" t="s">
        <v>344</v>
      </c>
      <c r="F159" s="278" t="s">
        <v>117</v>
      </c>
      <c r="G159" s="278" t="s">
        <v>33</v>
      </c>
      <c r="H159" s="278"/>
      <c r="I159" s="278" t="s">
        <v>171</v>
      </c>
      <c r="J159" s="278" t="s">
        <v>249</v>
      </c>
      <c r="K159" s="278" t="s">
        <v>345</v>
      </c>
      <c r="L159" s="278" t="s">
        <v>346</v>
      </c>
      <c r="M159" s="278" t="s">
        <v>117</v>
      </c>
      <c r="N159" s="278" t="s">
        <v>175</v>
      </c>
      <c r="O159" s="278" t="s">
        <v>176</v>
      </c>
      <c r="P159" s="278" t="s">
        <v>177</v>
      </c>
      <c r="Q159" s="278" t="s">
        <v>520</v>
      </c>
      <c r="R159" s="278"/>
      <c r="S159" s="278" t="s">
        <v>114</v>
      </c>
      <c r="T159" s="307"/>
      <c r="U159" s="278" t="s">
        <v>347</v>
      </c>
      <c r="V159" s="279" t="s">
        <v>348</v>
      </c>
    </row>
    <row r="160" spans="1:22" x14ac:dyDescent="0.75">
      <c r="A160" s="115" t="s">
        <v>349</v>
      </c>
      <c r="B160" s="105"/>
      <c r="C160" s="105"/>
      <c r="D160" s="105"/>
      <c r="E160" s="105">
        <v>1.121</v>
      </c>
      <c r="F160" s="105" t="s">
        <v>278</v>
      </c>
      <c r="G160" s="105">
        <f t="shared" ref="G160:G184" si="0">E160/1000</f>
        <v>1.121E-3</v>
      </c>
      <c r="H160" s="105"/>
      <c r="I160" s="105" t="s">
        <v>350</v>
      </c>
      <c r="J160" s="105"/>
      <c r="K160" s="105">
        <v>1.2</v>
      </c>
      <c r="L160" s="105">
        <v>4.2</v>
      </c>
      <c r="M160" s="105" t="s">
        <v>351</v>
      </c>
      <c r="N160" s="105">
        <f t="shared" ref="N160:P165" si="1">J160/100</f>
        <v>0</v>
      </c>
      <c r="O160" s="105">
        <f t="shared" si="1"/>
        <v>1.2E-2</v>
      </c>
      <c r="P160" s="105">
        <f t="shared" si="1"/>
        <v>4.2000000000000003E-2</v>
      </c>
      <c r="Q160" s="105">
        <f>PI()*((O160/2)^2)*P160</f>
        <v>4.7500880922277672E-6</v>
      </c>
      <c r="R160" s="116"/>
      <c r="S160" s="116"/>
      <c r="T160" s="116"/>
      <c r="U160" s="116">
        <v>2.54</v>
      </c>
      <c r="V160" s="87">
        <v>2.2050000000000001</v>
      </c>
    </row>
    <row r="161" spans="1:22" x14ac:dyDescent="0.75">
      <c r="A161" s="83" t="s">
        <v>352</v>
      </c>
      <c r="B161" s="15"/>
      <c r="C161" s="15"/>
      <c r="D161" s="15"/>
      <c r="E161" s="15">
        <v>6.1769999999999996</v>
      </c>
      <c r="F161" s="15" t="s">
        <v>278</v>
      </c>
      <c r="G161" s="15">
        <f t="shared" si="0"/>
        <v>6.1769999999999993E-3</v>
      </c>
      <c r="H161" s="15"/>
      <c r="I161" s="15" t="s">
        <v>350</v>
      </c>
      <c r="J161" s="15"/>
      <c r="K161" s="15">
        <v>2.1</v>
      </c>
      <c r="L161" s="15">
        <v>12</v>
      </c>
      <c r="M161" s="15" t="s">
        <v>351</v>
      </c>
      <c r="N161" s="15">
        <f t="shared" si="1"/>
        <v>0</v>
      </c>
      <c r="O161" s="15">
        <f t="shared" si="1"/>
        <v>2.1000000000000001E-2</v>
      </c>
      <c r="P161" s="15">
        <f t="shared" si="1"/>
        <v>0.12</v>
      </c>
      <c r="Q161" s="15">
        <f>PI()*((O161/2)^2)*P161</f>
        <v>4.1563270806992968E-5</v>
      </c>
      <c r="V161" s="3"/>
    </row>
    <row r="162" spans="1:22" x14ac:dyDescent="0.75">
      <c r="A162" s="83" t="s">
        <v>353</v>
      </c>
      <c r="B162" s="15"/>
      <c r="C162" s="15"/>
      <c r="D162" s="15"/>
      <c r="E162" s="15">
        <v>347.7</v>
      </c>
      <c r="F162" s="15" t="s">
        <v>278</v>
      </c>
      <c r="G162" s="15">
        <f t="shared" si="0"/>
        <v>0.34770000000000001</v>
      </c>
      <c r="H162" s="15"/>
      <c r="I162" s="15" t="s">
        <v>354</v>
      </c>
      <c r="J162" s="15">
        <v>24</v>
      </c>
      <c r="K162" s="15">
        <v>13</v>
      </c>
      <c r="L162" s="15">
        <v>7</v>
      </c>
      <c r="M162" s="15" t="s">
        <v>351</v>
      </c>
      <c r="N162" s="15">
        <f t="shared" si="1"/>
        <v>0.24</v>
      </c>
      <c r="O162" s="15">
        <f t="shared" si="1"/>
        <v>0.13</v>
      </c>
      <c r="P162" s="15">
        <f t="shared" si="1"/>
        <v>7.0000000000000007E-2</v>
      </c>
      <c r="Q162" s="15">
        <f>N162*O162*P162</f>
        <v>2.1840000000000002E-3</v>
      </c>
      <c r="V162" s="3"/>
    </row>
    <row r="163" spans="1:22" x14ac:dyDescent="0.75">
      <c r="A163" s="83" t="s">
        <v>355</v>
      </c>
      <c r="B163" s="15"/>
      <c r="C163" s="15"/>
      <c r="D163" s="15"/>
      <c r="E163" s="15">
        <v>13.041</v>
      </c>
      <c r="F163" s="15" t="s">
        <v>278</v>
      </c>
      <c r="G163" s="15">
        <f t="shared" si="0"/>
        <v>1.3041000000000001E-2</v>
      </c>
      <c r="H163" s="15"/>
      <c r="I163" s="15" t="s">
        <v>350</v>
      </c>
      <c r="J163" s="15"/>
      <c r="K163" s="15">
        <v>3.4</v>
      </c>
      <c r="L163" s="15">
        <v>11.6</v>
      </c>
      <c r="M163" s="15" t="s">
        <v>351</v>
      </c>
      <c r="N163" s="15">
        <f t="shared" si="1"/>
        <v>0</v>
      </c>
      <c r="O163" s="15">
        <f t="shared" si="1"/>
        <v>3.4000000000000002E-2</v>
      </c>
      <c r="P163" s="15">
        <f t="shared" si="1"/>
        <v>0.11599999999999999</v>
      </c>
      <c r="Q163" s="15">
        <f>PI()*((O163/2)^2)*P163</f>
        <v>1.0531875211894423E-4</v>
      </c>
      <c r="V163" s="3"/>
    </row>
    <row r="164" spans="1:22" x14ac:dyDescent="0.75">
      <c r="A164" s="83" t="s">
        <v>356</v>
      </c>
      <c r="B164" s="15"/>
      <c r="C164" s="15"/>
      <c r="D164" s="15"/>
      <c r="E164" s="15">
        <v>338.6</v>
      </c>
      <c r="F164" s="15" t="s">
        <v>278</v>
      </c>
      <c r="G164" s="15">
        <f t="shared" si="0"/>
        <v>0.33860000000000001</v>
      </c>
      <c r="H164" s="15"/>
      <c r="I164" s="15" t="s">
        <v>354</v>
      </c>
      <c r="J164" s="15">
        <v>28</v>
      </c>
      <c r="K164" s="15">
        <v>14</v>
      </c>
      <c r="L164" s="15">
        <v>7</v>
      </c>
      <c r="M164" s="15" t="s">
        <v>351</v>
      </c>
      <c r="N164" s="15">
        <f t="shared" si="1"/>
        <v>0.28000000000000003</v>
      </c>
      <c r="O164" s="15">
        <f t="shared" si="1"/>
        <v>0.14000000000000001</v>
      </c>
      <c r="P164" s="15">
        <f t="shared" si="1"/>
        <v>7.0000000000000007E-2</v>
      </c>
      <c r="Q164" s="15">
        <f>N164*O164*P164</f>
        <v>2.7440000000000008E-3</v>
      </c>
      <c r="V164" s="3"/>
    </row>
    <row r="165" spans="1:22" x14ac:dyDescent="0.75">
      <c r="A165" s="83" t="s">
        <v>357</v>
      </c>
      <c r="B165" s="15"/>
      <c r="C165" s="15"/>
      <c r="D165" s="15"/>
      <c r="E165" s="15">
        <v>152.19999999999999</v>
      </c>
      <c r="F165" s="15" t="s">
        <v>278</v>
      </c>
      <c r="G165" s="15">
        <f t="shared" si="0"/>
        <v>0.1522</v>
      </c>
      <c r="H165" s="15"/>
      <c r="I165" s="15" t="s">
        <v>350</v>
      </c>
      <c r="J165" s="15"/>
      <c r="K165" s="15">
        <v>9</v>
      </c>
      <c r="L165" s="15">
        <v>22</v>
      </c>
      <c r="M165" s="15" t="s">
        <v>351</v>
      </c>
      <c r="N165" s="15">
        <f t="shared" si="1"/>
        <v>0</v>
      </c>
      <c r="O165" s="15">
        <f t="shared" si="1"/>
        <v>0.09</v>
      </c>
      <c r="P165" s="15">
        <f t="shared" si="1"/>
        <v>0.22</v>
      </c>
      <c r="Q165" s="15">
        <f>PI()*((O165/2)^2)*P165</f>
        <v>1.3995795271742528E-3</v>
      </c>
      <c r="V165" s="3"/>
    </row>
    <row r="166" spans="1:22" x14ac:dyDescent="0.75">
      <c r="A166" s="83" t="s">
        <v>358</v>
      </c>
      <c r="B166" s="15"/>
      <c r="C166" s="15"/>
      <c r="D166" s="15"/>
      <c r="E166" s="15">
        <v>2.3517999999999999</v>
      </c>
      <c r="F166" s="15" t="s">
        <v>278</v>
      </c>
      <c r="G166" s="15">
        <f t="shared" si="0"/>
        <v>2.3517999999999998E-3</v>
      </c>
      <c r="H166" s="15"/>
      <c r="I166" s="15"/>
      <c r="J166" s="15"/>
      <c r="K166" s="15"/>
      <c r="L166" s="15"/>
      <c r="M166" s="15"/>
      <c r="N166" s="15"/>
      <c r="O166" s="15"/>
      <c r="P166" s="15"/>
      <c r="Q166" s="15">
        <v>7.1000000000000002E-4</v>
      </c>
      <c r="V166" s="3"/>
    </row>
    <row r="167" spans="1:22" x14ac:dyDescent="0.75">
      <c r="A167" s="83" t="s">
        <v>359</v>
      </c>
      <c r="B167" s="15">
        <f>1+0.025</f>
        <v>1.0249999999999999</v>
      </c>
      <c r="C167" s="15" t="s">
        <v>244</v>
      </c>
      <c r="D167" s="15">
        <v>1000</v>
      </c>
      <c r="E167" s="15">
        <f>B167*D167</f>
        <v>1025</v>
      </c>
      <c r="F167" s="15" t="s">
        <v>278</v>
      </c>
      <c r="G167" s="15">
        <f t="shared" si="0"/>
        <v>1.0249999999999999</v>
      </c>
      <c r="H167" s="15"/>
      <c r="I167" s="195" t="s">
        <v>360</v>
      </c>
      <c r="J167" s="15"/>
      <c r="K167" s="15"/>
      <c r="L167" s="15"/>
      <c r="M167" s="15"/>
      <c r="N167" s="15">
        <f t="shared" ref="N167:N175" si="2">J167/100</f>
        <v>0</v>
      </c>
      <c r="O167" s="15">
        <f t="shared" ref="O167:O175" si="3">K167/100</f>
        <v>0</v>
      </c>
      <c r="P167" s="15">
        <f t="shared" ref="P167:P175" si="4">L167/100</f>
        <v>0</v>
      </c>
      <c r="Q167" s="15">
        <v>0</v>
      </c>
      <c r="S167" s="251" t="s">
        <v>361</v>
      </c>
      <c r="V167" s="3"/>
    </row>
    <row r="168" spans="1:22" x14ac:dyDescent="0.75">
      <c r="A168" s="83" t="s">
        <v>362</v>
      </c>
      <c r="B168" s="15">
        <f>0.5+(2*2.16)+(2*0.49)</f>
        <v>5.8000000000000007</v>
      </c>
      <c r="C168" s="15" t="s">
        <v>244</v>
      </c>
      <c r="D168" s="15">
        <v>710</v>
      </c>
      <c r="E168" s="15">
        <f>B168*D168</f>
        <v>4118.0000000000009</v>
      </c>
      <c r="F168" s="15" t="s">
        <v>278</v>
      </c>
      <c r="G168" s="15">
        <f t="shared" si="0"/>
        <v>4.1180000000000012</v>
      </c>
      <c r="H168" s="15"/>
      <c r="I168" s="195" t="s">
        <v>360</v>
      </c>
      <c r="J168" s="15"/>
      <c r="K168" s="15"/>
      <c r="L168" s="15"/>
      <c r="M168" s="15"/>
      <c r="N168" s="15">
        <f t="shared" si="2"/>
        <v>0</v>
      </c>
      <c r="O168" s="15">
        <f t="shared" si="3"/>
        <v>0</v>
      </c>
      <c r="P168" s="15">
        <f t="shared" si="4"/>
        <v>0</v>
      </c>
      <c r="Q168" s="15">
        <v>1</v>
      </c>
      <c r="S168" s="251"/>
      <c r="V168" s="3"/>
    </row>
    <row r="169" spans="1:22" x14ac:dyDescent="0.75">
      <c r="A169" s="83" t="s">
        <v>363</v>
      </c>
      <c r="B169" s="15"/>
      <c r="C169" s="15"/>
      <c r="D169" s="15"/>
      <c r="E169" s="15">
        <v>4.9250999999999996</v>
      </c>
      <c r="F169" s="15" t="s">
        <v>278</v>
      </c>
      <c r="G169" s="15">
        <f t="shared" si="0"/>
        <v>4.9251E-3</v>
      </c>
      <c r="H169" s="15"/>
      <c r="I169" s="15" t="s">
        <v>350</v>
      </c>
      <c r="J169" s="15"/>
      <c r="K169" s="15">
        <v>2</v>
      </c>
      <c r="L169" s="15">
        <v>9.8000000000000007</v>
      </c>
      <c r="M169" s="15" t="s">
        <v>351</v>
      </c>
      <c r="N169" s="15">
        <f t="shared" si="2"/>
        <v>0</v>
      </c>
      <c r="O169" s="15">
        <f t="shared" si="3"/>
        <v>0.02</v>
      </c>
      <c r="P169" s="15">
        <f t="shared" si="4"/>
        <v>9.8000000000000004E-2</v>
      </c>
      <c r="Q169" s="15">
        <f>PI()*((O169/2)^2)*P169</f>
        <v>3.0787608005179971E-5</v>
      </c>
      <c r="V169" s="3"/>
    </row>
    <row r="170" spans="1:22" x14ac:dyDescent="0.75">
      <c r="A170" s="83" t="s">
        <v>364</v>
      </c>
      <c r="B170" s="15"/>
      <c r="C170" s="15"/>
      <c r="D170" s="15"/>
      <c r="E170" s="15">
        <v>329</v>
      </c>
      <c r="F170" s="15" t="s">
        <v>278</v>
      </c>
      <c r="G170" s="15">
        <f t="shared" si="0"/>
        <v>0.32900000000000001</v>
      </c>
      <c r="H170" s="15"/>
      <c r="I170" s="15" t="s">
        <v>350</v>
      </c>
      <c r="J170" s="15"/>
      <c r="K170" s="15">
        <v>12</v>
      </c>
      <c r="L170" s="15">
        <v>21</v>
      </c>
      <c r="M170" s="15" t="s">
        <v>351</v>
      </c>
      <c r="N170" s="15">
        <f t="shared" si="2"/>
        <v>0</v>
      </c>
      <c r="O170" s="15">
        <f t="shared" si="3"/>
        <v>0.12</v>
      </c>
      <c r="P170" s="15">
        <f t="shared" si="4"/>
        <v>0.21</v>
      </c>
      <c r="Q170" s="15">
        <f>PI()*((O170/2)^2)*P170</f>
        <v>2.3750440461138833E-3</v>
      </c>
      <c r="S170" t="s">
        <v>365</v>
      </c>
      <c r="V170" s="3"/>
    </row>
    <row r="171" spans="1:22" x14ac:dyDescent="0.75">
      <c r="A171" s="83" t="s">
        <v>366</v>
      </c>
      <c r="B171" s="15"/>
      <c r="C171" s="15"/>
      <c r="D171" s="15"/>
      <c r="E171" s="15">
        <v>26.187000000000001</v>
      </c>
      <c r="F171" s="15" t="s">
        <v>278</v>
      </c>
      <c r="G171" s="15">
        <f t="shared" si="0"/>
        <v>2.6187000000000002E-2</v>
      </c>
      <c r="H171" s="15"/>
      <c r="I171" s="15" t="s">
        <v>350</v>
      </c>
      <c r="J171" s="15">
        <v>6.4</v>
      </c>
      <c r="K171" s="15">
        <v>4</v>
      </c>
      <c r="L171" s="15">
        <v>2.5</v>
      </c>
      <c r="M171" s="15" t="s">
        <v>351</v>
      </c>
      <c r="N171" s="15">
        <f t="shared" si="2"/>
        <v>6.4000000000000001E-2</v>
      </c>
      <c r="O171" s="15">
        <f t="shared" si="3"/>
        <v>0.04</v>
      </c>
      <c r="P171" s="15">
        <f t="shared" si="4"/>
        <v>2.5000000000000001E-2</v>
      </c>
      <c r="Q171" s="15">
        <f>N171*O171*P171</f>
        <v>6.4000000000000011E-5</v>
      </c>
      <c r="V171" s="3"/>
    </row>
    <row r="172" spans="1:22" x14ac:dyDescent="0.75">
      <c r="A172" s="83" t="s">
        <v>367</v>
      </c>
      <c r="B172" s="15"/>
      <c r="C172" s="15"/>
      <c r="D172" s="15"/>
      <c r="E172" s="15">
        <v>577</v>
      </c>
      <c r="F172" s="15" t="s">
        <v>278</v>
      </c>
      <c r="G172" s="15">
        <f t="shared" si="0"/>
        <v>0.57699999999999996</v>
      </c>
      <c r="H172" s="15"/>
      <c r="I172" s="15" t="s">
        <v>350</v>
      </c>
      <c r="J172" s="15"/>
      <c r="K172" s="15">
        <v>10</v>
      </c>
      <c r="L172" s="15">
        <v>23</v>
      </c>
      <c r="M172" s="15" t="s">
        <v>351</v>
      </c>
      <c r="N172" s="15">
        <f t="shared" si="2"/>
        <v>0</v>
      </c>
      <c r="O172" s="15">
        <f t="shared" si="3"/>
        <v>0.1</v>
      </c>
      <c r="P172" s="15">
        <f t="shared" si="4"/>
        <v>0.23</v>
      </c>
      <c r="Q172" s="15">
        <f>PI()*((O172/2)^2)*P172</f>
        <v>1.8064157758141313E-3</v>
      </c>
      <c r="V172" s="3"/>
    </row>
    <row r="173" spans="1:22" x14ac:dyDescent="0.75">
      <c r="A173" s="83" t="s">
        <v>368</v>
      </c>
      <c r="B173" s="15"/>
      <c r="C173" s="15"/>
      <c r="D173" s="15"/>
      <c r="E173" s="15">
        <v>117</v>
      </c>
      <c r="F173" s="15" t="s">
        <v>278</v>
      </c>
      <c r="G173" s="15">
        <f t="shared" si="0"/>
        <v>0.11700000000000001</v>
      </c>
      <c r="H173" s="15"/>
      <c r="I173" s="15" t="s">
        <v>350</v>
      </c>
      <c r="J173" s="15"/>
      <c r="K173" s="15">
        <v>13</v>
      </c>
      <c r="L173" s="15">
        <v>15</v>
      </c>
      <c r="M173" s="15" t="s">
        <v>351</v>
      </c>
      <c r="N173" s="15">
        <f t="shared" si="2"/>
        <v>0</v>
      </c>
      <c r="O173" s="15">
        <f t="shared" si="3"/>
        <v>0.13</v>
      </c>
      <c r="P173" s="15">
        <f t="shared" si="4"/>
        <v>0.15</v>
      </c>
      <c r="Q173" s="15">
        <f>PI()*((O173/2)^2)*P173</f>
        <v>1.9909843442125316E-3</v>
      </c>
      <c r="V173" s="3"/>
    </row>
    <row r="174" spans="1:22" x14ac:dyDescent="0.75">
      <c r="A174" s="175" t="s">
        <v>369</v>
      </c>
      <c r="B174" s="15">
        <v>1.0069999999999999</v>
      </c>
      <c r="C174" s="15" t="s">
        <v>244</v>
      </c>
      <c r="D174" s="15">
        <v>2</v>
      </c>
      <c r="E174" s="15">
        <f>B174*D174</f>
        <v>2.0139999999999998</v>
      </c>
      <c r="F174" s="15" t="s">
        <v>278</v>
      </c>
      <c r="G174" s="15">
        <f t="shared" si="0"/>
        <v>2.0139999999999997E-3</v>
      </c>
      <c r="H174" s="15"/>
      <c r="I174" s="195" t="s">
        <v>360</v>
      </c>
      <c r="J174" s="15"/>
      <c r="K174" s="15"/>
      <c r="L174" s="15"/>
      <c r="M174" s="15"/>
      <c r="N174" s="15">
        <f t="shared" si="2"/>
        <v>0</v>
      </c>
      <c r="O174" s="15">
        <f t="shared" si="3"/>
        <v>0</v>
      </c>
      <c r="P174" s="15">
        <f t="shared" si="4"/>
        <v>0</v>
      </c>
      <c r="Q174" s="15">
        <v>0</v>
      </c>
      <c r="S174" t="s">
        <v>370</v>
      </c>
      <c r="V174" s="3"/>
    </row>
    <row r="175" spans="1:22" x14ac:dyDescent="0.75">
      <c r="A175" s="83" t="s">
        <v>371</v>
      </c>
      <c r="B175" s="15"/>
      <c r="C175" s="15"/>
      <c r="D175" s="15"/>
      <c r="E175" s="15">
        <v>10.61</v>
      </c>
      <c r="F175" s="15" t="s">
        <v>278</v>
      </c>
      <c r="G175" s="15">
        <f t="shared" si="0"/>
        <v>1.061E-2</v>
      </c>
      <c r="H175" s="15"/>
      <c r="I175" s="15" t="s">
        <v>354</v>
      </c>
      <c r="J175" s="15">
        <v>16</v>
      </c>
      <c r="K175" s="15">
        <v>1.6</v>
      </c>
      <c r="L175" s="15">
        <v>0.7</v>
      </c>
      <c r="M175" s="15" t="s">
        <v>351</v>
      </c>
      <c r="N175" s="15">
        <f t="shared" si="2"/>
        <v>0.16</v>
      </c>
      <c r="O175" s="15">
        <f t="shared" si="3"/>
        <v>1.6E-2</v>
      </c>
      <c r="P175" s="15">
        <f t="shared" si="4"/>
        <v>6.9999999999999993E-3</v>
      </c>
      <c r="Q175" s="15">
        <f>N175*O175*P175</f>
        <v>1.7920000000000001E-5</v>
      </c>
      <c r="V175" s="3"/>
    </row>
    <row r="176" spans="1:22" x14ac:dyDescent="0.75">
      <c r="A176" s="83" t="s">
        <v>372</v>
      </c>
      <c r="B176" s="15"/>
      <c r="C176" s="15"/>
      <c r="D176" s="15"/>
      <c r="E176" s="15">
        <f>2740.3+246.5</f>
        <v>2986.8</v>
      </c>
      <c r="F176" s="15" t="s">
        <v>278</v>
      </c>
      <c r="G176" s="15">
        <f t="shared" si="0"/>
        <v>2.9868000000000001</v>
      </c>
      <c r="H176" s="15"/>
      <c r="I176" s="15" t="s">
        <v>350</v>
      </c>
      <c r="J176" s="15"/>
      <c r="K176" s="15">
        <v>13.5</v>
      </c>
      <c r="L176" s="15">
        <v>13</v>
      </c>
      <c r="M176" s="15" t="s">
        <v>181</v>
      </c>
      <c r="N176" s="15">
        <f>J176/100</f>
        <v>0</v>
      </c>
      <c r="O176" s="15">
        <f>(K176*$U$160)/100</f>
        <v>0.34289999999999998</v>
      </c>
      <c r="P176" s="15">
        <f>(L176*$U$160)/100</f>
        <v>0.33020000000000005</v>
      </c>
      <c r="Q176" s="15">
        <f>PI()*((O176/2)^2)*P176</f>
        <v>3.049312404923436E-2</v>
      </c>
      <c r="V176" s="3"/>
    </row>
    <row r="177" spans="1:22" x14ac:dyDescent="0.75">
      <c r="A177" s="83" t="s">
        <v>373</v>
      </c>
      <c r="B177" s="15"/>
      <c r="C177" s="15"/>
      <c r="D177" s="15"/>
      <c r="E177" s="15">
        <v>2.0125000000000002</v>
      </c>
      <c r="F177" s="15" t="s">
        <v>278</v>
      </c>
      <c r="G177" s="15">
        <f t="shared" si="0"/>
        <v>2.0125E-3</v>
      </c>
      <c r="H177" s="15"/>
      <c r="I177" s="15" t="s">
        <v>350</v>
      </c>
      <c r="J177" s="15"/>
      <c r="K177" s="15">
        <v>1.1000000000000001</v>
      </c>
      <c r="L177" s="15">
        <v>4.9000000000000004</v>
      </c>
      <c r="M177" s="15" t="s">
        <v>351</v>
      </c>
      <c r="N177" s="15">
        <f>J177/100</f>
        <v>0</v>
      </c>
      <c r="O177" s="15">
        <f>K177/100</f>
        <v>1.1000000000000001E-2</v>
      </c>
      <c r="P177" s="15">
        <f>L177/100</f>
        <v>4.9000000000000002E-2</v>
      </c>
      <c r="Q177" s="15">
        <f>PI()*((O177/2)^2)*P177</f>
        <v>4.6566257107834723E-6</v>
      </c>
      <c r="V177" s="3"/>
    </row>
    <row r="178" spans="1:22" x14ac:dyDescent="0.75">
      <c r="A178" s="83" t="s">
        <v>374</v>
      </c>
      <c r="B178" s="15">
        <f>0.5*1+0.5*1.1</f>
        <v>1.05</v>
      </c>
      <c r="C178" s="15" t="s">
        <v>244</v>
      </c>
      <c r="D178" s="15">
        <v>2</v>
      </c>
      <c r="E178" s="15">
        <f>B178*D178</f>
        <v>2.1</v>
      </c>
      <c r="F178" s="15" t="s">
        <v>278</v>
      </c>
      <c r="G178" s="15">
        <f t="shared" si="0"/>
        <v>2.1000000000000003E-3</v>
      </c>
      <c r="H178" s="15"/>
      <c r="I178" s="195" t="s">
        <v>360</v>
      </c>
      <c r="J178" s="15"/>
      <c r="K178" s="15"/>
      <c r="L178" s="15"/>
      <c r="M178" s="15"/>
      <c r="N178" s="15">
        <v>0</v>
      </c>
      <c r="O178" s="15">
        <v>0</v>
      </c>
      <c r="P178" s="15">
        <v>0</v>
      </c>
      <c r="Q178" s="15">
        <v>0</v>
      </c>
      <c r="V178" s="3"/>
    </row>
    <row r="179" spans="1:22" x14ac:dyDescent="0.75">
      <c r="A179" s="175" t="s">
        <v>375</v>
      </c>
      <c r="B179" s="15">
        <v>0.1</v>
      </c>
      <c r="C179" s="15" t="s">
        <v>376</v>
      </c>
      <c r="D179" s="15">
        <v>15</v>
      </c>
      <c r="E179" s="15">
        <f>(((B179/1000)*D179)*B88)+(D179*$B$82)</f>
        <v>15.294285</v>
      </c>
      <c r="F179" s="15" t="s">
        <v>278</v>
      </c>
      <c r="G179" s="15">
        <f t="shared" si="0"/>
        <v>1.5294285000000001E-2</v>
      </c>
      <c r="H179" s="15"/>
      <c r="I179" s="195" t="s">
        <v>360</v>
      </c>
      <c r="J179" s="15"/>
      <c r="K179" s="15"/>
      <c r="L179" s="15"/>
      <c r="M179" s="15"/>
      <c r="N179" s="15">
        <v>0</v>
      </c>
      <c r="O179" s="15">
        <v>0</v>
      </c>
      <c r="P179" s="15">
        <v>0</v>
      </c>
      <c r="Q179" s="15">
        <v>0</v>
      </c>
      <c r="V179" s="3"/>
    </row>
    <row r="180" spans="1:22" x14ac:dyDescent="0.75">
      <c r="A180" s="175" t="s">
        <v>377</v>
      </c>
      <c r="B180" s="15">
        <v>0.5</v>
      </c>
      <c r="C180" s="15" t="s">
        <v>376</v>
      </c>
      <c r="D180" s="15">
        <v>50</v>
      </c>
      <c r="E180" s="15">
        <f>(((B180/1000)*D180)*B89)+(D180*$B$82)</f>
        <v>54.88</v>
      </c>
      <c r="F180" s="15" t="s">
        <v>278</v>
      </c>
      <c r="G180" s="15">
        <f t="shared" si="0"/>
        <v>5.4880000000000005E-2</v>
      </c>
      <c r="H180" s="15"/>
      <c r="I180" s="195" t="s">
        <v>360</v>
      </c>
      <c r="J180" s="15"/>
      <c r="K180" s="15"/>
      <c r="L180" s="15"/>
      <c r="M180" s="15"/>
      <c r="N180" s="15">
        <v>0</v>
      </c>
      <c r="O180" s="15">
        <v>0</v>
      </c>
      <c r="P180" s="15">
        <v>0</v>
      </c>
      <c r="Q180" s="15">
        <v>0</v>
      </c>
      <c r="V180" s="3"/>
    </row>
    <row r="181" spans="1:22" x14ac:dyDescent="0.75">
      <c r="A181" s="175" t="s">
        <v>378</v>
      </c>
      <c r="B181" s="15">
        <v>1</v>
      </c>
      <c r="C181" s="15" t="s">
        <v>376</v>
      </c>
      <c r="D181" s="15">
        <v>50</v>
      </c>
      <c r="E181" s="15">
        <f>(((B181/1000)*D181)*B90)+(D181*$B$82)</f>
        <v>54.7605</v>
      </c>
      <c r="F181" s="15" t="s">
        <v>278</v>
      </c>
      <c r="G181" s="15">
        <f t="shared" si="0"/>
        <v>5.4760500000000004E-2</v>
      </c>
      <c r="H181" s="15"/>
      <c r="I181" s="195" t="s">
        <v>360</v>
      </c>
      <c r="J181" s="15"/>
      <c r="K181" s="15"/>
      <c r="L181" s="15"/>
      <c r="M181" s="15"/>
      <c r="N181" s="15">
        <v>0</v>
      </c>
      <c r="O181" s="15">
        <v>0</v>
      </c>
      <c r="P181" s="15">
        <v>0</v>
      </c>
      <c r="Q181" s="15">
        <v>0</v>
      </c>
      <c r="V181" s="3"/>
    </row>
    <row r="182" spans="1:22" x14ac:dyDescent="0.75">
      <c r="A182" s="83" t="s">
        <v>379</v>
      </c>
      <c r="B182" s="15">
        <v>1.05</v>
      </c>
      <c r="C182" s="15" t="s">
        <v>244</v>
      </c>
      <c r="D182" s="15">
        <v>2</v>
      </c>
      <c r="E182" s="15">
        <f>B182*D182</f>
        <v>2.1</v>
      </c>
      <c r="F182" s="15" t="s">
        <v>278</v>
      </c>
      <c r="G182" s="15">
        <f t="shared" si="0"/>
        <v>2.1000000000000003E-3</v>
      </c>
      <c r="H182" s="15"/>
      <c r="I182" s="195"/>
      <c r="J182" s="15"/>
      <c r="K182" s="15"/>
      <c r="L182" s="15"/>
      <c r="M182" s="15"/>
      <c r="N182" s="15"/>
      <c r="O182" s="15"/>
      <c r="P182" s="15"/>
      <c r="Q182" s="15"/>
      <c r="V182" s="3"/>
    </row>
    <row r="183" spans="1:22" x14ac:dyDescent="0.75">
      <c r="A183" s="83" t="s">
        <v>380</v>
      </c>
      <c r="B183" s="15">
        <v>1.01</v>
      </c>
      <c r="C183" s="15" t="s">
        <v>381</v>
      </c>
      <c r="D183" s="15">
        <v>2</v>
      </c>
      <c r="E183" s="15">
        <f>B183*D183</f>
        <v>2.02</v>
      </c>
      <c r="F183" s="15" t="s">
        <v>278</v>
      </c>
      <c r="G183" s="15">
        <f t="shared" si="0"/>
        <v>2.0200000000000001E-3</v>
      </c>
      <c r="H183" s="15"/>
      <c r="I183" s="195"/>
      <c r="J183" s="15"/>
      <c r="K183" s="15"/>
      <c r="L183" s="15"/>
      <c r="M183" s="15"/>
      <c r="N183" s="15"/>
      <c r="O183" s="15"/>
      <c r="P183" s="15"/>
      <c r="Q183" s="15"/>
      <c r="V183" s="3"/>
    </row>
    <row r="184" spans="1:22" x14ac:dyDescent="0.75">
      <c r="A184" s="83" t="s">
        <v>382</v>
      </c>
      <c r="B184" s="15">
        <v>1.01</v>
      </c>
      <c r="C184" s="15" t="s">
        <v>383</v>
      </c>
      <c r="D184" s="15">
        <v>2</v>
      </c>
      <c r="E184" s="15">
        <f>B184*D184</f>
        <v>2.02</v>
      </c>
      <c r="F184" s="15" t="s">
        <v>278</v>
      </c>
      <c r="G184" s="15">
        <f t="shared" si="0"/>
        <v>2.0200000000000001E-3</v>
      </c>
      <c r="H184" s="15"/>
      <c r="I184" s="195"/>
      <c r="J184" s="15"/>
      <c r="K184" s="15"/>
      <c r="L184" s="15"/>
      <c r="M184" s="15"/>
      <c r="N184" s="15"/>
      <c r="O184" s="15"/>
      <c r="P184" s="15"/>
      <c r="Q184" s="15"/>
      <c r="V184" s="3"/>
    </row>
    <row r="185" spans="1:22" x14ac:dyDescent="0.75">
      <c r="A185" s="83" t="s">
        <v>384</v>
      </c>
      <c r="B185" s="15"/>
      <c r="C185" s="15"/>
      <c r="D185" s="15"/>
      <c r="E185" s="15"/>
      <c r="F185" s="15"/>
      <c r="G185" s="15">
        <v>130</v>
      </c>
      <c r="H185" s="15"/>
      <c r="I185" s="15" t="s">
        <v>385</v>
      </c>
      <c r="J185" s="15">
        <v>70</v>
      </c>
      <c r="K185" s="15">
        <v>65</v>
      </c>
      <c r="L185" s="15">
        <v>128</v>
      </c>
      <c r="M185" s="15" t="s">
        <v>351</v>
      </c>
      <c r="N185" s="15">
        <f t="shared" ref="N185:P186" si="5">J185/100</f>
        <v>0.7</v>
      </c>
      <c r="O185" s="15">
        <f t="shared" si="5"/>
        <v>0.65</v>
      </c>
      <c r="P185" s="15">
        <f t="shared" si="5"/>
        <v>1.28</v>
      </c>
      <c r="Q185" s="15">
        <f t="shared" ref="Q185:Q190" si="6">N185*O185*P185</f>
        <v>0.58239999999999992</v>
      </c>
      <c r="V185" s="3"/>
    </row>
    <row r="186" spans="1:22" x14ac:dyDescent="0.75">
      <c r="A186" s="83" t="s">
        <v>386</v>
      </c>
      <c r="B186" s="15"/>
      <c r="C186" s="15"/>
      <c r="D186" s="15"/>
      <c r="E186" s="15"/>
      <c r="F186" s="15"/>
      <c r="G186" s="15">
        <v>60</v>
      </c>
      <c r="H186" s="15"/>
      <c r="I186" s="15" t="s">
        <v>385</v>
      </c>
      <c r="J186" s="15">
        <v>55.9</v>
      </c>
      <c r="K186" s="15">
        <v>76.2</v>
      </c>
      <c r="L186" s="15">
        <v>61</v>
      </c>
      <c r="M186" s="15" t="s">
        <v>351</v>
      </c>
      <c r="N186" s="15">
        <f t="shared" si="5"/>
        <v>0.55899999999999994</v>
      </c>
      <c r="O186" s="15">
        <f t="shared" si="5"/>
        <v>0.76200000000000001</v>
      </c>
      <c r="P186" s="15">
        <f t="shared" si="5"/>
        <v>0.61</v>
      </c>
      <c r="Q186" s="15">
        <f t="shared" si="6"/>
        <v>0.25983437999999998</v>
      </c>
      <c r="V186" s="3"/>
    </row>
    <row r="187" spans="1:22" x14ac:dyDescent="0.75">
      <c r="A187" s="83" t="s">
        <v>387</v>
      </c>
      <c r="B187" s="15"/>
      <c r="C187" s="15"/>
      <c r="D187" s="15"/>
      <c r="E187" s="15">
        <v>14.5</v>
      </c>
      <c r="F187" s="15" t="s">
        <v>388</v>
      </c>
      <c r="G187" s="15">
        <f>E187/V160</f>
        <v>6.5759637188208613</v>
      </c>
      <c r="H187" s="15"/>
      <c r="I187" s="15" t="s">
        <v>385</v>
      </c>
      <c r="J187" s="15">
        <v>7.62</v>
      </c>
      <c r="K187" s="15">
        <v>5.12</v>
      </c>
      <c r="L187" s="15">
        <v>8</v>
      </c>
      <c r="M187" s="15" t="s">
        <v>181</v>
      </c>
      <c r="N187" s="15">
        <f>(J187*$U$160)/100</f>
        <v>0.193548</v>
      </c>
      <c r="O187" s="15">
        <f>(K187*$U$160)/100</f>
        <v>0.13004800000000002</v>
      </c>
      <c r="P187" s="15">
        <f>(L187*$U$160)/100</f>
        <v>0.20319999999999999</v>
      </c>
      <c r="Q187" s="15">
        <f t="shared" si="6"/>
        <v>5.1146517577728007E-3</v>
      </c>
      <c r="V187" s="3"/>
    </row>
    <row r="188" spans="1:22" x14ac:dyDescent="0.75">
      <c r="A188" s="83" t="s">
        <v>389</v>
      </c>
      <c r="B188" s="15"/>
      <c r="C188" s="15"/>
      <c r="D188" s="15"/>
      <c r="E188" s="15"/>
      <c r="F188" s="15"/>
      <c r="G188" s="15">
        <v>48</v>
      </c>
      <c r="H188" s="15"/>
      <c r="I188" s="15" t="s">
        <v>385</v>
      </c>
      <c r="J188" s="15">
        <v>58</v>
      </c>
      <c r="K188" s="15">
        <v>51</v>
      </c>
      <c r="L188" s="15">
        <v>41</v>
      </c>
      <c r="M188" s="15" t="s">
        <v>351</v>
      </c>
      <c r="N188" s="15">
        <f t="shared" ref="N188:P190" si="7">J188/100</f>
        <v>0.57999999999999996</v>
      </c>
      <c r="O188" s="15">
        <f t="shared" si="7"/>
        <v>0.51</v>
      </c>
      <c r="P188" s="15">
        <f t="shared" si="7"/>
        <v>0.41</v>
      </c>
      <c r="Q188" s="15">
        <f t="shared" si="6"/>
        <v>0.121278</v>
      </c>
      <c r="V188" s="3"/>
    </row>
    <row r="189" spans="1:22" x14ac:dyDescent="0.75">
      <c r="A189" s="83" t="s">
        <v>390</v>
      </c>
      <c r="B189" s="15"/>
      <c r="C189" s="15"/>
      <c r="D189" s="15"/>
      <c r="E189" s="15">
        <v>610</v>
      </c>
      <c r="F189" s="15" t="s">
        <v>278</v>
      </c>
      <c r="G189" s="15">
        <f>E189/1000</f>
        <v>0.61</v>
      </c>
      <c r="H189" s="15"/>
      <c r="I189" s="15" t="s">
        <v>385</v>
      </c>
      <c r="J189" s="15">
        <v>15</v>
      </c>
      <c r="K189" s="15">
        <v>9</v>
      </c>
      <c r="L189" s="15">
        <v>4</v>
      </c>
      <c r="M189" s="15" t="s">
        <v>351</v>
      </c>
      <c r="N189" s="15">
        <f t="shared" si="7"/>
        <v>0.15</v>
      </c>
      <c r="O189" s="15">
        <f t="shared" si="7"/>
        <v>0.09</v>
      </c>
      <c r="P189" s="15">
        <f t="shared" si="7"/>
        <v>0.04</v>
      </c>
      <c r="Q189" s="15">
        <f t="shared" si="6"/>
        <v>5.4000000000000001E-4</v>
      </c>
      <c r="V189" s="3"/>
    </row>
    <row r="190" spans="1:22" x14ac:dyDescent="0.75">
      <c r="A190" s="83" t="s">
        <v>391</v>
      </c>
      <c r="B190" s="15"/>
      <c r="C190" s="15"/>
      <c r="D190" s="15"/>
      <c r="E190" s="15"/>
      <c r="F190" s="15"/>
      <c r="G190" s="15">
        <f>68+3.1+(2*0.29)</f>
        <v>71.679999999999993</v>
      </c>
      <c r="H190" s="15"/>
      <c r="I190" s="15" t="s">
        <v>385</v>
      </c>
      <c r="J190" s="15">
        <v>53.5</v>
      </c>
      <c r="K190" s="15">
        <v>60.8</v>
      </c>
      <c r="L190" s="15">
        <v>34.5</v>
      </c>
      <c r="M190" s="15" t="s">
        <v>351</v>
      </c>
      <c r="N190" s="15">
        <f t="shared" si="7"/>
        <v>0.53500000000000003</v>
      </c>
      <c r="O190" s="15">
        <f t="shared" si="7"/>
        <v>0.60799999999999998</v>
      </c>
      <c r="P190" s="15">
        <f t="shared" si="7"/>
        <v>0.34499999999999997</v>
      </c>
      <c r="Q190" s="15">
        <f t="shared" si="6"/>
        <v>0.11222159999999999</v>
      </c>
      <c r="V190" s="3"/>
    </row>
    <row r="191" spans="1:22" ht="15" customHeight="1" thickBot="1" x14ac:dyDescent="0.9">
      <c r="A191" s="83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V191" s="3"/>
    </row>
    <row r="192" spans="1:22" x14ac:dyDescent="0.75">
      <c r="A192" s="263" t="s">
        <v>211</v>
      </c>
      <c r="B192" s="266"/>
      <c r="C192" s="266"/>
      <c r="D192" s="267"/>
      <c r="E192" s="267"/>
      <c r="F192" s="267"/>
      <c r="G192" s="267"/>
      <c r="H192" s="267"/>
      <c r="I192" s="268"/>
      <c r="V192" s="3"/>
    </row>
    <row r="193" spans="1:22" ht="15" customHeight="1" thickBot="1" x14ac:dyDescent="0.9">
      <c r="A193" s="277" t="s">
        <v>212</v>
      </c>
      <c r="B193" s="278" t="s">
        <v>80</v>
      </c>
      <c r="C193" s="278" t="s">
        <v>33</v>
      </c>
      <c r="D193" s="290" t="s">
        <v>499</v>
      </c>
      <c r="E193" s="290" t="s">
        <v>500</v>
      </c>
      <c r="F193" s="278" t="s">
        <v>34</v>
      </c>
      <c r="G193" s="278" t="s">
        <v>213</v>
      </c>
      <c r="H193" s="278"/>
      <c r="I193" s="279" t="s">
        <v>392</v>
      </c>
      <c r="V193" s="3"/>
    </row>
    <row r="194" spans="1:22" x14ac:dyDescent="0.75">
      <c r="A194" s="83" t="s">
        <v>547</v>
      </c>
      <c r="B194" s="15" t="s">
        <v>60</v>
      </c>
      <c r="C194" s="15">
        <f>B115</f>
        <v>412</v>
      </c>
      <c r="D194" s="15">
        <f>B116</f>
        <v>2</v>
      </c>
      <c r="E194" s="15">
        <f>B118</f>
        <v>0.20499999999999999</v>
      </c>
      <c r="F194" s="15"/>
      <c r="G194" s="15"/>
      <c r="I194" t="s">
        <v>393</v>
      </c>
      <c r="V194" s="3"/>
    </row>
    <row r="195" spans="1:22" x14ac:dyDescent="0.75">
      <c r="A195" s="83" t="s">
        <v>384</v>
      </c>
      <c r="B195" s="15" t="s">
        <v>60</v>
      </c>
      <c r="C195" s="15">
        <f>G185</f>
        <v>130</v>
      </c>
      <c r="D195" s="15">
        <f>Q185</f>
        <v>0.58239999999999992</v>
      </c>
      <c r="E195" s="15">
        <f>B126/1000</f>
        <v>0.7</v>
      </c>
      <c r="F195" s="15"/>
      <c r="G195" s="15"/>
      <c r="V195" s="3"/>
    </row>
    <row r="196" spans="1:22" x14ac:dyDescent="0.75">
      <c r="A196" s="83" t="s">
        <v>394</v>
      </c>
      <c r="B196" s="15" t="s">
        <v>60</v>
      </c>
      <c r="C196" s="15">
        <f>G186</f>
        <v>60</v>
      </c>
      <c r="D196" s="15">
        <f>Q186</f>
        <v>0.25983437999999998</v>
      </c>
      <c r="E196" s="15">
        <f>B121/1000</f>
        <v>0.72</v>
      </c>
      <c r="F196" s="15"/>
      <c r="G196" s="15"/>
      <c r="V196" s="3"/>
    </row>
    <row r="197" spans="1:22" x14ac:dyDescent="0.75">
      <c r="A197" s="83" t="s">
        <v>395</v>
      </c>
      <c r="B197" s="15" t="s">
        <v>60</v>
      </c>
      <c r="C197" s="15">
        <f>G187</f>
        <v>6.5759637188208613</v>
      </c>
      <c r="D197" s="15">
        <f>Q187</f>
        <v>5.1146517577728007E-3</v>
      </c>
      <c r="E197" s="15">
        <f>B131/1000</f>
        <v>0.43469999999999998</v>
      </c>
      <c r="F197" s="15"/>
      <c r="G197" s="15"/>
      <c r="V197" s="3"/>
    </row>
    <row r="198" spans="1:22" x14ac:dyDescent="0.75">
      <c r="A198" s="83" t="s">
        <v>396</v>
      </c>
      <c r="B198" s="15" t="s">
        <v>60</v>
      </c>
      <c r="C198" s="15">
        <f>G188</f>
        <v>48</v>
      </c>
      <c r="D198" s="15">
        <f>Q188</f>
        <v>0.121278</v>
      </c>
      <c r="E198" s="15">
        <f>B134/1000</f>
        <v>1.4</v>
      </c>
      <c r="F198" s="15"/>
      <c r="G198" s="15"/>
      <c r="V198" s="3"/>
    </row>
    <row r="199" spans="1:22" x14ac:dyDescent="0.75">
      <c r="A199" s="83" t="s">
        <v>397</v>
      </c>
      <c r="B199" s="15" t="s">
        <v>60</v>
      </c>
      <c r="C199" s="15">
        <f>G190</f>
        <v>71.679999999999993</v>
      </c>
      <c r="D199" s="15">
        <f>Q190</f>
        <v>0.11222159999999999</v>
      </c>
      <c r="E199" s="15">
        <f>B140/1000</f>
        <v>0.95</v>
      </c>
      <c r="F199" s="15"/>
      <c r="G199" s="15"/>
      <c r="V199" s="3"/>
    </row>
    <row r="200" spans="1:22" x14ac:dyDescent="0.75">
      <c r="A200" s="83" t="s">
        <v>398</v>
      </c>
      <c r="B200" s="15" t="s">
        <v>60</v>
      </c>
      <c r="C200" s="15">
        <f>G189</f>
        <v>0.61</v>
      </c>
      <c r="D200" s="15">
        <f>Q189</f>
        <v>5.4000000000000001E-4</v>
      </c>
      <c r="E200" s="15"/>
      <c r="F200" s="15"/>
      <c r="G200" s="15"/>
      <c r="V200" s="3"/>
    </row>
    <row r="201" spans="1:22" x14ac:dyDescent="0.75">
      <c r="A201" s="83" t="s">
        <v>399</v>
      </c>
      <c r="B201" s="15" t="s">
        <v>60</v>
      </c>
      <c r="C201" s="15">
        <f>G170*2</f>
        <v>0.65800000000000003</v>
      </c>
      <c r="D201" s="15">
        <f>Q170*2</f>
        <v>4.7500880922277666E-3</v>
      </c>
      <c r="E201" s="15"/>
      <c r="F201" s="15"/>
      <c r="G201" s="15"/>
      <c r="V201" s="3"/>
    </row>
    <row r="202" spans="1:22" x14ac:dyDescent="0.75">
      <c r="A202" s="83" t="s">
        <v>400</v>
      </c>
      <c r="B202" s="15" t="s">
        <v>60</v>
      </c>
      <c r="C202" s="15">
        <f>G171</f>
        <v>2.6187000000000002E-2</v>
      </c>
      <c r="D202" s="15">
        <f>Q171</f>
        <v>6.4000000000000011E-5</v>
      </c>
      <c r="E202" s="15"/>
      <c r="F202" s="15"/>
      <c r="G202" s="15"/>
      <c r="V202" s="3"/>
    </row>
    <row r="203" spans="1:22" x14ac:dyDescent="0.75">
      <c r="A203" s="83" t="s">
        <v>401</v>
      </c>
      <c r="B203" s="15" t="s">
        <v>60</v>
      </c>
      <c r="C203" s="15">
        <f>G172</f>
        <v>0.57699999999999996</v>
      </c>
      <c r="D203" s="15">
        <f>Q172</f>
        <v>1.8064157758141313E-3</v>
      </c>
      <c r="E203" s="15"/>
      <c r="F203" s="15"/>
      <c r="G203" s="15"/>
      <c r="V203" s="3"/>
    </row>
    <row r="204" spans="1:22" x14ac:dyDescent="0.75">
      <c r="A204" s="83" t="s">
        <v>402</v>
      </c>
      <c r="B204" s="15" t="s">
        <v>60</v>
      </c>
      <c r="C204" s="15">
        <f>G173</f>
        <v>0.11700000000000001</v>
      </c>
      <c r="D204" s="15">
        <f>Q173</f>
        <v>1.9909843442125316E-3</v>
      </c>
      <c r="E204" s="15"/>
      <c r="F204" s="15"/>
      <c r="G204" s="15"/>
      <c r="I204" t="s">
        <v>403</v>
      </c>
      <c r="V204" s="3"/>
    </row>
    <row r="205" spans="1:22" x14ac:dyDescent="0.75">
      <c r="A205" s="83" t="s">
        <v>404</v>
      </c>
      <c r="B205" s="15" t="s">
        <v>60</v>
      </c>
      <c r="C205" s="15">
        <f>G175</f>
        <v>1.061E-2</v>
      </c>
      <c r="D205" s="15">
        <f>Q175</f>
        <v>1.7920000000000001E-5</v>
      </c>
      <c r="E205" s="15"/>
      <c r="F205" s="15"/>
      <c r="G205" s="15"/>
      <c r="I205" t="s">
        <v>405</v>
      </c>
      <c r="V205" s="3"/>
    </row>
    <row r="206" spans="1:22" x14ac:dyDescent="0.75">
      <c r="A206" s="83" t="s">
        <v>406</v>
      </c>
      <c r="B206" s="15" t="s">
        <v>60</v>
      </c>
      <c r="C206" s="15">
        <f>G176</f>
        <v>2.9868000000000001</v>
      </c>
      <c r="D206" s="15">
        <f>Q176</f>
        <v>3.049312404923436E-2</v>
      </c>
      <c r="E206" s="15"/>
      <c r="F206" s="15"/>
      <c r="G206" s="15"/>
      <c r="I206" t="s">
        <v>407</v>
      </c>
      <c r="V206" s="3"/>
    </row>
    <row r="207" spans="1:22" x14ac:dyDescent="0.75">
      <c r="A207" s="83" t="s">
        <v>408</v>
      </c>
      <c r="B207" s="15" t="s">
        <v>60</v>
      </c>
      <c r="C207" s="15">
        <f>G163*12</f>
        <v>0.15649200000000002</v>
      </c>
      <c r="D207" s="15">
        <f>Q163*12</f>
        <v>1.2638250254273307E-3</v>
      </c>
      <c r="E207" s="15"/>
      <c r="F207" s="15"/>
      <c r="G207" s="15"/>
      <c r="I207" t="s">
        <v>409</v>
      </c>
      <c r="V207" s="3"/>
    </row>
    <row r="208" spans="1:22" x14ac:dyDescent="0.75">
      <c r="A208" s="83" t="s">
        <v>410</v>
      </c>
      <c r="B208" s="15" t="s">
        <v>42</v>
      </c>
      <c r="C208" s="15">
        <f>G166+G168</f>
        <v>4.1203518000000008</v>
      </c>
      <c r="D208" s="15">
        <f>Q166</f>
        <v>7.1000000000000002E-4</v>
      </c>
      <c r="E208" s="15"/>
      <c r="F208" s="15"/>
      <c r="G208" s="15"/>
      <c r="V208" s="3"/>
    </row>
    <row r="209" spans="1:22" x14ac:dyDescent="0.75">
      <c r="A209" s="175" t="s">
        <v>411</v>
      </c>
      <c r="B209" s="15" t="s">
        <v>42</v>
      </c>
      <c r="C209" s="15">
        <f>SUM(G182:G184)+(3*G160)</f>
        <v>9.503000000000001E-3</v>
      </c>
      <c r="D209" s="15">
        <f>Q160*3</f>
        <v>1.4250264276683302E-5</v>
      </c>
      <c r="E209" s="15"/>
      <c r="F209" s="15"/>
      <c r="G209" s="15"/>
      <c r="I209" t="s">
        <v>412</v>
      </c>
      <c r="V209" s="3"/>
    </row>
    <row r="210" spans="1:22" x14ac:dyDescent="0.75">
      <c r="A210" s="83" t="s">
        <v>413</v>
      </c>
      <c r="B210" s="15" t="s">
        <v>42</v>
      </c>
      <c r="C210" s="15">
        <f>G169</f>
        <v>4.9251E-3</v>
      </c>
      <c r="D210" s="15">
        <f>Q169</f>
        <v>3.0787608005179971E-5</v>
      </c>
      <c r="E210" s="15"/>
      <c r="F210" s="15"/>
      <c r="G210" s="15"/>
      <c r="V210" s="3"/>
    </row>
    <row r="211" spans="1:22" x14ac:dyDescent="0.75">
      <c r="A211" s="175" t="s">
        <v>414</v>
      </c>
      <c r="B211" s="15" t="s">
        <v>42</v>
      </c>
      <c r="C211" s="15">
        <f>G161+G179</f>
        <v>2.1471285E-2</v>
      </c>
      <c r="D211" s="15">
        <f>Q161</f>
        <v>4.1563270806992968E-5</v>
      </c>
      <c r="E211" s="15"/>
      <c r="F211" s="15"/>
      <c r="G211" s="15"/>
      <c r="I211" t="s">
        <v>412</v>
      </c>
      <c r="V211" s="3"/>
    </row>
    <row r="212" spans="1:22" x14ac:dyDescent="0.75">
      <c r="A212" s="175" t="s">
        <v>415</v>
      </c>
      <c r="B212" s="15" t="s">
        <v>42</v>
      </c>
      <c r="C212" s="15">
        <f>G163+G180</f>
        <v>6.7921000000000009E-2</v>
      </c>
      <c r="D212" s="15">
        <f>Q163</f>
        <v>1.0531875211894423E-4</v>
      </c>
      <c r="E212" s="15"/>
      <c r="F212" s="15"/>
      <c r="G212" s="15"/>
      <c r="V212" s="3"/>
    </row>
    <row r="213" spans="1:22" x14ac:dyDescent="0.75">
      <c r="A213" s="175" t="s">
        <v>416</v>
      </c>
      <c r="B213" s="15" t="s">
        <v>42</v>
      </c>
      <c r="C213" s="15">
        <f>G163+G181</f>
        <v>6.7801500000000001E-2</v>
      </c>
      <c r="D213" s="15">
        <f>Q163</f>
        <v>1.0531875211894423E-4</v>
      </c>
      <c r="E213" s="15"/>
      <c r="F213" s="15"/>
      <c r="G213" s="15"/>
      <c r="V213" s="3"/>
    </row>
    <row r="214" spans="1:22" x14ac:dyDescent="0.75">
      <c r="A214" s="175" t="s">
        <v>417</v>
      </c>
      <c r="B214" s="15" t="s">
        <v>42</v>
      </c>
      <c r="C214" s="15">
        <f>G160+G174</f>
        <v>3.1349999999999998E-3</v>
      </c>
      <c r="D214" s="15">
        <f>Q160</f>
        <v>4.7500880922277672E-6</v>
      </c>
      <c r="E214" s="15"/>
      <c r="F214" s="15"/>
      <c r="G214" s="15"/>
      <c r="V214" s="3"/>
    </row>
    <row r="215" spans="1:22" ht="15" customHeight="1" thickBot="1" x14ac:dyDescent="0.9">
      <c r="A215" s="194" t="s">
        <v>418</v>
      </c>
      <c r="B215" s="70" t="s">
        <v>42</v>
      </c>
      <c r="C215" s="70">
        <f>G177+G178</f>
        <v>4.1124999999999998E-3</v>
      </c>
      <c r="D215" s="70">
        <f>Q177</f>
        <v>4.6566257107834723E-6</v>
      </c>
      <c r="E215" s="70"/>
      <c r="F215" s="70"/>
      <c r="G215" s="70"/>
      <c r="H215" s="48"/>
      <c r="I215" s="48" t="s">
        <v>419</v>
      </c>
      <c r="J215" s="48"/>
      <c r="K215" s="48"/>
      <c r="L215" s="48"/>
      <c r="M215" s="48"/>
      <c r="N215" s="48"/>
      <c r="O215" s="48"/>
      <c r="P215" s="48"/>
      <c r="Q215" s="48"/>
      <c r="R215" s="48"/>
      <c r="S215" s="48"/>
      <c r="T215" s="48"/>
      <c r="U215" s="48"/>
      <c r="V215" s="7"/>
    </row>
    <row r="216" spans="1:22" ht="15" customHeight="1" thickBot="1" x14ac:dyDescent="0.9">
      <c r="C216" s="15"/>
    </row>
    <row r="217" spans="1:22" x14ac:dyDescent="0.75">
      <c r="A217" s="273" t="s">
        <v>229</v>
      </c>
      <c r="B217" s="267"/>
      <c r="C217" s="267"/>
      <c r="D217" s="267"/>
      <c r="E217" s="267"/>
      <c r="F217" s="267"/>
      <c r="G217" s="268"/>
    </row>
    <row r="218" spans="1:22" ht="15" customHeight="1" thickBot="1" x14ac:dyDescent="0.9">
      <c r="A218" s="304" t="s">
        <v>212</v>
      </c>
      <c r="B218" s="286" t="s">
        <v>80</v>
      </c>
      <c r="C218" s="286" t="s">
        <v>32</v>
      </c>
      <c r="D218" s="286" t="s">
        <v>33</v>
      </c>
      <c r="E218" s="305" t="s">
        <v>496</v>
      </c>
      <c r="F218" s="305" t="s">
        <v>498</v>
      </c>
      <c r="G218" s="306" t="s">
        <v>34</v>
      </c>
    </row>
    <row r="219" spans="1:22" s="15" customFormat="1" x14ac:dyDescent="0.75">
      <c r="A219" s="83" t="s">
        <v>547</v>
      </c>
      <c r="B219" s="105" t="s">
        <v>60</v>
      </c>
      <c r="C219" s="105">
        <f>B155</f>
        <v>1</v>
      </c>
      <c r="D219" s="105">
        <f>$C219*C194</f>
        <v>412</v>
      </c>
      <c r="E219" s="105">
        <f>$C219*D194</f>
        <v>2</v>
      </c>
      <c r="F219" s="105">
        <f>$C219*E194</f>
        <v>0.20499999999999999</v>
      </c>
      <c r="G219" s="72"/>
    </row>
    <row r="220" spans="1:22" s="15" customFormat="1" x14ac:dyDescent="0.75">
      <c r="A220" s="83" t="s">
        <v>384</v>
      </c>
      <c r="B220" s="15" t="s">
        <v>60</v>
      </c>
      <c r="C220" s="15">
        <v>1</v>
      </c>
      <c r="D220" s="15">
        <f>$C220*C195/Assumptions!$B$5</f>
        <v>21.666666666666668</v>
      </c>
      <c r="E220" s="15">
        <f>$C220*D195/Assumptions!$B$5</f>
        <v>9.7066666666666648E-2</v>
      </c>
      <c r="F220" s="15">
        <f>$C220*E195/Assumptions!$B$5</f>
        <v>0.11666666666666665</v>
      </c>
      <c r="G220" s="106"/>
      <c r="H220" t="s">
        <v>526</v>
      </c>
    </row>
    <row r="221" spans="1:22" s="15" customFormat="1" x14ac:dyDescent="0.75">
      <c r="A221" s="83" t="s">
        <v>394</v>
      </c>
      <c r="B221" s="15" t="s">
        <v>60</v>
      </c>
      <c r="C221" s="15">
        <v>1</v>
      </c>
      <c r="D221" s="15">
        <f>$C221*C196/Assumptions!$B$5</f>
        <v>10</v>
      </c>
      <c r="E221" s="15">
        <f>$C221*D196/Assumptions!$B$5</f>
        <v>4.3305729999999994E-2</v>
      </c>
      <c r="F221" s="15">
        <f>$C221*E196/Assumptions!$B$5</f>
        <v>0.12</v>
      </c>
      <c r="G221" s="106"/>
      <c r="H221" t="s">
        <v>526</v>
      </c>
    </row>
    <row r="222" spans="1:22" s="15" customFormat="1" x14ac:dyDescent="0.75">
      <c r="A222" s="83" t="s">
        <v>395</v>
      </c>
      <c r="B222" s="15" t="s">
        <v>60</v>
      </c>
      <c r="C222" s="15">
        <v>1</v>
      </c>
      <c r="D222" s="15">
        <f>$C222*C197/Assumptions!$B$5</f>
        <v>1.0959939531368101</v>
      </c>
      <c r="E222" s="15">
        <f>$C222*D197/Assumptions!$B$5</f>
        <v>8.5244195962880015E-4</v>
      </c>
      <c r="F222" s="15">
        <f>$C222*E197/Assumptions!$B$5</f>
        <v>7.2450000000000001E-2</v>
      </c>
      <c r="G222" s="106"/>
      <c r="H222" t="s">
        <v>526</v>
      </c>
    </row>
    <row r="223" spans="1:22" s="15" customFormat="1" x14ac:dyDescent="0.75">
      <c r="A223" s="83" t="s">
        <v>396</v>
      </c>
      <c r="B223" s="15" t="s">
        <v>60</v>
      </c>
      <c r="C223" s="15">
        <v>1</v>
      </c>
      <c r="D223" s="15">
        <f>$C223*C198/Assumptions!$B$5</f>
        <v>8</v>
      </c>
      <c r="E223" s="15">
        <f>$C223*D198/Assumptions!$B$5</f>
        <v>2.0212999999999998E-2</v>
      </c>
      <c r="F223" s="15">
        <f>$C223*E198/Assumptions!$B$5</f>
        <v>0.23333333333333331</v>
      </c>
      <c r="G223" s="106"/>
      <c r="H223" t="s">
        <v>526</v>
      </c>
    </row>
    <row r="224" spans="1:22" s="15" customFormat="1" x14ac:dyDescent="0.75">
      <c r="A224" s="83" t="s">
        <v>397</v>
      </c>
      <c r="B224" s="15" t="s">
        <v>60</v>
      </c>
      <c r="C224" s="15">
        <v>1</v>
      </c>
      <c r="D224" s="15">
        <f>$C224*C199/Assumptions!$B$5</f>
        <v>11.946666666666665</v>
      </c>
      <c r="E224" s="15">
        <f>$C224*D199/Assumptions!$B$5</f>
        <v>1.8703599999999997E-2</v>
      </c>
      <c r="F224" s="15">
        <f>$C224*E199/Assumptions!$B$5</f>
        <v>0.15833333333333333</v>
      </c>
      <c r="G224" s="106"/>
      <c r="H224" t="s">
        <v>526</v>
      </c>
    </row>
    <row r="225" spans="1:38" s="15" customFormat="1" x14ac:dyDescent="0.75">
      <c r="A225" s="83" t="s">
        <v>398</v>
      </c>
      <c r="B225" s="15" t="s">
        <v>60</v>
      </c>
      <c r="C225" s="15">
        <v>1</v>
      </c>
      <c r="D225" s="15">
        <f>$C225*C200/Assumptions!$B$5</f>
        <v>0.10166666666666667</v>
      </c>
      <c r="E225" s="15">
        <f>$C225*D200/Assumptions!$B$5</f>
        <v>9.0000000000000006E-5</v>
      </c>
      <c r="G225" s="106"/>
      <c r="H225" t="s">
        <v>526</v>
      </c>
    </row>
    <row r="226" spans="1:38" s="15" customFormat="1" x14ac:dyDescent="0.75">
      <c r="A226" s="83" t="s">
        <v>420</v>
      </c>
      <c r="B226" s="15" t="s">
        <v>60</v>
      </c>
      <c r="C226" s="15">
        <v>2</v>
      </c>
      <c r="D226" s="15">
        <f>$C226*C201/Assumptions!$B$5</f>
        <v>0.21933333333333335</v>
      </c>
      <c r="E226" s="15">
        <f>$C226*D201/Assumptions!$B$5</f>
        <v>1.5833626974092556E-3</v>
      </c>
      <c r="G226" s="106"/>
      <c r="H226" t="s">
        <v>526</v>
      </c>
    </row>
    <row r="227" spans="1:38" s="15" customFormat="1" x14ac:dyDescent="0.75">
      <c r="A227" s="83" t="s">
        <v>421</v>
      </c>
      <c r="B227" s="15" t="s">
        <v>60</v>
      </c>
      <c r="C227" s="15">
        <v>1</v>
      </c>
      <c r="D227" s="15">
        <f>$C227*C202/Assumptions!$B$5</f>
        <v>4.3645000000000003E-3</v>
      </c>
      <c r="E227" s="15">
        <f>$C227*D202/Assumptions!$B$5</f>
        <v>1.0666666666666669E-5</v>
      </c>
      <c r="G227" s="106"/>
      <c r="H227" t="s">
        <v>526</v>
      </c>
    </row>
    <row r="228" spans="1:38" s="15" customFormat="1" x14ac:dyDescent="0.75">
      <c r="A228" s="83" t="s">
        <v>401</v>
      </c>
      <c r="B228" s="15" t="s">
        <v>60</v>
      </c>
      <c r="C228" s="15">
        <v>3</v>
      </c>
      <c r="D228" s="15">
        <f>$C228*C203/Assumptions!$B$5</f>
        <v>0.28849999999999998</v>
      </c>
      <c r="E228" s="15">
        <f>$C228*D203/Assumptions!$B$5</f>
        <v>9.0320788790706564E-4</v>
      </c>
      <c r="G228" s="106"/>
      <c r="H228" t="s">
        <v>526</v>
      </c>
    </row>
    <row r="229" spans="1:38" s="15" customFormat="1" x14ac:dyDescent="0.75">
      <c r="A229" s="83" t="s">
        <v>402</v>
      </c>
      <c r="B229" s="15" t="s">
        <v>60</v>
      </c>
      <c r="C229" s="15">
        <v>1</v>
      </c>
      <c r="D229" s="15">
        <f>$C229*C204/Assumptions!$B$5</f>
        <v>1.95E-2</v>
      </c>
      <c r="E229" s="15">
        <f>$C229*D204/Assumptions!$B$5</f>
        <v>3.3183072403542192E-4</v>
      </c>
      <c r="G229" s="106"/>
      <c r="H229" t="s">
        <v>526</v>
      </c>
    </row>
    <row r="230" spans="1:38" s="15" customFormat="1" x14ac:dyDescent="0.75">
      <c r="A230" s="83" t="s">
        <v>404</v>
      </c>
      <c r="B230" s="15" t="s">
        <v>60</v>
      </c>
      <c r="C230" s="15">
        <v>1</v>
      </c>
      <c r="D230" s="15">
        <f>$C230*C205/Assumptions!$B$5</f>
        <v>1.7683333333333333E-3</v>
      </c>
      <c r="E230" s="15">
        <f>$C230*D205/Assumptions!$B$5</f>
        <v>2.9866666666666667E-6</v>
      </c>
      <c r="G230" s="106"/>
      <c r="H230" t="s">
        <v>526</v>
      </c>
    </row>
    <row r="231" spans="1:38" s="15" customFormat="1" x14ac:dyDescent="0.75">
      <c r="A231" s="83" t="s">
        <v>406</v>
      </c>
      <c r="B231" s="15" t="s">
        <v>60</v>
      </c>
      <c r="C231" s="15">
        <v>1</v>
      </c>
      <c r="D231" s="15">
        <f>$C231*C206/Assumptions!$B$5</f>
        <v>0.49780000000000002</v>
      </c>
      <c r="E231" s="15">
        <f>$C231*D206/Assumptions!$B$5</f>
        <v>5.0821873415390602E-3</v>
      </c>
      <c r="G231" s="106"/>
      <c r="H231" t="s">
        <v>526</v>
      </c>
    </row>
    <row r="232" spans="1:38" s="15" customFormat="1" x14ac:dyDescent="0.75">
      <c r="A232" s="83" t="s">
        <v>422</v>
      </c>
      <c r="B232" s="15" t="s">
        <v>60</v>
      </c>
      <c r="C232" s="15">
        <v>12</v>
      </c>
      <c r="D232" s="15">
        <f>$C232*C207/Assumptions!$B$5</f>
        <v>0.31298400000000004</v>
      </c>
      <c r="E232" s="15">
        <f>$C232*D207/Assumptions!$B$5</f>
        <v>2.5276500508546614E-3</v>
      </c>
      <c r="G232" s="106"/>
      <c r="H232" t="s">
        <v>526</v>
      </c>
    </row>
    <row r="233" spans="1:38" s="15" customFormat="1" x14ac:dyDescent="0.75">
      <c r="A233" s="83" t="s">
        <v>423</v>
      </c>
      <c r="B233" s="15" t="s">
        <v>60</v>
      </c>
      <c r="C233" s="15">
        <v>1</v>
      </c>
      <c r="D233" s="15">
        <f>7.5/Assumptions!$B$5</f>
        <v>1.25</v>
      </c>
      <c r="E233" s="15">
        <f>0.029700714/Assumptions!$B$5</f>
        <v>4.9501190000000002E-3</v>
      </c>
      <c r="F233" s="15">
        <f>0.0022/Assumptions!$B$5</f>
        <v>3.6666666666666667E-4</v>
      </c>
      <c r="G233" s="106"/>
      <c r="H233" t="s">
        <v>526</v>
      </c>
    </row>
    <row r="234" spans="1:38" x14ac:dyDescent="0.75">
      <c r="A234" s="83" t="s">
        <v>424</v>
      </c>
      <c r="B234" s="15" t="s">
        <v>42</v>
      </c>
      <c r="C234" s="15">
        <f>B156</f>
        <v>1</v>
      </c>
      <c r="D234" s="15">
        <f>B142+(C234*G166)</f>
        <v>7.7601800000000012E-2</v>
      </c>
      <c r="E234" s="15">
        <f>Q166*C234</f>
        <v>7.1000000000000002E-4</v>
      </c>
      <c r="F234" s="15"/>
      <c r="G234" s="106">
        <f>((B106+B108+B110+B112+(B114*B19))*B104)*B81</f>
        <v>344</v>
      </c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  <c r="AE234" s="15"/>
      <c r="AF234" s="15"/>
      <c r="AG234" s="15"/>
      <c r="AH234" s="15"/>
      <c r="AI234" s="15"/>
      <c r="AJ234" s="15"/>
      <c r="AK234" s="15"/>
      <c r="AL234" s="15"/>
    </row>
    <row r="235" spans="1:38" x14ac:dyDescent="0.75">
      <c r="A235" s="83" t="s">
        <v>413</v>
      </c>
      <c r="B235" s="15" t="s">
        <v>42</v>
      </c>
      <c r="C235" s="15">
        <f>B145</f>
        <v>172</v>
      </c>
      <c r="D235" s="15">
        <f>C235*C210</f>
        <v>0.84711720000000001</v>
      </c>
      <c r="E235" s="15">
        <f>D210*C235</f>
        <v>5.2954685768909554E-3</v>
      </c>
      <c r="F235" s="15"/>
      <c r="G235" s="106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  <c r="AE235" s="15"/>
      <c r="AF235" s="15"/>
      <c r="AG235" s="15"/>
      <c r="AH235" s="15"/>
      <c r="AI235" s="15"/>
      <c r="AJ235" s="15"/>
      <c r="AK235" s="15"/>
      <c r="AL235" s="15"/>
    </row>
    <row r="236" spans="1:38" x14ac:dyDescent="0.75">
      <c r="A236" s="83" t="s">
        <v>425</v>
      </c>
      <c r="B236" s="15" t="s">
        <v>42</v>
      </c>
      <c r="C236" s="15">
        <f>$B$144</f>
        <v>2</v>
      </c>
      <c r="D236" s="15">
        <f>C236*G182</f>
        <v>4.2000000000000006E-3</v>
      </c>
      <c r="E236" s="15">
        <f>$D$209*C236</f>
        <v>2.8500528553366603E-5</v>
      </c>
      <c r="F236" s="15"/>
      <c r="G236" s="106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  <c r="AE236" s="15"/>
      <c r="AF236" s="15"/>
      <c r="AG236" s="15"/>
      <c r="AH236" s="15"/>
      <c r="AI236" s="15"/>
      <c r="AJ236" s="15"/>
      <c r="AK236" s="15"/>
      <c r="AL236" s="15"/>
    </row>
    <row r="237" spans="1:38" x14ac:dyDescent="0.75">
      <c r="A237" s="83" t="s">
        <v>426</v>
      </c>
      <c r="B237" s="15" t="s">
        <v>42</v>
      </c>
      <c r="C237" s="15">
        <f>$B$144</f>
        <v>2</v>
      </c>
      <c r="D237" s="15">
        <f>C237*G183</f>
        <v>4.0400000000000002E-3</v>
      </c>
      <c r="E237" s="15">
        <f>$D$209*C237</f>
        <v>2.8500528553366603E-5</v>
      </c>
      <c r="F237" s="15"/>
      <c r="G237" s="106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  <c r="AE237" s="15"/>
      <c r="AF237" s="15"/>
      <c r="AG237" s="15"/>
      <c r="AH237" s="15"/>
      <c r="AI237" s="15"/>
      <c r="AJ237" s="15"/>
      <c r="AK237" s="15"/>
      <c r="AL237" s="15"/>
    </row>
    <row r="238" spans="1:38" x14ac:dyDescent="0.75">
      <c r="A238" s="83" t="s">
        <v>427</v>
      </c>
      <c r="B238" s="15" t="s">
        <v>42</v>
      </c>
      <c r="C238" s="15">
        <f>$B$144</f>
        <v>2</v>
      </c>
      <c r="D238" s="15">
        <f>C238*G184</f>
        <v>4.0400000000000002E-3</v>
      </c>
      <c r="E238" s="15">
        <f>$D$209*C238</f>
        <v>2.8500528553366603E-5</v>
      </c>
      <c r="F238" s="15"/>
      <c r="G238" s="106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  <c r="AE238" s="15"/>
      <c r="AF238" s="15"/>
      <c r="AG238" s="15"/>
      <c r="AH238" s="15"/>
      <c r="AI238" s="15"/>
      <c r="AJ238" s="15"/>
      <c r="AK238" s="15"/>
      <c r="AL238" s="15"/>
    </row>
    <row r="239" spans="1:38" x14ac:dyDescent="0.75">
      <c r="A239" s="175" t="s">
        <v>414</v>
      </c>
      <c r="B239" s="15" t="s">
        <v>42</v>
      </c>
      <c r="C239" s="15">
        <f>B150</f>
        <v>1</v>
      </c>
      <c r="D239" s="15">
        <f>C239*C211</f>
        <v>2.1471285E-2</v>
      </c>
      <c r="E239" s="15">
        <f>D211*C239</f>
        <v>4.1563270806992968E-5</v>
      </c>
      <c r="F239" s="15"/>
      <c r="G239" s="106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  <c r="AE239" s="15"/>
      <c r="AF239" s="15"/>
      <c r="AG239" s="15"/>
      <c r="AH239" s="15"/>
      <c r="AI239" s="15"/>
      <c r="AJ239" s="15"/>
      <c r="AK239" s="15"/>
      <c r="AL239" s="15"/>
    </row>
    <row r="240" spans="1:38" x14ac:dyDescent="0.75">
      <c r="A240" s="175" t="s">
        <v>415</v>
      </c>
      <c r="B240" s="15" t="s">
        <v>42</v>
      </c>
      <c r="C240" s="15">
        <f>B151</f>
        <v>2</v>
      </c>
      <c r="D240" s="15">
        <f>C240*C212</f>
        <v>0.13584200000000002</v>
      </c>
      <c r="E240" s="15">
        <f>D212*C240</f>
        <v>2.1063750423788846E-4</v>
      </c>
      <c r="F240" s="15"/>
      <c r="G240" s="106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  <c r="AE240" s="15"/>
      <c r="AF240" s="15"/>
      <c r="AG240" s="15"/>
      <c r="AH240" s="15"/>
      <c r="AI240" s="15"/>
      <c r="AJ240" s="15"/>
      <c r="AK240" s="15"/>
      <c r="AL240" s="15"/>
    </row>
    <row r="241" spans="1:38" x14ac:dyDescent="0.75">
      <c r="A241" s="175" t="s">
        <v>416</v>
      </c>
      <c r="B241" s="15" t="s">
        <v>42</v>
      </c>
      <c r="C241" s="15">
        <f>B152</f>
        <v>4</v>
      </c>
      <c r="D241" s="15">
        <f>C241*C213</f>
        <v>0.271206</v>
      </c>
      <c r="E241" s="15">
        <f>D213*C241</f>
        <v>4.2127500847577692E-4</v>
      </c>
      <c r="F241" s="15"/>
      <c r="G241" s="106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  <c r="AE241" s="15"/>
      <c r="AF241" s="15"/>
      <c r="AG241" s="15"/>
      <c r="AH241" s="15"/>
      <c r="AI241" s="15"/>
      <c r="AJ241" s="15"/>
      <c r="AK241" s="15"/>
      <c r="AL241" s="15"/>
    </row>
    <row r="242" spans="1:38" x14ac:dyDescent="0.75">
      <c r="A242" s="175" t="s">
        <v>417</v>
      </c>
      <c r="B242" s="15" t="s">
        <v>42</v>
      </c>
      <c r="C242" s="15">
        <f>B153</f>
        <v>1</v>
      </c>
      <c r="D242" s="15">
        <f>C242*C214</f>
        <v>3.1349999999999998E-3</v>
      </c>
      <c r="E242" s="15">
        <f>D214*C242</f>
        <v>4.7500880922277672E-6</v>
      </c>
      <c r="F242" s="15"/>
      <c r="G242" s="106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  <c r="AE242" s="15"/>
      <c r="AF242" s="15"/>
      <c r="AG242" s="15"/>
      <c r="AH242" s="15"/>
      <c r="AI242" s="15"/>
      <c r="AJ242" s="15"/>
      <c r="AK242" s="15"/>
      <c r="AL242" s="15"/>
    </row>
    <row r="243" spans="1:38" x14ac:dyDescent="0.75">
      <c r="A243" s="175" t="s">
        <v>418</v>
      </c>
      <c r="B243" s="15" t="s">
        <v>42</v>
      </c>
      <c r="C243" s="15">
        <v>2</v>
      </c>
      <c r="D243" s="15">
        <f>C243*C215</f>
        <v>8.2249999999999997E-3</v>
      </c>
      <c r="E243" s="15">
        <f>D215*C243</f>
        <v>9.3132514215669447E-6</v>
      </c>
      <c r="F243" s="15"/>
      <c r="G243" s="106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  <c r="AE243" s="15"/>
      <c r="AF243" s="15"/>
      <c r="AG243" s="15"/>
      <c r="AH243" s="15"/>
      <c r="AI243" s="15"/>
      <c r="AJ243" s="15"/>
      <c r="AK243" s="15"/>
      <c r="AL243" s="15"/>
    </row>
    <row r="244" spans="1:38" x14ac:dyDescent="0.75">
      <c r="A244" s="172" t="s">
        <v>44</v>
      </c>
      <c r="B244" s="15" t="s">
        <v>42</v>
      </c>
      <c r="C244" s="15"/>
      <c r="D244" s="15">
        <f>B83*E244</f>
        <v>11.3391</v>
      </c>
      <c r="E244" s="15">
        <f>B154/B84</f>
        <v>1.13391E-2</v>
      </c>
      <c r="F244" s="15"/>
      <c r="G244" s="106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  <c r="AE244" s="15"/>
      <c r="AF244" s="15"/>
      <c r="AG244" s="15"/>
      <c r="AH244" s="15"/>
      <c r="AI244" s="15"/>
      <c r="AJ244" s="15"/>
      <c r="AK244" s="15"/>
      <c r="AL244" s="15"/>
    </row>
    <row r="245" spans="1:38" x14ac:dyDescent="0.75">
      <c r="A245" s="83" t="s">
        <v>424</v>
      </c>
      <c r="B245" s="15" t="s">
        <v>56</v>
      </c>
      <c r="C245" s="15">
        <f t="shared" ref="C245:E254" si="8">C234</f>
        <v>1</v>
      </c>
      <c r="D245" s="15">
        <f t="shared" si="8"/>
        <v>7.7601800000000012E-2</v>
      </c>
      <c r="E245" s="15">
        <f t="shared" si="8"/>
        <v>7.1000000000000002E-4</v>
      </c>
      <c r="F245" s="15"/>
      <c r="G245" s="106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  <c r="AE245" s="15"/>
      <c r="AF245" s="15"/>
      <c r="AG245" s="15"/>
      <c r="AH245" s="15"/>
      <c r="AI245" s="15"/>
      <c r="AJ245" s="15"/>
      <c r="AK245" s="15"/>
      <c r="AL245" s="15"/>
    </row>
    <row r="246" spans="1:38" x14ac:dyDescent="0.75">
      <c r="A246" s="83" t="s">
        <v>413</v>
      </c>
      <c r="B246" s="15" t="s">
        <v>56</v>
      </c>
      <c r="C246" s="15">
        <f t="shared" si="8"/>
        <v>172</v>
      </c>
      <c r="D246" s="15">
        <f t="shared" si="8"/>
        <v>0.84711720000000001</v>
      </c>
      <c r="E246" s="15">
        <f t="shared" si="8"/>
        <v>5.2954685768909554E-3</v>
      </c>
      <c r="F246" s="15"/>
      <c r="G246" s="106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  <c r="AE246" s="15"/>
      <c r="AF246" s="15"/>
      <c r="AG246" s="15"/>
      <c r="AH246" s="15"/>
      <c r="AI246" s="15"/>
      <c r="AJ246" s="15"/>
      <c r="AK246" s="15"/>
      <c r="AL246" s="15"/>
    </row>
    <row r="247" spans="1:38" x14ac:dyDescent="0.75">
      <c r="A247" s="83" t="s">
        <v>425</v>
      </c>
      <c r="B247" s="15" t="s">
        <v>56</v>
      </c>
      <c r="C247" s="15">
        <f t="shared" si="8"/>
        <v>2</v>
      </c>
      <c r="D247" s="15">
        <f t="shared" si="8"/>
        <v>4.2000000000000006E-3</v>
      </c>
      <c r="E247" s="15">
        <f t="shared" si="8"/>
        <v>2.8500528553366603E-5</v>
      </c>
      <c r="F247" s="15"/>
      <c r="G247" s="106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  <c r="AE247" s="15"/>
      <c r="AF247" s="15"/>
      <c r="AG247" s="15"/>
      <c r="AH247" s="15"/>
      <c r="AI247" s="15"/>
      <c r="AJ247" s="15"/>
      <c r="AK247" s="15"/>
      <c r="AL247" s="15"/>
    </row>
    <row r="248" spans="1:38" x14ac:dyDescent="0.75">
      <c r="A248" s="83" t="s">
        <v>426</v>
      </c>
      <c r="B248" s="15" t="s">
        <v>56</v>
      </c>
      <c r="C248" s="15">
        <f t="shared" si="8"/>
        <v>2</v>
      </c>
      <c r="D248" s="15">
        <f t="shared" si="8"/>
        <v>4.0400000000000002E-3</v>
      </c>
      <c r="E248" s="15">
        <f t="shared" si="8"/>
        <v>2.8500528553366603E-5</v>
      </c>
      <c r="F248" s="15"/>
      <c r="G248" s="106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  <c r="AE248" s="15"/>
      <c r="AF248" s="15"/>
      <c r="AG248" s="15"/>
      <c r="AH248" s="15"/>
      <c r="AI248" s="15"/>
      <c r="AJ248" s="15"/>
      <c r="AK248" s="15"/>
      <c r="AL248" s="15"/>
    </row>
    <row r="249" spans="1:38" x14ac:dyDescent="0.75">
      <c r="A249" s="83" t="s">
        <v>427</v>
      </c>
      <c r="B249" s="15" t="s">
        <v>56</v>
      </c>
      <c r="C249" s="15">
        <f t="shared" si="8"/>
        <v>2</v>
      </c>
      <c r="D249" s="15">
        <f t="shared" si="8"/>
        <v>4.0400000000000002E-3</v>
      </c>
      <c r="E249" s="15">
        <f t="shared" si="8"/>
        <v>2.8500528553366603E-5</v>
      </c>
      <c r="F249" s="15"/>
      <c r="G249" s="106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  <c r="AC249" s="15"/>
      <c r="AD249" s="15"/>
      <c r="AE249" s="15"/>
      <c r="AF249" s="15"/>
      <c r="AG249" s="15"/>
      <c r="AH249" s="15"/>
      <c r="AI249" s="15"/>
      <c r="AJ249" s="15"/>
      <c r="AK249" s="15"/>
      <c r="AL249" s="15"/>
    </row>
    <row r="250" spans="1:38" x14ac:dyDescent="0.75">
      <c r="A250" s="83" t="s">
        <v>414</v>
      </c>
      <c r="B250" s="15" t="s">
        <v>56</v>
      </c>
      <c r="C250" s="15">
        <f t="shared" si="8"/>
        <v>1</v>
      </c>
      <c r="D250" s="15">
        <f t="shared" si="8"/>
        <v>2.1471285E-2</v>
      </c>
      <c r="E250" s="15">
        <f t="shared" si="8"/>
        <v>4.1563270806992968E-5</v>
      </c>
      <c r="F250" s="15"/>
      <c r="G250" s="106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  <c r="AE250" s="15"/>
      <c r="AF250" s="15"/>
      <c r="AG250" s="15"/>
      <c r="AH250" s="15"/>
      <c r="AI250" s="15"/>
      <c r="AJ250" s="15"/>
      <c r="AK250" s="15"/>
      <c r="AL250" s="15"/>
    </row>
    <row r="251" spans="1:38" x14ac:dyDescent="0.75">
      <c r="A251" s="83" t="s">
        <v>415</v>
      </c>
      <c r="B251" s="15" t="s">
        <v>56</v>
      </c>
      <c r="C251" s="15">
        <f t="shared" si="8"/>
        <v>2</v>
      </c>
      <c r="D251" s="15">
        <f t="shared" si="8"/>
        <v>0.13584200000000002</v>
      </c>
      <c r="E251" s="15">
        <f t="shared" si="8"/>
        <v>2.1063750423788846E-4</v>
      </c>
      <c r="F251" s="15"/>
      <c r="G251" s="106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  <c r="AE251" s="15"/>
      <c r="AF251" s="15"/>
      <c r="AG251" s="15"/>
      <c r="AH251" s="15"/>
      <c r="AI251" s="15"/>
      <c r="AJ251" s="15"/>
      <c r="AK251" s="15"/>
      <c r="AL251" s="15"/>
    </row>
    <row r="252" spans="1:38" x14ac:dyDescent="0.75">
      <c r="A252" s="83" t="s">
        <v>416</v>
      </c>
      <c r="B252" s="15" t="s">
        <v>56</v>
      </c>
      <c r="C252" s="15">
        <f t="shared" si="8"/>
        <v>4</v>
      </c>
      <c r="D252" s="15">
        <f t="shared" si="8"/>
        <v>0.271206</v>
      </c>
      <c r="E252" s="15">
        <f t="shared" si="8"/>
        <v>4.2127500847577692E-4</v>
      </c>
      <c r="F252" s="15"/>
      <c r="G252" s="106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  <c r="AE252" s="15"/>
      <c r="AF252" s="15"/>
      <c r="AG252" s="15"/>
      <c r="AH252" s="15"/>
      <c r="AI252" s="15"/>
      <c r="AJ252" s="15"/>
      <c r="AK252" s="15"/>
      <c r="AL252" s="15"/>
    </row>
    <row r="253" spans="1:38" x14ac:dyDescent="0.75">
      <c r="A253" s="83" t="s">
        <v>417</v>
      </c>
      <c r="B253" s="15" t="s">
        <v>56</v>
      </c>
      <c r="C253" s="15">
        <f t="shared" si="8"/>
        <v>1</v>
      </c>
      <c r="D253" s="15">
        <f t="shared" si="8"/>
        <v>3.1349999999999998E-3</v>
      </c>
      <c r="E253" s="15">
        <f t="shared" si="8"/>
        <v>4.7500880922277672E-6</v>
      </c>
      <c r="F253" s="15"/>
      <c r="G253" s="106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  <c r="AE253" s="15"/>
      <c r="AF253" s="15"/>
      <c r="AG253" s="15"/>
      <c r="AH253" s="15"/>
      <c r="AI253" s="15"/>
      <c r="AJ253" s="15"/>
      <c r="AK253" s="15"/>
      <c r="AL253" s="15"/>
    </row>
    <row r="254" spans="1:38" x14ac:dyDescent="0.75">
      <c r="A254" s="83" t="s">
        <v>418</v>
      </c>
      <c r="B254" s="15" t="s">
        <v>56</v>
      </c>
      <c r="C254" s="15">
        <f t="shared" si="8"/>
        <v>2</v>
      </c>
      <c r="D254" s="15">
        <f t="shared" si="8"/>
        <v>8.2249999999999997E-3</v>
      </c>
      <c r="E254" s="15">
        <f t="shared" si="8"/>
        <v>9.3132514215669447E-6</v>
      </c>
      <c r="F254" s="15"/>
      <c r="G254" s="106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  <c r="AE254" s="15"/>
      <c r="AF254" s="15"/>
      <c r="AG254" s="15"/>
      <c r="AH254" s="15"/>
      <c r="AI254" s="15"/>
      <c r="AJ254" s="15"/>
      <c r="AK254" s="15"/>
      <c r="AL254" s="15"/>
    </row>
    <row r="255" spans="1:38" ht="15" customHeight="1" thickBot="1" x14ac:dyDescent="0.9">
      <c r="A255" s="108" t="s">
        <v>44</v>
      </c>
      <c r="B255" s="70" t="s">
        <v>56</v>
      </c>
      <c r="C255" s="70"/>
      <c r="D255" s="70">
        <f>D244</f>
        <v>11.3391</v>
      </c>
      <c r="E255" s="70">
        <f>E244</f>
        <v>1.13391E-2</v>
      </c>
      <c r="F255" s="70"/>
      <c r="G255" s="74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  <c r="AE255" s="15"/>
      <c r="AF255" s="15"/>
      <c r="AG255" s="15"/>
      <c r="AH255" s="15"/>
      <c r="AI255" s="15"/>
      <c r="AJ255" s="15"/>
      <c r="AK255" s="15"/>
      <c r="AL255" s="15"/>
    </row>
    <row r="256" spans="1:38" ht="15" customHeight="1" thickBot="1" x14ac:dyDescent="0.9"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  <c r="AC256" s="15"/>
      <c r="AD256" s="15"/>
      <c r="AE256" s="15"/>
      <c r="AF256" s="15"/>
      <c r="AG256" s="15"/>
      <c r="AH256" s="15"/>
      <c r="AI256" s="15"/>
      <c r="AJ256" s="15"/>
      <c r="AK256" s="15"/>
      <c r="AL256" s="15"/>
    </row>
    <row r="257" spans="1:38" x14ac:dyDescent="0.75">
      <c r="A257" s="273" t="s">
        <v>428</v>
      </c>
      <c r="B257" s="274"/>
      <c r="C257" s="267"/>
      <c r="D257" s="267"/>
      <c r="E257" s="267"/>
      <c r="F257" s="302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  <c r="AE257" s="15"/>
      <c r="AF257" s="15"/>
      <c r="AG257" s="15"/>
      <c r="AH257" s="15"/>
      <c r="AI257" s="15"/>
      <c r="AJ257" s="15"/>
      <c r="AK257" s="15"/>
      <c r="AL257" s="15"/>
    </row>
    <row r="258" spans="1:38" ht="15" customHeight="1" thickBot="1" x14ac:dyDescent="0.9">
      <c r="A258" s="304" t="s">
        <v>59</v>
      </c>
      <c r="B258" s="286" t="s">
        <v>60</v>
      </c>
      <c r="C258" s="286" t="s">
        <v>61</v>
      </c>
      <c r="D258" s="286" t="s">
        <v>62</v>
      </c>
      <c r="E258" s="286" t="s">
        <v>63</v>
      </c>
      <c r="F258" s="283" t="s">
        <v>516</v>
      </c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  <c r="AE258" s="15"/>
      <c r="AF258" s="15"/>
      <c r="AG258" s="15"/>
      <c r="AH258" s="15"/>
      <c r="AI258" s="15"/>
      <c r="AJ258" s="15"/>
      <c r="AK258" s="15"/>
      <c r="AL258" s="15"/>
    </row>
    <row r="259" spans="1:38" x14ac:dyDescent="0.75">
      <c r="A259" s="58" t="s">
        <v>33</v>
      </c>
      <c r="B259" s="252">
        <f>SUM(D219:D233)</f>
        <v>467.40524411980351</v>
      </c>
      <c r="C259" s="140">
        <f>SUM(D234,D235,D242)</f>
        <v>0.92785400000000007</v>
      </c>
      <c r="D259" s="253"/>
      <c r="E259" s="254">
        <v>0</v>
      </c>
      <c r="F259" s="61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  <c r="AC259" s="15"/>
      <c r="AD259" s="15"/>
      <c r="AE259" s="15"/>
      <c r="AF259" s="15"/>
      <c r="AG259" s="15"/>
      <c r="AH259" s="15"/>
      <c r="AI259" s="15"/>
      <c r="AJ259" s="15"/>
      <c r="AK259" s="15"/>
      <c r="AL259" s="15"/>
    </row>
    <row r="260" spans="1:38" ht="16.5" customHeight="1" x14ac:dyDescent="0.75">
      <c r="A260" s="58" t="s">
        <v>499</v>
      </c>
      <c r="B260" s="255">
        <f>SUM(E219:E233)</f>
        <v>2.1956234496613747</v>
      </c>
      <c r="C260" s="22">
        <f>SUM(E234:E244)</f>
        <v>1.8117609285585506E-2</v>
      </c>
      <c r="D260" s="141"/>
      <c r="E260" s="256">
        <v>0</v>
      </c>
      <c r="F260" s="61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  <c r="AE260" s="15"/>
      <c r="AF260" s="15"/>
      <c r="AG260" s="15"/>
      <c r="AH260" s="15"/>
      <c r="AI260" s="15"/>
      <c r="AJ260" s="15"/>
      <c r="AK260" s="15"/>
      <c r="AL260" s="15"/>
    </row>
    <row r="261" spans="1:38" ht="16.75" x14ac:dyDescent="0.95">
      <c r="A261" s="58" t="s">
        <v>500</v>
      </c>
      <c r="B261" s="255">
        <f>SUM(F219:F224)</f>
        <v>0.90578333333333327</v>
      </c>
      <c r="C261" s="141"/>
      <c r="D261" s="141"/>
      <c r="E261" s="256">
        <v>0</v>
      </c>
      <c r="F261" s="54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  <c r="AE261" s="15"/>
      <c r="AF261" s="15"/>
      <c r="AG261" s="15"/>
      <c r="AH261" s="15"/>
      <c r="AI261" s="15"/>
      <c r="AJ261" s="15"/>
      <c r="AK261" s="15"/>
      <c r="AL261" s="15"/>
    </row>
    <row r="262" spans="1:38" ht="16.75" x14ac:dyDescent="0.95">
      <c r="A262" s="58" t="s">
        <v>501</v>
      </c>
      <c r="B262" s="255">
        <f>+B261</f>
        <v>0.90578333333333327</v>
      </c>
      <c r="C262" s="141"/>
      <c r="D262" s="141"/>
      <c r="E262" s="141"/>
      <c r="F262" s="54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  <c r="AE262" s="15"/>
      <c r="AF262" s="15"/>
      <c r="AG262" s="15"/>
      <c r="AH262" s="15"/>
      <c r="AI262" s="15"/>
      <c r="AJ262" s="15"/>
      <c r="AK262" s="15"/>
      <c r="AL262" s="15"/>
    </row>
    <row r="263" spans="1:38" x14ac:dyDescent="0.75">
      <c r="A263" s="58" t="s">
        <v>512</v>
      </c>
      <c r="B263" s="257"/>
      <c r="C263" s="141"/>
      <c r="D263" s="141"/>
      <c r="E263" s="141"/>
      <c r="F263" s="234">
        <f>+G234</f>
        <v>344</v>
      </c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  <c r="AE263" s="15"/>
      <c r="AF263" s="15"/>
      <c r="AG263" s="15"/>
      <c r="AH263" s="15"/>
      <c r="AI263" s="15"/>
      <c r="AJ263" s="15"/>
      <c r="AK263" s="15"/>
      <c r="AL263" s="15"/>
    </row>
    <row r="264" spans="1:38" x14ac:dyDescent="0.75">
      <c r="A264" s="64" t="s">
        <v>65</v>
      </c>
      <c r="B264" s="257"/>
      <c r="C264" s="22">
        <f>SUM(D247:D252,D254)</f>
        <v>0.44902428499999997</v>
      </c>
      <c r="D264" s="141"/>
      <c r="E264" s="256"/>
      <c r="F264" s="54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  <c r="AC264" s="15"/>
      <c r="AD264" s="15"/>
      <c r="AE264" s="15"/>
      <c r="AF264" s="15"/>
      <c r="AG264" s="15"/>
      <c r="AH264" s="15"/>
      <c r="AI264" s="15"/>
      <c r="AJ264" s="15"/>
      <c r="AK264" s="15"/>
      <c r="AL264" s="15"/>
    </row>
    <row r="265" spans="1:38" x14ac:dyDescent="0.75">
      <c r="A265" s="58" t="s">
        <v>66</v>
      </c>
      <c r="B265" s="258">
        <v>0</v>
      </c>
      <c r="C265" s="22">
        <f>D244</f>
        <v>11.3391</v>
      </c>
      <c r="D265" s="141"/>
      <c r="E265" s="256">
        <f>+D255</f>
        <v>11.3391</v>
      </c>
      <c r="F265" s="54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  <c r="AC265" s="15"/>
      <c r="AD265" s="15"/>
      <c r="AE265" s="15"/>
      <c r="AF265" s="15"/>
      <c r="AG265" s="15"/>
      <c r="AH265" s="15"/>
      <c r="AI265" s="15"/>
      <c r="AJ265" s="15"/>
      <c r="AK265" s="15"/>
      <c r="AL265" s="15"/>
    </row>
    <row r="266" spans="1:38" ht="15" customHeight="1" thickBot="1" x14ac:dyDescent="0.9">
      <c r="A266" s="66" t="s">
        <v>67</v>
      </c>
      <c r="B266" s="259"/>
      <c r="C266" s="260"/>
      <c r="D266" s="142">
        <f>SUM(D245:D254)</f>
        <v>1.3768782850000001</v>
      </c>
      <c r="E266" s="260"/>
      <c r="F266" s="216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  <c r="AC266" s="15"/>
      <c r="AD266" s="15"/>
      <c r="AE266" s="15"/>
      <c r="AF266" s="15"/>
      <c r="AG266" s="15"/>
      <c r="AH266" s="15"/>
      <c r="AI266" s="15"/>
      <c r="AJ266" s="15"/>
      <c r="AK266" s="15"/>
      <c r="AL266" s="15"/>
    </row>
    <row r="267" spans="1:38" ht="15" customHeight="1" thickBot="1" x14ac:dyDescent="0.9"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  <c r="AC267" s="15"/>
      <c r="AD267" s="15"/>
      <c r="AE267" s="15"/>
      <c r="AF267" s="15"/>
      <c r="AG267" s="15"/>
      <c r="AH267" s="15"/>
      <c r="AI267" s="15"/>
      <c r="AJ267" s="15"/>
      <c r="AK267" s="15"/>
      <c r="AL267" s="15"/>
    </row>
    <row r="268" spans="1:38" x14ac:dyDescent="0.75">
      <c r="A268" s="303" t="s">
        <v>68</v>
      </c>
      <c r="B268" s="267"/>
      <c r="C268" s="267"/>
      <c r="D268" s="267"/>
      <c r="E268" s="267"/>
      <c r="F268" s="267"/>
      <c r="G268" s="267"/>
      <c r="H268" s="268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  <c r="AE268" s="15"/>
      <c r="AF268" s="15"/>
      <c r="AG268" s="15"/>
      <c r="AH268" s="15"/>
      <c r="AI268" s="15"/>
      <c r="AJ268" s="15"/>
      <c r="AK268" s="15"/>
      <c r="AL268" s="15"/>
    </row>
    <row r="269" spans="1:38" ht="15.5" customHeight="1" thickBot="1" x14ac:dyDescent="0.9">
      <c r="A269" s="304" t="s">
        <v>69</v>
      </c>
      <c r="B269" s="290" t="s">
        <v>503</v>
      </c>
      <c r="C269" s="290" t="s">
        <v>504</v>
      </c>
      <c r="D269" s="290" t="s">
        <v>505</v>
      </c>
      <c r="E269" s="290" t="s">
        <v>506</v>
      </c>
      <c r="F269" s="290" t="s">
        <v>507</v>
      </c>
      <c r="G269" s="290" t="s">
        <v>508</v>
      </c>
      <c r="H269" s="291" t="s">
        <v>76</v>
      </c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  <c r="AC269" s="15"/>
      <c r="AD269" s="15"/>
      <c r="AE269" s="15"/>
      <c r="AF269" s="15"/>
      <c r="AG269" s="15"/>
      <c r="AH269" s="15"/>
      <c r="AI269" s="15"/>
      <c r="AJ269" s="15"/>
      <c r="AK269" s="15"/>
      <c r="AL269" s="15"/>
    </row>
    <row r="270" spans="1:38" ht="15" customHeight="1" thickBot="1" x14ac:dyDescent="0.9">
      <c r="A270" s="212" t="s">
        <v>485</v>
      </c>
      <c r="B270" s="70">
        <f>Assumptions!B13</f>
        <v>79.3</v>
      </c>
      <c r="C270" s="70">
        <f>Assumptions!C13</f>
        <v>162</v>
      </c>
      <c r="D270" s="70">
        <f>Assumptions!D13</f>
        <v>96</v>
      </c>
      <c r="E270" s="70">
        <f>Assumptions!E13</f>
        <v>0.21</v>
      </c>
      <c r="F270" s="70">
        <f>Assumptions!F13</f>
        <v>0.93</v>
      </c>
      <c r="G270" s="70">
        <f>Assumptions!G13</f>
        <v>0.3</v>
      </c>
      <c r="H270" s="210">
        <f>Assumptions!H13</f>
        <v>0.94</v>
      </c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  <c r="AC270" s="15"/>
      <c r="AD270" s="15"/>
      <c r="AE270" s="15"/>
      <c r="AF270" s="15"/>
      <c r="AG270" s="15"/>
      <c r="AH270" s="15"/>
      <c r="AI270" s="15"/>
      <c r="AJ270" s="15"/>
      <c r="AK270" s="15"/>
      <c r="AL270" s="15"/>
    </row>
    <row r="271" spans="1:38" ht="15" customHeight="1" thickBot="1" x14ac:dyDescent="0.9"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  <c r="AC271" s="15"/>
      <c r="AD271" s="15"/>
      <c r="AE271" s="15"/>
      <c r="AF271" s="15"/>
      <c r="AG271" s="15"/>
      <c r="AH271" s="15"/>
      <c r="AI271" s="15"/>
      <c r="AJ271" s="15"/>
      <c r="AK271" s="15"/>
      <c r="AL271" s="15"/>
    </row>
    <row r="272" spans="1:38" ht="17" customHeight="1" thickBot="1" x14ac:dyDescent="1.1000000000000001">
      <c r="A272" s="292" t="s">
        <v>80</v>
      </c>
      <c r="B272" s="293" t="s">
        <v>502</v>
      </c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  <c r="AC272" s="15"/>
      <c r="AD272" s="15"/>
      <c r="AE272" s="15"/>
      <c r="AF272" s="15"/>
      <c r="AG272" s="15"/>
      <c r="AH272" s="15"/>
      <c r="AI272" s="15"/>
      <c r="AJ272" s="15"/>
      <c r="AK272" s="15"/>
      <c r="AL272" s="15"/>
    </row>
    <row r="273" spans="1:38" x14ac:dyDescent="0.75">
      <c r="A273" s="83" t="s">
        <v>60</v>
      </c>
      <c r="B273" s="235">
        <f>B259+(B260*B270)+(B261*C270)+(B262*D270)+(B265*G270)</f>
        <v>875.21028367795054</v>
      </c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  <c r="AC273" s="15"/>
      <c r="AD273" s="15"/>
      <c r="AE273" s="15"/>
      <c r="AF273" s="15"/>
      <c r="AG273" s="15"/>
      <c r="AH273" s="15"/>
      <c r="AI273" s="15"/>
      <c r="AJ273" s="15"/>
      <c r="AK273" s="15"/>
      <c r="AL273" s="15"/>
    </row>
    <row r="274" spans="1:38" x14ac:dyDescent="0.75">
      <c r="A274" s="83" t="s">
        <v>516</v>
      </c>
      <c r="B274" s="235">
        <f>+F263*H270</f>
        <v>323.35999999999996</v>
      </c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  <c r="AC274" s="15"/>
      <c r="AD274" s="15"/>
      <c r="AE274" s="15"/>
      <c r="AF274" s="15"/>
      <c r="AG274" s="15"/>
      <c r="AH274" s="15"/>
      <c r="AI274" s="15"/>
      <c r="AJ274" s="15"/>
      <c r="AK274" s="15"/>
      <c r="AL274" s="15"/>
    </row>
    <row r="275" spans="1:38" x14ac:dyDescent="0.75">
      <c r="A275" s="83" t="s">
        <v>82</v>
      </c>
      <c r="B275" s="236">
        <f>C259+(C260*B270)+(C264*E270)+(C265*G270)</f>
        <v>5.860605516196931</v>
      </c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  <c r="AE275" s="15"/>
      <c r="AF275" s="15"/>
      <c r="AG275" s="15"/>
      <c r="AH275" s="15"/>
      <c r="AI275" s="15"/>
      <c r="AJ275" s="15"/>
      <c r="AK275" s="15"/>
      <c r="AL275" s="15"/>
    </row>
    <row r="276" spans="1:38" x14ac:dyDescent="0.75">
      <c r="A276" s="83" t="s">
        <v>83</v>
      </c>
      <c r="B276" s="236">
        <f>+(D266*F270)</f>
        <v>1.2804968050500001</v>
      </c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  <c r="AC276" s="15"/>
      <c r="AD276" s="15"/>
      <c r="AE276" s="15"/>
      <c r="AF276" s="15"/>
      <c r="AG276" s="15"/>
      <c r="AH276" s="15"/>
      <c r="AI276" s="15"/>
      <c r="AJ276" s="15"/>
      <c r="AK276" s="15"/>
      <c r="AL276" s="15"/>
    </row>
    <row r="277" spans="1:38" x14ac:dyDescent="0.75">
      <c r="A277" s="84" t="s">
        <v>84</v>
      </c>
      <c r="B277" s="237">
        <f>+E259+E260*B270+E261*C270-E264*E270+E265*G270</f>
        <v>3.4017300000000001</v>
      </c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  <c r="AE277" s="15"/>
      <c r="AF277" s="15"/>
      <c r="AG277" s="15"/>
      <c r="AH277" s="15"/>
      <c r="AI277" s="15"/>
      <c r="AJ277" s="15"/>
      <c r="AK277" s="15"/>
      <c r="AL277" s="15"/>
    </row>
    <row r="278" spans="1:38" ht="17" customHeight="1" thickBot="1" x14ac:dyDescent="1.1000000000000001">
      <c r="A278" s="85" t="s">
        <v>530</v>
      </c>
      <c r="B278" s="238">
        <f>B273+B274+B275+B276-B277</f>
        <v>1202.3096559991975</v>
      </c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  <c r="AC278" s="15"/>
      <c r="AD278" s="15"/>
      <c r="AE278" s="15"/>
      <c r="AF278" s="15"/>
      <c r="AG278" s="15"/>
      <c r="AH278" s="15"/>
      <c r="AI278" s="15"/>
      <c r="AJ278" s="15"/>
      <c r="AK278" s="15"/>
      <c r="AL278" s="15"/>
    </row>
    <row r="279" spans="1:38" x14ac:dyDescent="0.75"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  <c r="AE279" s="15"/>
      <c r="AF279" s="15"/>
      <c r="AG279" s="15"/>
      <c r="AH279" s="15"/>
      <c r="AI279" s="15"/>
      <c r="AJ279" s="15"/>
      <c r="AK279" s="15"/>
      <c r="AL279" s="15"/>
    </row>
    <row r="280" spans="1:38" x14ac:dyDescent="0.75">
      <c r="A280" s="362"/>
      <c r="B280" s="363"/>
      <c r="C280" s="363"/>
      <c r="D280" s="363"/>
      <c r="E280" s="363"/>
      <c r="F280" s="363"/>
      <c r="G280" s="363"/>
      <c r="H280" s="363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  <c r="AC280" s="15"/>
      <c r="AD280" s="15"/>
      <c r="AE280" s="15"/>
      <c r="AF280" s="15"/>
      <c r="AG280" s="15"/>
      <c r="AH280" s="15"/>
      <c r="AI280" s="15"/>
      <c r="AJ280" s="15"/>
      <c r="AK280" s="15"/>
      <c r="AL280" s="15"/>
    </row>
    <row r="281" spans="1:38" ht="15" customHeight="1" thickBot="1" x14ac:dyDescent="0.9"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  <c r="AE281" s="15"/>
      <c r="AF281" s="15"/>
      <c r="AG281" s="15"/>
      <c r="AH281" s="15"/>
      <c r="AI281" s="15"/>
      <c r="AJ281" s="15"/>
      <c r="AK281" s="15"/>
      <c r="AL281" s="15"/>
    </row>
    <row r="282" spans="1:38" x14ac:dyDescent="0.75">
      <c r="A282" s="294" t="s">
        <v>236</v>
      </c>
      <c r="B282" s="29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  <c r="AC282" s="15"/>
      <c r="AD282" s="15"/>
      <c r="AE282" s="15"/>
      <c r="AF282" s="15"/>
      <c r="AG282" s="15"/>
      <c r="AH282" s="15"/>
      <c r="AI282" s="15"/>
      <c r="AJ282" s="15"/>
      <c r="AK282" s="15"/>
      <c r="AL282" s="15"/>
    </row>
    <row r="283" spans="1:38" ht="17" customHeight="1" thickBot="1" x14ac:dyDescent="0.9">
      <c r="A283" s="296" t="s">
        <v>80</v>
      </c>
      <c r="B283" s="244" t="s">
        <v>81</v>
      </c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  <c r="AC283" s="15"/>
      <c r="AD283" s="15"/>
      <c r="AE283" s="15"/>
      <c r="AF283" s="15"/>
      <c r="AG283" s="15"/>
      <c r="AH283" s="15"/>
      <c r="AI283" s="15"/>
      <c r="AJ283" s="15"/>
      <c r="AK283" s="15"/>
      <c r="AL283" s="15"/>
    </row>
    <row r="284" spans="1:38" x14ac:dyDescent="0.75">
      <c r="A284" s="83" t="s">
        <v>60</v>
      </c>
      <c r="B284" s="235">
        <f>B69+B273</f>
        <v>899.86544210755926</v>
      </c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  <c r="AC284" s="15"/>
      <c r="AD284" s="15"/>
      <c r="AE284" s="15"/>
      <c r="AF284" s="15"/>
      <c r="AG284" s="15"/>
      <c r="AH284" s="15"/>
      <c r="AI284" s="15"/>
      <c r="AJ284" s="15"/>
      <c r="AK284" s="15"/>
      <c r="AL284" s="15"/>
    </row>
    <row r="285" spans="1:38" x14ac:dyDescent="0.75">
      <c r="A285" s="83" t="s">
        <v>516</v>
      </c>
      <c r="B285" s="235">
        <f>B70+B274</f>
        <v>355.75432995726067</v>
      </c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  <c r="AC285" s="15"/>
      <c r="AD285" s="15"/>
      <c r="AE285" s="15"/>
      <c r="AF285" s="15"/>
      <c r="AG285" s="15"/>
      <c r="AH285" s="15"/>
      <c r="AI285" s="15"/>
      <c r="AJ285" s="15"/>
      <c r="AK285" s="15"/>
      <c r="AL285" s="15"/>
    </row>
    <row r="286" spans="1:38" x14ac:dyDescent="0.75">
      <c r="A286" s="83" t="s">
        <v>82</v>
      </c>
      <c r="B286" s="235">
        <f>B71+B275</f>
        <v>30.66201648349352</v>
      </c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  <c r="AC286" s="15"/>
      <c r="AD286" s="15"/>
      <c r="AE286" s="15"/>
      <c r="AF286" s="15"/>
      <c r="AG286" s="15"/>
      <c r="AH286" s="15"/>
      <c r="AI286" s="15"/>
      <c r="AJ286" s="15"/>
      <c r="AK286" s="15"/>
      <c r="AL286" s="15"/>
    </row>
    <row r="287" spans="1:38" x14ac:dyDescent="0.75">
      <c r="A287" s="83" t="s">
        <v>83</v>
      </c>
      <c r="B287" s="235">
        <f>B72+B276</f>
        <v>1.4076060576485998</v>
      </c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  <c r="AE287" s="15"/>
      <c r="AF287" s="15"/>
      <c r="AG287" s="15"/>
      <c r="AH287" s="15"/>
      <c r="AI287" s="15"/>
      <c r="AJ287" s="15"/>
      <c r="AK287" s="15"/>
      <c r="AL287" s="15"/>
    </row>
    <row r="288" spans="1:38" x14ac:dyDescent="0.75">
      <c r="A288" s="84" t="s">
        <v>84</v>
      </c>
      <c r="B288" s="239">
        <f>B73+B277</f>
        <v>29.780953509142911</v>
      </c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  <c r="AC288" s="15"/>
      <c r="AD288" s="15"/>
      <c r="AE288" s="15"/>
      <c r="AF288" s="15"/>
      <c r="AG288" s="15"/>
      <c r="AH288" s="15"/>
      <c r="AI288" s="15"/>
      <c r="AJ288" s="15"/>
      <c r="AK288" s="15"/>
      <c r="AL288" s="15"/>
    </row>
    <row r="289" spans="1:38" ht="17" customHeight="1" thickBot="1" x14ac:dyDescent="1.1000000000000001">
      <c r="A289" s="85" t="s">
        <v>536</v>
      </c>
      <c r="B289" s="238">
        <f>B284+B285+B286+B287-B288</f>
        <v>1257.9084410968192</v>
      </c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  <c r="AC289" s="15"/>
      <c r="AD289" s="15"/>
      <c r="AE289" s="15"/>
      <c r="AF289" s="15"/>
      <c r="AG289" s="15"/>
      <c r="AH289" s="15"/>
      <c r="AI289" s="15"/>
      <c r="AJ289" s="15"/>
      <c r="AK289" s="15"/>
      <c r="AL289" s="15"/>
    </row>
    <row r="290" spans="1:38" x14ac:dyDescent="0.75"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  <c r="AC290" s="15"/>
      <c r="AD290" s="15"/>
      <c r="AE290" s="15"/>
      <c r="AF290" s="15"/>
      <c r="AG290" s="15"/>
      <c r="AH290" s="15"/>
      <c r="AI290" s="15"/>
      <c r="AJ290" s="15"/>
      <c r="AK290" s="15"/>
      <c r="AL290" s="15"/>
    </row>
    <row r="291" spans="1:38" x14ac:dyDescent="0.75">
      <c r="A291" s="362"/>
      <c r="B291" s="363"/>
      <c r="C291" s="363"/>
      <c r="D291" s="363"/>
      <c r="E291" s="363"/>
      <c r="F291" s="363"/>
      <c r="G291" s="363"/>
      <c r="H291" s="363"/>
    </row>
    <row r="292" spans="1:38" ht="15" customHeight="1" thickBot="1" x14ac:dyDescent="0.9"/>
    <row r="293" spans="1:38" x14ac:dyDescent="0.75">
      <c r="A293" s="312" t="s">
        <v>546</v>
      </c>
      <c r="B293" s="313"/>
      <c r="C293" s="313"/>
      <c r="D293" s="313"/>
      <c r="E293" s="313"/>
      <c r="F293" s="313"/>
      <c r="G293" s="313"/>
      <c r="H293" s="313"/>
      <c r="I293" s="313"/>
      <c r="J293" s="313"/>
      <c r="K293" s="313"/>
      <c r="L293" s="313"/>
      <c r="M293" s="313"/>
      <c r="N293" s="313"/>
      <c r="O293" s="313"/>
      <c r="P293" s="313"/>
      <c r="Q293" s="313"/>
      <c r="R293" s="295"/>
    </row>
    <row r="294" spans="1:38" x14ac:dyDescent="0.75">
      <c r="A294" s="314"/>
      <c r="B294" s="389" t="s">
        <v>344</v>
      </c>
      <c r="C294" s="389"/>
      <c r="D294" s="389"/>
      <c r="E294" s="390"/>
      <c r="F294" s="391" t="s">
        <v>543</v>
      </c>
      <c r="G294" s="389"/>
      <c r="H294" s="389"/>
      <c r="I294" s="389"/>
      <c r="J294" s="391" t="s">
        <v>544</v>
      </c>
      <c r="K294" s="389"/>
      <c r="L294" s="389"/>
      <c r="M294" s="389"/>
      <c r="N294" s="391" t="s">
        <v>545</v>
      </c>
      <c r="O294" s="389"/>
      <c r="P294" s="389"/>
      <c r="Q294" s="389"/>
      <c r="R294" s="392"/>
    </row>
    <row r="295" spans="1:38" ht="15.5" thickBot="1" x14ac:dyDescent="0.9">
      <c r="A295" s="315"/>
      <c r="B295" s="246" t="s">
        <v>60</v>
      </c>
      <c r="C295" s="243" t="s">
        <v>42</v>
      </c>
      <c r="D295" s="243" t="s">
        <v>47</v>
      </c>
      <c r="E295" s="243" t="s">
        <v>56</v>
      </c>
      <c r="F295" s="242" t="s">
        <v>60</v>
      </c>
      <c r="G295" s="243" t="s">
        <v>42</v>
      </c>
      <c r="H295" s="243" t="s">
        <v>47</v>
      </c>
      <c r="I295" s="243" t="s">
        <v>56</v>
      </c>
      <c r="J295" s="242" t="s">
        <v>60</v>
      </c>
      <c r="K295" s="243" t="s">
        <v>42</v>
      </c>
      <c r="L295" s="243" t="s">
        <v>47</v>
      </c>
      <c r="M295" s="243" t="s">
        <v>56</v>
      </c>
      <c r="N295" s="242" t="s">
        <v>60</v>
      </c>
      <c r="O295" s="246" t="s">
        <v>516</v>
      </c>
      <c r="P295" s="243" t="s">
        <v>42</v>
      </c>
      <c r="Q295" s="243" t="s">
        <v>47</v>
      </c>
      <c r="R295" s="244" t="s">
        <v>56</v>
      </c>
    </row>
    <row r="296" spans="1:38" x14ac:dyDescent="0.75">
      <c r="A296" s="353" t="s">
        <v>554</v>
      </c>
      <c r="B296" s="348">
        <f>D33</f>
        <v>1.3825423199999999E-2</v>
      </c>
      <c r="C296" s="105"/>
      <c r="D296" s="105"/>
      <c r="E296" s="341"/>
      <c r="F296" s="348">
        <f>E33</f>
        <v>7.4585973E-6</v>
      </c>
      <c r="G296" s="105"/>
      <c r="H296" s="105"/>
      <c r="I296" s="341"/>
      <c r="J296" s="349"/>
      <c r="K296" s="105"/>
      <c r="L296" s="105"/>
      <c r="M296" s="341"/>
      <c r="N296" s="349"/>
      <c r="O296" s="105"/>
      <c r="P296" s="105"/>
      <c r="Q296" s="105"/>
      <c r="R296" s="72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  <c r="AC296" s="15"/>
      <c r="AD296" s="15"/>
      <c r="AE296" s="15"/>
      <c r="AF296" s="15"/>
      <c r="AG296" s="15"/>
      <c r="AH296" s="15"/>
      <c r="AI296" s="15"/>
      <c r="AJ296" s="15"/>
      <c r="AK296" s="15"/>
      <c r="AL296" s="15"/>
    </row>
    <row r="297" spans="1:38" x14ac:dyDescent="0.75">
      <c r="A297" s="353" t="s">
        <v>541</v>
      </c>
      <c r="B297" s="350">
        <f>D32</f>
        <v>3.4018333333333338E-2</v>
      </c>
      <c r="C297" s="15"/>
      <c r="D297" s="15"/>
      <c r="E297" s="343"/>
      <c r="F297" s="350">
        <f>E32</f>
        <v>1.0735999999999999E-4</v>
      </c>
      <c r="G297" s="15"/>
      <c r="H297" s="15"/>
      <c r="I297" s="343"/>
      <c r="J297" s="149"/>
      <c r="K297" s="15"/>
      <c r="L297" s="15"/>
      <c r="M297" s="343"/>
      <c r="N297" s="149"/>
      <c r="O297" s="15"/>
      <c r="P297" s="15"/>
      <c r="Q297" s="15"/>
      <c r="R297" s="106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  <c r="AE297" s="15"/>
      <c r="AF297" s="15"/>
      <c r="AG297" s="15"/>
      <c r="AH297" s="15"/>
      <c r="AI297" s="15"/>
      <c r="AJ297" s="15"/>
      <c r="AK297" s="15"/>
      <c r="AL297" s="15"/>
    </row>
    <row r="298" spans="1:38" x14ac:dyDescent="0.75">
      <c r="A298" s="353" t="s">
        <v>547</v>
      </c>
      <c r="B298" s="350">
        <f>D31+D219</f>
        <v>412.01005361930294</v>
      </c>
      <c r="C298" s="15"/>
      <c r="D298" s="15"/>
      <c r="E298" s="343"/>
      <c r="F298" s="350">
        <f>E31+E219</f>
        <v>2.0000526809651475</v>
      </c>
      <c r="G298" s="15"/>
      <c r="H298" s="15"/>
      <c r="I298" s="343"/>
      <c r="J298" s="350">
        <f>F31+F219</f>
        <v>0.2050044235924933</v>
      </c>
      <c r="K298" s="15"/>
      <c r="L298" s="15"/>
      <c r="M298" s="343"/>
      <c r="N298" s="149"/>
      <c r="O298" s="15"/>
      <c r="P298" s="15"/>
      <c r="Q298" s="15"/>
      <c r="R298" s="106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  <c r="AC298" s="15"/>
      <c r="AD298" s="15"/>
      <c r="AE298" s="15"/>
      <c r="AF298" s="15"/>
      <c r="AG298" s="15"/>
      <c r="AH298" s="15"/>
      <c r="AI298" s="15"/>
      <c r="AJ298" s="15"/>
      <c r="AK298" s="15"/>
      <c r="AL298" s="15"/>
    </row>
    <row r="299" spans="1:38" x14ac:dyDescent="0.75">
      <c r="A299" s="353" t="s">
        <v>37</v>
      </c>
      <c r="B299" s="350">
        <f>D30</f>
        <v>0.24299999999999999</v>
      </c>
      <c r="C299" s="15"/>
      <c r="D299" s="15"/>
      <c r="E299" s="343"/>
      <c r="F299" s="350">
        <f>E30</f>
        <v>8.9999999999999992E-5</v>
      </c>
      <c r="G299" s="15"/>
      <c r="H299" s="15"/>
      <c r="I299" s="343"/>
      <c r="J299" s="350">
        <f>F30</f>
        <v>5.0700000000000002E-2</v>
      </c>
      <c r="K299" s="15"/>
      <c r="L299" s="15"/>
      <c r="M299" s="343"/>
      <c r="N299" s="149"/>
      <c r="O299" s="15"/>
      <c r="P299" s="15"/>
      <c r="Q299" s="15"/>
      <c r="R299" s="106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  <c r="AC299" s="15"/>
      <c r="AD299" s="15"/>
      <c r="AE299" s="15"/>
      <c r="AF299" s="15"/>
      <c r="AG299" s="15"/>
      <c r="AH299" s="15"/>
      <c r="AI299" s="15"/>
      <c r="AJ299" s="15"/>
      <c r="AK299" s="15"/>
      <c r="AL299" s="15"/>
    </row>
    <row r="300" spans="1:38" x14ac:dyDescent="0.75">
      <c r="A300" s="353" t="s">
        <v>36</v>
      </c>
      <c r="B300" s="350">
        <f>D29</f>
        <v>3.2607899999999987</v>
      </c>
      <c r="C300" s="15"/>
      <c r="D300" s="15"/>
      <c r="E300" s="343"/>
      <c r="F300" s="350">
        <f>E29</f>
        <v>3.6230999999999992E-2</v>
      </c>
      <c r="G300" s="15"/>
      <c r="H300" s="15"/>
      <c r="I300" s="343"/>
      <c r="J300" s="350">
        <f>F29</f>
        <v>1.9741249999999995E-2</v>
      </c>
      <c r="K300" s="15"/>
      <c r="L300" s="15"/>
      <c r="M300" s="343"/>
      <c r="N300" s="149"/>
      <c r="O300" s="15"/>
      <c r="P300" s="15"/>
      <c r="Q300" s="15"/>
      <c r="R300" s="106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  <c r="AC300" s="15"/>
      <c r="AD300" s="15"/>
      <c r="AE300" s="15"/>
      <c r="AF300" s="15"/>
      <c r="AG300" s="15"/>
      <c r="AH300" s="15"/>
      <c r="AI300" s="15"/>
      <c r="AJ300" s="15"/>
      <c r="AK300" s="15"/>
      <c r="AL300" s="15"/>
    </row>
    <row r="301" spans="1:38" x14ac:dyDescent="0.75">
      <c r="A301" s="353" t="s">
        <v>556</v>
      </c>
      <c r="B301" s="149"/>
      <c r="C301" s="26">
        <f>C37*Assumptions!B7</f>
        <v>0.1475072</v>
      </c>
      <c r="D301" s="26"/>
      <c r="E301" s="343"/>
      <c r="F301" s="149"/>
      <c r="G301" s="26">
        <f>D37*Assumptions!B7</f>
        <v>4.1033127046699689E-9</v>
      </c>
      <c r="H301" s="15"/>
      <c r="I301" s="343"/>
      <c r="J301" s="149"/>
      <c r="K301" s="15"/>
      <c r="L301" s="15"/>
      <c r="M301" s="343"/>
      <c r="N301" s="149"/>
      <c r="O301" s="26">
        <f>F37*Assumptions!B7</f>
        <v>2.2400000000000002</v>
      </c>
      <c r="P301" s="15"/>
      <c r="Q301" s="15"/>
      <c r="R301" s="106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  <c r="AC301" s="15"/>
      <c r="AD301" s="15"/>
      <c r="AE301" s="15"/>
      <c r="AF301" s="15"/>
      <c r="AG301" s="15"/>
      <c r="AH301" s="15"/>
      <c r="AI301" s="15"/>
      <c r="AJ301" s="15"/>
      <c r="AK301" s="15"/>
      <c r="AL301" s="15"/>
    </row>
    <row r="302" spans="1:38" x14ac:dyDescent="0.75">
      <c r="A302" s="353" t="s">
        <v>44</v>
      </c>
      <c r="B302" s="149"/>
      <c r="C302" s="26">
        <f>(C38*Assumptions!B7)+D244</f>
        <v>57.809149337122498</v>
      </c>
      <c r="D302" s="26">
        <f>C43*Assumptions!B7</f>
        <v>39.317930543093169</v>
      </c>
      <c r="E302" s="343">
        <f>D255</f>
        <v>11.3391</v>
      </c>
      <c r="F302" s="149"/>
      <c r="G302" s="26">
        <f>D38*Assumptions!B7</f>
        <v>4.6470049337122503E-2</v>
      </c>
      <c r="H302" s="26">
        <f>D43*Assumptions!B7</f>
        <v>3.9317930543093169E-2</v>
      </c>
      <c r="I302" s="343">
        <f>E255</f>
        <v>1.13391E-2</v>
      </c>
      <c r="J302" s="149"/>
      <c r="K302" s="15"/>
      <c r="L302" s="15"/>
      <c r="M302" s="343"/>
      <c r="N302" s="149"/>
      <c r="O302" s="26">
        <f>F38*Assumptions!B7</f>
        <v>3.6932694052220584E-2</v>
      </c>
      <c r="P302" s="15"/>
      <c r="Q302" s="15"/>
      <c r="R302" s="106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  <c r="AC302" s="15"/>
      <c r="AD302" s="15"/>
      <c r="AE302" s="15"/>
      <c r="AF302" s="15"/>
      <c r="AG302" s="15"/>
      <c r="AH302" s="15"/>
      <c r="AI302" s="15"/>
      <c r="AJ302" s="15"/>
      <c r="AK302" s="15"/>
      <c r="AL302" s="15"/>
    </row>
    <row r="303" spans="1:38" x14ac:dyDescent="0.75">
      <c r="A303" s="353" t="s">
        <v>557</v>
      </c>
      <c r="B303" s="149"/>
      <c r="C303" s="26">
        <f>C39*Assumptions!B7</f>
        <v>1.7837063737561099</v>
      </c>
      <c r="D303" s="15"/>
      <c r="E303" s="343"/>
      <c r="F303" s="149"/>
      <c r="G303" s="15"/>
      <c r="H303" s="15"/>
      <c r="I303" s="343"/>
      <c r="J303" s="149"/>
      <c r="K303" s="15"/>
      <c r="L303" s="15"/>
      <c r="M303" s="343"/>
      <c r="N303" s="149"/>
      <c r="O303" s="26">
        <f>F39*Assumptions!B7</f>
        <v>7.5527872290875153E-2</v>
      </c>
      <c r="P303" s="15"/>
      <c r="Q303" s="15"/>
      <c r="R303" s="106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  <c r="AE303" s="15"/>
      <c r="AF303" s="15"/>
      <c r="AG303" s="15"/>
      <c r="AH303" s="15"/>
      <c r="AI303" s="15"/>
      <c r="AJ303" s="15"/>
      <c r="AK303" s="15"/>
      <c r="AL303" s="15"/>
    </row>
    <row r="304" spans="1:38" x14ac:dyDescent="0.75">
      <c r="A304" s="353" t="s">
        <v>46</v>
      </c>
      <c r="B304" s="149"/>
      <c r="C304" s="26">
        <f>C40*Assumptions!B7</f>
        <v>0.20033421752909375</v>
      </c>
      <c r="D304" s="15"/>
      <c r="E304" s="343"/>
      <c r="F304" s="149"/>
      <c r="G304" s="26">
        <f>D40*Assumptions!B7</f>
        <v>0.11007374589510645</v>
      </c>
      <c r="H304" s="15"/>
      <c r="I304" s="343"/>
      <c r="J304" s="149"/>
      <c r="K304" s="15"/>
      <c r="L304" s="15"/>
      <c r="M304" s="343"/>
      <c r="N304" s="149"/>
      <c r="O304" s="26">
        <f>(F40/5)*Assumptions!B7</f>
        <v>32.0565</v>
      </c>
      <c r="P304" s="15"/>
      <c r="Q304" s="15"/>
      <c r="R304" s="106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  <c r="AC304" s="15"/>
      <c r="AD304" s="15"/>
      <c r="AE304" s="15"/>
      <c r="AF304" s="15"/>
      <c r="AG304" s="15"/>
      <c r="AH304" s="15"/>
      <c r="AI304" s="15"/>
      <c r="AJ304" s="15"/>
      <c r="AK304" s="15"/>
      <c r="AL304" s="15"/>
    </row>
    <row r="305" spans="1:38" x14ac:dyDescent="0.75">
      <c r="A305" s="353" t="s">
        <v>50</v>
      </c>
      <c r="B305" s="149"/>
      <c r="C305" s="15"/>
      <c r="D305" s="26">
        <f>C45*Assumptions!B7</f>
        <v>4.3000000000000004E-4</v>
      </c>
      <c r="E305" s="343"/>
      <c r="F305" s="149"/>
      <c r="G305" s="15"/>
      <c r="H305" s="15"/>
      <c r="I305" s="343"/>
      <c r="J305" s="149"/>
      <c r="K305" s="15"/>
      <c r="L305" s="15"/>
      <c r="M305" s="343"/>
      <c r="N305" s="149"/>
      <c r="O305" s="15"/>
      <c r="P305" s="15"/>
      <c r="Q305" s="15"/>
      <c r="R305" s="106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  <c r="AC305" s="15"/>
      <c r="AD305" s="15"/>
      <c r="AE305" s="15"/>
      <c r="AF305" s="15"/>
      <c r="AG305" s="15"/>
      <c r="AH305" s="15"/>
      <c r="AI305" s="15"/>
      <c r="AJ305" s="15"/>
      <c r="AK305" s="15"/>
      <c r="AL305" s="15"/>
    </row>
    <row r="306" spans="1:38" x14ac:dyDescent="0.75">
      <c r="A306" s="353" t="s">
        <v>140</v>
      </c>
      <c r="B306" s="149"/>
      <c r="C306" s="15"/>
      <c r="D306" s="26">
        <f>C46*Assumptions!B7</f>
        <v>1.1528150134048256</v>
      </c>
      <c r="E306" s="343"/>
      <c r="F306" s="149"/>
      <c r="G306" s="26"/>
      <c r="H306" s="26">
        <f>D46*Assumptions!B7</f>
        <v>1.9213583556747092E-2</v>
      </c>
      <c r="I306" s="343"/>
      <c r="J306" s="149"/>
      <c r="K306" s="15"/>
      <c r="L306" s="15"/>
      <c r="M306" s="343"/>
      <c r="N306" s="149"/>
      <c r="O306" s="26">
        <f>F45*Assumptions!B7</f>
        <v>5.3092579678938726E-2</v>
      </c>
      <c r="P306" s="15"/>
      <c r="Q306" s="15"/>
      <c r="R306" s="106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  <c r="AC306" s="15"/>
      <c r="AD306" s="15"/>
      <c r="AE306" s="15"/>
      <c r="AF306" s="15"/>
      <c r="AG306" s="15"/>
      <c r="AH306" s="15"/>
      <c r="AI306" s="15"/>
      <c r="AJ306" s="15"/>
      <c r="AK306" s="15"/>
      <c r="AL306" s="15"/>
    </row>
    <row r="307" spans="1:38" x14ac:dyDescent="0.75">
      <c r="A307" s="353" t="s">
        <v>48</v>
      </c>
      <c r="B307" s="149"/>
      <c r="C307" s="15"/>
      <c r="D307" s="26">
        <f>C42*Assumptions!B7</f>
        <v>0.14566357125012611</v>
      </c>
      <c r="E307" s="343"/>
      <c r="F307" s="149"/>
      <c r="G307" s="15"/>
      <c r="H307" s="26">
        <f>D42*Assumptions!B7</f>
        <v>0.11204890096163547</v>
      </c>
      <c r="I307" s="343"/>
      <c r="J307" s="149"/>
      <c r="K307" s="15"/>
      <c r="L307" s="15"/>
      <c r="M307" s="343"/>
      <c r="N307" s="149"/>
      <c r="O307" s="15"/>
      <c r="P307" s="15"/>
      <c r="Q307" s="15"/>
      <c r="R307" s="106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  <c r="AE307" s="15"/>
      <c r="AF307" s="15"/>
      <c r="AG307" s="15"/>
      <c r="AH307" s="15"/>
      <c r="AI307" s="15"/>
      <c r="AJ307" s="15"/>
      <c r="AK307" s="15"/>
      <c r="AL307" s="15"/>
    </row>
    <row r="308" spans="1:38" x14ac:dyDescent="0.75">
      <c r="A308" s="353" t="s">
        <v>57</v>
      </c>
      <c r="B308" s="149"/>
      <c r="C308" s="15"/>
      <c r="D308" s="15"/>
      <c r="E308" s="344">
        <f>(C48+C46)*Assumptions!B7</f>
        <v>1.2894916291022447</v>
      </c>
      <c r="F308" s="149"/>
      <c r="G308" s="15"/>
      <c r="I308" s="26">
        <f>D48*Assumptions!B7</f>
        <v>2.2779435949569849E-3</v>
      </c>
      <c r="J308" s="149"/>
      <c r="K308" s="15"/>
      <c r="L308" s="15"/>
      <c r="M308" s="343"/>
      <c r="N308" s="149"/>
      <c r="O308" s="15"/>
      <c r="P308" s="15"/>
      <c r="Q308" s="15"/>
      <c r="R308" s="106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  <c r="AC308" s="15"/>
      <c r="AD308" s="15"/>
      <c r="AE308" s="15"/>
      <c r="AF308" s="15"/>
      <c r="AG308" s="15"/>
      <c r="AH308" s="15"/>
      <c r="AI308" s="15"/>
      <c r="AJ308" s="15"/>
      <c r="AK308" s="15"/>
      <c r="AL308" s="15"/>
    </row>
    <row r="309" spans="1:38" x14ac:dyDescent="0.75">
      <c r="A309" s="353" t="s">
        <v>423</v>
      </c>
      <c r="B309" s="350">
        <f>D233</f>
        <v>1.25</v>
      </c>
      <c r="C309" s="26"/>
      <c r="D309" s="26"/>
      <c r="E309" s="344"/>
      <c r="F309" s="350">
        <f>E233</f>
        <v>4.9501190000000002E-3</v>
      </c>
      <c r="G309" s="26"/>
      <c r="H309" s="26"/>
      <c r="I309" s="344"/>
      <c r="J309" s="350">
        <f>F233</f>
        <v>3.6666666666666667E-4</v>
      </c>
      <c r="K309" s="26"/>
      <c r="L309" s="26"/>
      <c r="M309" s="344"/>
      <c r="N309" s="149"/>
      <c r="O309" s="15"/>
      <c r="P309" s="15"/>
      <c r="Q309" s="15"/>
      <c r="R309" s="106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  <c r="AE309" s="15"/>
      <c r="AF309" s="15"/>
      <c r="AG309" s="15"/>
      <c r="AH309" s="15"/>
      <c r="AI309" s="15"/>
      <c r="AJ309" s="15"/>
      <c r="AK309" s="15"/>
      <c r="AL309" s="15"/>
    </row>
    <row r="310" spans="1:38" x14ac:dyDescent="0.75">
      <c r="A310" s="353" t="s">
        <v>384</v>
      </c>
      <c r="B310" s="350">
        <f t="shared" ref="B310:B321" si="9">D220</f>
        <v>21.666666666666668</v>
      </c>
      <c r="C310" s="26"/>
      <c r="D310" s="26"/>
      <c r="E310" s="344"/>
      <c r="F310" s="350">
        <f t="shared" ref="F310:F315" si="10">E220</f>
        <v>9.7066666666666648E-2</v>
      </c>
      <c r="G310" s="26"/>
      <c r="H310" s="26"/>
      <c r="I310" s="344"/>
      <c r="J310" s="350">
        <f>F220</f>
        <v>0.11666666666666665</v>
      </c>
      <c r="K310" s="26"/>
      <c r="L310" s="26"/>
      <c r="M310" s="344"/>
      <c r="N310" s="149"/>
      <c r="O310" s="15"/>
      <c r="P310" s="15"/>
      <c r="Q310" s="15"/>
      <c r="R310" s="106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  <c r="AC310" s="15"/>
      <c r="AD310" s="15"/>
      <c r="AE310" s="15"/>
      <c r="AF310" s="15"/>
      <c r="AG310" s="15"/>
      <c r="AH310" s="15"/>
      <c r="AI310" s="15"/>
      <c r="AJ310" s="15"/>
      <c r="AK310" s="15"/>
      <c r="AL310" s="15"/>
    </row>
    <row r="311" spans="1:38" x14ac:dyDescent="0.75">
      <c r="A311" s="353" t="s">
        <v>394</v>
      </c>
      <c r="B311" s="350">
        <f t="shared" si="9"/>
        <v>10</v>
      </c>
      <c r="C311" s="26"/>
      <c r="D311" s="26"/>
      <c r="E311" s="344"/>
      <c r="F311" s="350">
        <f t="shared" si="10"/>
        <v>4.3305729999999994E-2</v>
      </c>
      <c r="G311" s="26"/>
      <c r="H311" s="26"/>
      <c r="I311" s="344"/>
      <c r="J311" s="350">
        <f t="shared" ref="J311:J314" si="11">F221</f>
        <v>0.12</v>
      </c>
      <c r="K311" s="26"/>
      <c r="L311" s="26"/>
      <c r="M311" s="344"/>
      <c r="N311" s="149"/>
      <c r="O311" s="15"/>
      <c r="P311" s="15"/>
      <c r="Q311" s="15"/>
      <c r="R311" s="106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  <c r="AE311" s="15"/>
      <c r="AF311" s="15"/>
      <c r="AG311" s="15"/>
      <c r="AH311" s="15"/>
      <c r="AI311" s="15"/>
      <c r="AJ311" s="15"/>
      <c r="AK311" s="15"/>
      <c r="AL311" s="15"/>
    </row>
    <row r="312" spans="1:38" x14ac:dyDescent="0.75">
      <c r="A312" s="353" t="s">
        <v>395</v>
      </c>
      <c r="B312" s="350">
        <f t="shared" si="9"/>
        <v>1.0959939531368101</v>
      </c>
      <c r="C312" s="26"/>
      <c r="D312" s="26"/>
      <c r="E312" s="344"/>
      <c r="F312" s="350">
        <f t="shared" si="10"/>
        <v>8.5244195962880015E-4</v>
      </c>
      <c r="G312" s="26"/>
      <c r="H312" s="26"/>
      <c r="I312" s="344"/>
      <c r="J312" s="350">
        <f t="shared" si="11"/>
        <v>7.2450000000000001E-2</v>
      </c>
      <c r="K312" s="26"/>
      <c r="L312" s="26"/>
      <c r="M312" s="344"/>
      <c r="N312" s="149"/>
      <c r="O312" s="15"/>
      <c r="P312" s="15"/>
      <c r="Q312" s="15"/>
      <c r="R312" s="106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  <c r="AC312" s="15"/>
      <c r="AD312" s="15"/>
      <c r="AE312" s="15"/>
      <c r="AF312" s="15"/>
      <c r="AG312" s="15"/>
      <c r="AH312" s="15"/>
      <c r="AI312" s="15"/>
      <c r="AJ312" s="15"/>
      <c r="AK312" s="15"/>
      <c r="AL312" s="15"/>
    </row>
    <row r="313" spans="1:38" x14ac:dyDescent="0.75">
      <c r="A313" s="353" t="s">
        <v>396</v>
      </c>
      <c r="B313" s="350">
        <f t="shared" si="9"/>
        <v>8</v>
      </c>
      <c r="C313" s="26"/>
      <c r="D313" s="26"/>
      <c r="E313" s="344"/>
      <c r="F313" s="350">
        <f t="shared" si="10"/>
        <v>2.0212999999999998E-2</v>
      </c>
      <c r="G313" s="26"/>
      <c r="H313" s="26"/>
      <c r="I313" s="344"/>
      <c r="J313" s="350">
        <f t="shared" si="11"/>
        <v>0.23333333333333331</v>
      </c>
      <c r="K313" s="26"/>
      <c r="L313" s="26"/>
      <c r="M313" s="344"/>
      <c r="N313" s="149"/>
      <c r="O313" s="15"/>
      <c r="P313" s="15"/>
      <c r="Q313" s="15"/>
      <c r="R313" s="106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  <c r="AC313" s="15"/>
      <c r="AD313" s="15"/>
      <c r="AE313" s="15"/>
      <c r="AF313" s="15"/>
      <c r="AG313" s="15"/>
      <c r="AH313" s="15"/>
      <c r="AI313" s="15"/>
      <c r="AJ313" s="15"/>
      <c r="AK313" s="15"/>
      <c r="AL313" s="15"/>
    </row>
    <row r="314" spans="1:38" x14ac:dyDescent="0.75">
      <c r="A314" s="353" t="s">
        <v>397</v>
      </c>
      <c r="B314" s="350">
        <f t="shared" si="9"/>
        <v>11.946666666666665</v>
      </c>
      <c r="C314" s="26"/>
      <c r="D314" s="26"/>
      <c r="E314" s="344"/>
      <c r="F314" s="350">
        <f t="shared" si="10"/>
        <v>1.8703599999999997E-2</v>
      </c>
      <c r="G314" s="26"/>
      <c r="H314" s="26"/>
      <c r="I314" s="344"/>
      <c r="J314" s="350">
        <f t="shared" si="11"/>
        <v>0.15833333333333333</v>
      </c>
      <c r="K314" s="26"/>
      <c r="L314" s="26"/>
      <c r="M314" s="344"/>
      <c r="N314" s="149"/>
      <c r="O314" s="15"/>
      <c r="P314" s="15"/>
      <c r="Q314" s="15"/>
      <c r="R314" s="106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  <c r="AC314" s="15"/>
      <c r="AD314" s="15"/>
      <c r="AE314" s="15"/>
      <c r="AF314" s="15"/>
      <c r="AG314" s="15"/>
      <c r="AH314" s="15"/>
      <c r="AI314" s="15"/>
      <c r="AJ314" s="15"/>
      <c r="AK314" s="15"/>
      <c r="AL314" s="15"/>
    </row>
    <row r="315" spans="1:38" x14ac:dyDescent="0.75">
      <c r="A315" s="353" t="s">
        <v>398</v>
      </c>
      <c r="B315" s="350">
        <f t="shared" si="9"/>
        <v>0.10166666666666667</v>
      </c>
      <c r="C315" s="26"/>
      <c r="D315" s="26"/>
      <c r="E315" s="344"/>
      <c r="F315" s="350">
        <f t="shared" si="10"/>
        <v>9.0000000000000006E-5</v>
      </c>
      <c r="G315" s="26"/>
      <c r="H315" s="26"/>
      <c r="I315" s="344"/>
      <c r="J315" s="350"/>
      <c r="K315" s="26"/>
      <c r="L315" s="26"/>
      <c r="M315" s="344"/>
      <c r="N315" s="149"/>
      <c r="O315" s="15"/>
      <c r="P315" s="15"/>
      <c r="Q315" s="15"/>
      <c r="R315" s="106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  <c r="AE315" s="15"/>
      <c r="AF315" s="15"/>
      <c r="AG315" s="15"/>
      <c r="AH315" s="15"/>
      <c r="AI315" s="15"/>
      <c r="AJ315" s="15"/>
      <c r="AK315" s="15"/>
      <c r="AL315" s="15"/>
    </row>
    <row r="316" spans="1:38" x14ac:dyDescent="0.75">
      <c r="A316" s="353" t="s">
        <v>558</v>
      </c>
      <c r="B316" s="350">
        <f t="shared" si="9"/>
        <v>0.21933333333333335</v>
      </c>
      <c r="C316" s="26"/>
      <c r="D316" s="26"/>
      <c r="E316" s="344"/>
      <c r="F316" s="350">
        <f t="shared" ref="F316:F321" si="12">E226</f>
        <v>1.5833626974092556E-3</v>
      </c>
      <c r="G316" s="26"/>
      <c r="H316" s="26"/>
      <c r="I316" s="344"/>
      <c r="J316" s="350"/>
      <c r="K316" s="26"/>
      <c r="L316" s="26"/>
      <c r="M316" s="344"/>
      <c r="N316" s="149"/>
      <c r="O316" s="15"/>
      <c r="P316" s="15"/>
      <c r="Q316" s="15"/>
      <c r="R316" s="106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  <c r="AC316" s="15"/>
      <c r="AD316" s="15"/>
      <c r="AE316" s="15"/>
      <c r="AF316" s="15"/>
      <c r="AG316" s="15"/>
      <c r="AH316" s="15"/>
      <c r="AI316" s="15"/>
      <c r="AJ316" s="15"/>
      <c r="AK316" s="15"/>
      <c r="AL316" s="15"/>
    </row>
    <row r="317" spans="1:38" x14ac:dyDescent="0.75">
      <c r="A317" s="353" t="s">
        <v>559</v>
      </c>
      <c r="B317" s="350">
        <f t="shared" si="9"/>
        <v>4.3645000000000003E-3</v>
      </c>
      <c r="C317" s="26"/>
      <c r="D317" s="26"/>
      <c r="E317" s="344"/>
      <c r="F317" s="350">
        <f t="shared" si="12"/>
        <v>1.0666666666666669E-5</v>
      </c>
      <c r="G317" s="26"/>
      <c r="H317" s="26"/>
      <c r="I317" s="344"/>
      <c r="J317" s="350"/>
      <c r="K317" s="26"/>
      <c r="L317" s="26"/>
      <c r="M317" s="344"/>
      <c r="N317" s="149"/>
      <c r="O317" s="15"/>
      <c r="P317" s="15"/>
      <c r="Q317" s="15"/>
      <c r="R317" s="106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  <c r="AE317" s="15"/>
      <c r="AF317" s="15"/>
      <c r="AG317" s="15"/>
      <c r="AH317" s="15"/>
      <c r="AI317" s="15"/>
      <c r="AJ317" s="15"/>
      <c r="AK317" s="15"/>
      <c r="AL317" s="15"/>
    </row>
    <row r="318" spans="1:38" x14ac:dyDescent="0.75">
      <c r="A318" s="353" t="s">
        <v>560</v>
      </c>
      <c r="B318" s="350">
        <f t="shared" si="9"/>
        <v>0.28849999999999998</v>
      </c>
      <c r="C318" s="26"/>
      <c r="D318" s="26"/>
      <c r="E318" s="344"/>
      <c r="F318" s="350">
        <f t="shared" si="12"/>
        <v>9.0320788790706564E-4</v>
      </c>
      <c r="G318" s="26"/>
      <c r="H318" s="26"/>
      <c r="I318" s="344"/>
      <c r="J318" s="350"/>
      <c r="K318" s="26"/>
      <c r="L318" s="26"/>
      <c r="M318" s="344"/>
      <c r="N318" s="149"/>
      <c r="O318" s="15"/>
      <c r="P318" s="15"/>
      <c r="Q318" s="15"/>
      <c r="R318" s="106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  <c r="AC318" s="15"/>
      <c r="AD318" s="15"/>
      <c r="AE318" s="15"/>
      <c r="AF318" s="15"/>
      <c r="AG318" s="15"/>
      <c r="AH318" s="15"/>
      <c r="AI318" s="15"/>
      <c r="AJ318" s="15"/>
      <c r="AK318" s="15"/>
      <c r="AL318" s="15"/>
    </row>
    <row r="319" spans="1:38" x14ac:dyDescent="0.75">
      <c r="A319" s="353" t="s">
        <v>561</v>
      </c>
      <c r="B319" s="350">
        <f t="shared" si="9"/>
        <v>1.95E-2</v>
      </c>
      <c r="C319" s="26"/>
      <c r="D319" s="26"/>
      <c r="E319" s="344"/>
      <c r="F319" s="350">
        <f t="shared" si="12"/>
        <v>3.3183072403542192E-4</v>
      </c>
      <c r="G319" s="26"/>
      <c r="H319" s="26"/>
      <c r="I319" s="344"/>
      <c r="J319" s="350"/>
      <c r="K319" s="26"/>
      <c r="L319" s="26"/>
      <c r="M319" s="344"/>
      <c r="N319" s="149"/>
      <c r="O319" s="15"/>
      <c r="P319" s="15"/>
      <c r="Q319" s="15"/>
      <c r="R319" s="106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  <c r="AC319" s="15"/>
      <c r="AD319" s="15"/>
      <c r="AE319" s="15"/>
      <c r="AF319" s="15"/>
      <c r="AG319" s="15"/>
      <c r="AH319" s="15"/>
      <c r="AI319" s="15"/>
      <c r="AJ319" s="15"/>
      <c r="AK319" s="15"/>
      <c r="AL319" s="15"/>
    </row>
    <row r="320" spans="1:38" x14ac:dyDescent="0.75">
      <c r="A320" s="353" t="s">
        <v>406</v>
      </c>
      <c r="B320" s="350">
        <f t="shared" si="9"/>
        <v>1.7683333333333333E-3</v>
      </c>
      <c r="C320" s="26"/>
      <c r="D320" s="26"/>
      <c r="E320" s="344"/>
      <c r="F320" s="350">
        <f t="shared" si="12"/>
        <v>2.9866666666666667E-6</v>
      </c>
      <c r="G320" s="26"/>
      <c r="H320" s="26"/>
      <c r="I320" s="344"/>
      <c r="J320" s="350"/>
      <c r="K320" s="26"/>
      <c r="L320" s="26"/>
      <c r="M320" s="344"/>
      <c r="N320" s="149"/>
      <c r="O320" s="15"/>
      <c r="P320" s="15"/>
      <c r="Q320" s="15"/>
      <c r="R320" s="106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  <c r="AC320" s="15"/>
      <c r="AD320" s="15"/>
      <c r="AE320" s="15"/>
      <c r="AF320" s="15"/>
      <c r="AG320" s="15"/>
      <c r="AH320" s="15"/>
      <c r="AI320" s="15"/>
      <c r="AJ320" s="15"/>
      <c r="AK320" s="15"/>
      <c r="AL320" s="15"/>
    </row>
    <row r="321" spans="1:38" x14ac:dyDescent="0.75">
      <c r="A321" s="353" t="s">
        <v>562</v>
      </c>
      <c r="B321" s="350">
        <f t="shared" si="9"/>
        <v>0.49780000000000002</v>
      </c>
      <c r="C321" s="26"/>
      <c r="D321" s="26"/>
      <c r="E321" s="344"/>
      <c r="F321" s="350">
        <f t="shared" si="12"/>
        <v>5.0821873415390602E-3</v>
      </c>
      <c r="G321" s="26"/>
      <c r="H321" s="26"/>
      <c r="I321" s="344"/>
      <c r="J321" s="350"/>
      <c r="K321" s="26"/>
      <c r="L321" s="26"/>
      <c r="M321" s="344"/>
      <c r="N321" s="149"/>
      <c r="O321" s="15"/>
      <c r="P321" s="15"/>
      <c r="Q321" s="15"/>
      <c r="R321" s="106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  <c r="AC321" s="15"/>
      <c r="AD321" s="15"/>
      <c r="AE321" s="15"/>
      <c r="AF321" s="15"/>
      <c r="AG321" s="15"/>
      <c r="AH321" s="15"/>
      <c r="AI321" s="15"/>
      <c r="AJ321" s="15"/>
      <c r="AK321" s="15"/>
      <c r="AL321" s="15"/>
    </row>
    <row r="322" spans="1:38" x14ac:dyDescent="0.75">
      <c r="A322" s="353" t="s">
        <v>563</v>
      </c>
      <c r="B322" s="350"/>
      <c r="C322" s="26">
        <f>D234</f>
        <v>7.7601800000000012E-2</v>
      </c>
      <c r="D322" s="26"/>
      <c r="E322" s="344">
        <f>D245</f>
        <v>7.7601800000000012E-2</v>
      </c>
      <c r="F322" s="350"/>
      <c r="G322" s="26">
        <f>E234</f>
        <v>7.1000000000000002E-4</v>
      </c>
      <c r="H322" s="26"/>
      <c r="I322" s="344">
        <f>E245</f>
        <v>7.1000000000000002E-4</v>
      </c>
      <c r="J322" s="350"/>
      <c r="K322" s="26"/>
      <c r="L322" s="26"/>
      <c r="M322" s="344"/>
      <c r="N322" s="149"/>
      <c r="O322" s="15">
        <f>G234</f>
        <v>344</v>
      </c>
      <c r="P322" s="15"/>
      <c r="Q322" s="15"/>
      <c r="R322" s="106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  <c r="AC322" s="15"/>
      <c r="AD322" s="15"/>
      <c r="AE322" s="15"/>
      <c r="AF322" s="15"/>
      <c r="AG322" s="15"/>
      <c r="AH322" s="15"/>
      <c r="AI322" s="15"/>
      <c r="AJ322" s="15"/>
      <c r="AK322" s="15"/>
      <c r="AL322" s="15"/>
    </row>
    <row r="323" spans="1:38" x14ac:dyDescent="0.75">
      <c r="A323" s="353" t="s">
        <v>413</v>
      </c>
      <c r="B323" s="350"/>
      <c r="C323" s="26">
        <f t="shared" ref="C323:C331" si="13">D235</f>
        <v>0.84711720000000001</v>
      </c>
      <c r="D323" s="26"/>
      <c r="E323" s="344">
        <f t="shared" ref="E323:E331" si="14">D246</f>
        <v>0.84711720000000001</v>
      </c>
      <c r="F323" s="350"/>
      <c r="G323" s="26">
        <f t="shared" ref="G323:G331" si="15">E235</f>
        <v>5.2954685768909554E-3</v>
      </c>
      <c r="H323" s="26"/>
      <c r="I323" s="344">
        <f t="shared" ref="I323:I331" si="16">E246</f>
        <v>5.2954685768909554E-3</v>
      </c>
      <c r="J323" s="350"/>
      <c r="K323" s="26"/>
      <c r="L323" s="26"/>
      <c r="M323" s="344"/>
      <c r="N323" s="149"/>
      <c r="O323" s="15"/>
      <c r="P323" s="15"/>
      <c r="Q323" s="15"/>
      <c r="R323" s="106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  <c r="AC323" s="15"/>
      <c r="AD323" s="15"/>
      <c r="AE323" s="15"/>
      <c r="AF323" s="15"/>
      <c r="AG323" s="15"/>
      <c r="AH323" s="15"/>
      <c r="AI323" s="15"/>
      <c r="AJ323" s="15"/>
      <c r="AK323" s="15"/>
      <c r="AL323" s="15"/>
    </row>
    <row r="324" spans="1:38" x14ac:dyDescent="0.75">
      <c r="A324" s="353" t="s">
        <v>564</v>
      </c>
      <c r="B324" s="350"/>
      <c r="C324" s="26">
        <f t="shared" si="13"/>
        <v>4.2000000000000006E-3</v>
      </c>
      <c r="D324" s="26"/>
      <c r="E324" s="344">
        <f t="shared" si="14"/>
        <v>4.2000000000000006E-3</v>
      </c>
      <c r="F324" s="350"/>
      <c r="G324" s="26">
        <f t="shared" si="15"/>
        <v>2.8500528553366603E-5</v>
      </c>
      <c r="H324" s="26"/>
      <c r="I324" s="344">
        <f t="shared" si="16"/>
        <v>2.8500528553366603E-5</v>
      </c>
      <c r="J324" s="350"/>
      <c r="K324" s="26"/>
      <c r="L324" s="26"/>
      <c r="M324" s="344"/>
      <c r="N324" s="149"/>
      <c r="O324" s="15"/>
      <c r="P324" s="15"/>
      <c r="Q324" s="15"/>
      <c r="R324" s="106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  <c r="AC324" s="15"/>
      <c r="AD324" s="15"/>
      <c r="AE324" s="15"/>
      <c r="AF324" s="15"/>
      <c r="AG324" s="15"/>
      <c r="AH324" s="15"/>
      <c r="AI324" s="15"/>
      <c r="AJ324" s="15"/>
      <c r="AK324" s="15"/>
      <c r="AL324" s="15"/>
    </row>
    <row r="325" spans="1:38" x14ac:dyDescent="0.75">
      <c r="A325" s="353" t="s">
        <v>565</v>
      </c>
      <c r="B325" s="350"/>
      <c r="C325" s="26">
        <f t="shared" si="13"/>
        <v>4.0400000000000002E-3</v>
      </c>
      <c r="D325" s="26"/>
      <c r="E325" s="344">
        <f t="shared" si="14"/>
        <v>4.0400000000000002E-3</v>
      </c>
      <c r="F325" s="350"/>
      <c r="G325" s="26">
        <f t="shared" si="15"/>
        <v>2.8500528553366603E-5</v>
      </c>
      <c r="H325" s="26"/>
      <c r="I325" s="344">
        <f t="shared" si="16"/>
        <v>2.8500528553366603E-5</v>
      </c>
      <c r="J325" s="350"/>
      <c r="K325" s="26"/>
      <c r="L325" s="26"/>
      <c r="M325" s="344"/>
      <c r="N325" s="149"/>
      <c r="O325" s="15"/>
      <c r="P325" s="15"/>
      <c r="Q325" s="15"/>
      <c r="R325" s="106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  <c r="AC325" s="15"/>
      <c r="AD325" s="15"/>
      <c r="AE325" s="15"/>
      <c r="AF325" s="15"/>
      <c r="AG325" s="15"/>
      <c r="AH325" s="15"/>
      <c r="AI325" s="15"/>
      <c r="AJ325" s="15"/>
      <c r="AK325" s="15"/>
      <c r="AL325" s="15"/>
    </row>
    <row r="326" spans="1:38" x14ac:dyDescent="0.75">
      <c r="A326" s="353" t="s">
        <v>566</v>
      </c>
      <c r="B326" s="350"/>
      <c r="C326" s="26">
        <f t="shared" si="13"/>
        <v>4.0400000000000002E-3</v>
      </c>
      <c r="D326" s="26"/>
      <c r="E326" s="344">
        <f t="shared" si="14"/>
        <v>4.0400000000000002E-3</v>
      </c>
      <c r="F326" s="350"/>
      <c r="G326" s="26">
        <f t="shared" si="15"/>
        <v>2.8500528553366603E-5</v>
      </c>
      <c r="H326" s="26"/>
      <c r="I326" s="344">
        <f t="shared" si="16"/>
        <v>2.8500528553366603E-5</v>
      </c>
      <c r="J326" s="350"/>
      <c r="K326" s="26"/>
      <c r="L326" s="26"/>
      <c r="M326" s="344"/>
      <c r="N326" s="149"/>
      <c r="O326" s="15"/>
      <c r="P326" s="15"/>
      <c r="Q326" s="15"/>
      <c r="R326" s="106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  <c r="AC326" s="15"/>
      <c r="AD326" s="15"/>
      <c r="AE326" s="15"/>
      <c r="AF326" s="15"/>
      <c r="AG326" s="15"/>
      <c r="AH326" s="15"/>
      <c r="AI326" s="15"/>
      <c r="AJ326" s="15"/>
      <c r="AK326" s="15"/>
      <c r="AL326" s="15"/>
    </row>
    <row r="327" spans="1:38" x14ac:dyDescent="0.75">
      <c r="A327" s="353" t="s">
        <v>567</v>
      </c>
      <c r="B327" s="350"/>
      <c r="C327" s="26">
        <f t="shared" si="13"/>
        <v>2.1471285E-2</v>
      </c>
      <c r="D327" s="26"/>
      <c r="E327" s="344">
        <f t="shared" si="14"/>
        <v>2.1471285E-2</v>
      </c>
      <c r="F327" s="350"/>
      <c r="G327" s="26">
        <f t="shared" si="15"/>
        <v>4.1563270806992968E-5</v>
      </c>
      <c r="H327" s="26"/>
      <c r="I327" s="344">
        <f t="shared" si="16"/>
        <v>4.1563270806992968E-5</v>
      </c>
      <c r="J327" s="350"/>
      <c r="K327" s="26"/>
      <c r="L327" s="26"/>
      <c r="M327" s="344"/>
      <c r="N327" s="149"/>
      <c r="O327" s="15"/>
      <c r="P327" s="15"/>
      <c r="Q327" s="15"/>
      <c r="R327" s="106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  <c r="AC327" s="15"/>
      <c r="AD327" s="15"/>
      <c r="AE327" s="15"/>
      <c r="AF327" s="15"/>
      <c r="AG327" s="15"/>
      <c r="AH327" s="15"/>
      <c r="AI327" s="15"/>
      <c r="AJ327" s="15"/>
      <c r="AK327" s="15"/>
      <c r="AL327" s="15"/>
    </row>
    <row r="328" spans="1:38" x14ac:dyDescent="0.75">
      <c r="A328" s="353" t="s">
        <v>568</v>
      </c>
      <c r="B328" s="350"/>
      <c r="C328" s="26">
        <f t="shared" si="13"/>
        <v>0.13584200000000002</v>
      </c>
      <c r="D328" s="26"/>
      <c r="E328" s="344">
        <f t="shared" si="14"/>
        <v>0.13584200000000002</v>
      </c>
      <c r="F328" s="350"/>
      <c r="G328" s="26">
        <f t="shared" si="15"/>
        <v>2.1063750423788846E-4</v>
      </c>
      <c r="H328" s="26"/>
      <c r="I328" s="344">
        <f t="shared" si="16"/>
        <v>2.1063750423788846E-4</v>
      </c>
      <c r="J328" s="350"/>
      <c r="K328" s="26"/>
      <c r="L328" s="26"/>
      <c r="M328" s="344"/>
      <c r="N328" s="149"/>
      <c r="O328" s="15"/>
      <c r="P328" s="15"/>
      <c r="Q328" s="15"/>
      <c r="R328" s="106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  <c r="AC328" s="15"/>
      <c r="AD328" s="15"/>
      <c r="AE328" s="15"/>
      <c r="AF328" s="15"/>
      <c r="AG328" s="15"/>
      <c r="AH328" s="15"/>
      <c r="AI328" s="15"/>
      <c r="AJ328" s="15"/>
      <c r="AK328" s="15"/>
      <c r="AL328" s="15"/>
    </row>
    <row r="329" spans="1:38" x14ac:dyDescent="0.75">
      <c r="A329" s="353" t="s">
        <v>569</v>
      </c>
      <c r="B329" s="350"/>
      <c r="C329" s="26">
        <f t="shared" si="13"/>
        <v>0.271206</v>
      </c>
      <c r="D329" s="26"/>
      <c r="E329" s="344">
        <f t="shared" si="14"/>
        <v>0.271206</v>
      </c>
      <c r="F329" s="350"/>
      <c r="G329" s="26">
        <f t="shared" si="15"/>
        <v>4.2127500847577692E-4</v>
      </c>
      <c r="H329" s="26"/>
      <c r="I329" s="344">
        <f t="shared" si="16"/>
        <v>4.2127500847577692E-4</v>
      </c>
      <c r="J329" s="350"/>
      <c r="K329" s="26"/>
      <c r="L329" s="26"/>
      <c r="M329" s="344"/>
      <c r="N329" s="149"/>
      <c r="O329" s="15"/>
      <c r="P329" s="15"/>
      <c r="Q329" s="15"/>
      <c r="R329" s="106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  <c r="AC329" s="15"/>
      <c r="AD329" s="15"/>
      <c r="AE329" s="15"/>
      <c r="AF329" s="15"/>
      <c r="AG329" s="15"/>
      <c r="AH329" s="15"/>
      <c r="AI329" s="15"/>
      <c r="AJ329" s="15"/>
      <c r="AK329" s="15"/>
      <c r="AL329" s="15"/>
    </row>
    <row r="330" spans="1:38" x14ac:dyDescent="0.75">
      <c r="A330" s="353" t="s">
        <v>570</v>
      </c>
      <c r="B330" s="350"/>
      <c r="C330" s="26">
        <f t="shared" si="13"/>
        <v>3.1349999999999998E-3</v>
      </c>
      <c r="D330" s="26"/>
      <c r="E330" s="344">
        <f t="shared" si="14"/>
        <v>3.1349999999999998E-3</v>
      </c>
      <c r="F330" s="350"/>
      <c r="G330" s="26">
        <f t="shared" si="15"/>
        <v>4.7500880922277672E-6</v>
      </c>
      <c r="H330" s="26"/>
      <c r="I330" s="344">
        <f t="shared" si="16"/>
        <v>4.7500880922277672E-6</v>
      </c>
      <c r="J330" s="350"/>
      <c r="K330" s="26"/>
      <c r="L330" s="26"/>
      <c r="M330" s="344"/>
      <c r="N330" s="149"/>
      <c r="O330" s="15"/>
      <c r="P330" s="15"/>
      <c r="Q330" s="15"/>
      <c r="R330" s="106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  <c r="AC330" s="15"/>
      <c r="AD330" s="15"/>
      <c r="AE330" s="15"/>
      <c r="AF330" s="15"/>
      <c r="AG330" s="15"/>
      <c r="AH330" s="15"/>
      <c r="AI330" s="15"/>
      <c r="AJ330" s="15"/>
      <c r="AK330" s="15"/>
      <c r="AL330" s="15"/>
    </row>
    <row r="331" spans="1:38" ht="15.5" thickBot="1" x14ac:dyDescent="0.9">
      <c r="A331" s="77" t="s">
        <v>418</v>
      </c>
      <c r="B331" s="354"/>
      <c r="C331" s="44">
        <f t="shared" si="13"/>
        <v>8.2249999999999997E-3</v>
      </c>
      <c r="D331" s="44"/>
      <c r="E331" s="352">
        <f t="shared" si="14"/>
        <v>8.2249999999999997E-3</v>
      </c>
      <c r="F331" s="354"/>
      <c r="G331" s="44">
        <f t="shared" si="15"/>
        <v>9.3132514215669447E-6</v>
      </c>
      <c r="H331" s="44"/>
      <c r="I331" s="352">
        <f t="shared" si="16"/>
        <v>9.3132514215669447E-6</v>
      </c>
      <c r="J331" s="354"/>
      <c r="K331" s="44"/>
      <c r="L331" s="44"/>
      <c r="M331" s="352"/>
      <c r="N331" s="351"/>
      <c r="O331" s="70"/>
      <c r="P331" s="70"/>
      <c r="Q331" s="70"/>
      <c r="R331" s="74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  <c r="AE331" s="15"/>
      <c r="AF331" s="15"/>
      <c r="AG331" s="15"/>
      <c r="AH331" s="15"/>
      <c r="AI331" s="15"/>
      <c r="AJ331" s="15"/>
      <c r="AK331" s="15"/>
      <c r="AL331" s="15"/>
    </row>
    <row r="332" spans="1:38" x14ac:dyDescent="0.75">
      <c r="B332" s="15"/>
      <c r="C332" s="15"/>
      <c r="D332" s="15"/>
      <c r="E332" s="15"/>
      <c r="F332" s="15"/>
      <c r="G332" s="15"/>
      <c r="H332" s="15"/>
      <c r="I332" s="344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  <c r="AC332" s="15"/>
      <c r="AD332" s="15"/>
      <c r="AE332" s="15"/>
      <c r="AF332" s="15"/>
      <c r="AG332" s="15"/>
      <c r="AH332" s="15"/>
      <c r="AI332" s="15"/>
      <c r="AJ332" s="15"/>
      <c r="AK332" s="15"/>
      <c r="AL332" s="15"/>
    </row>
    <row r="333" spans="1:38" x14ac:dyDescent="0.75"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  <c r="AC333" s="15"/>
      <c r="AD333" s="15"/>
      <c r="AE333" s="15"/>
      <c r="AF333" s="15"/>
      <c r="AG333" s="15"/>
      <c r="AH333" s="15"/>
      <c r="AI333" s="15"/>
      <c r="AJ333" s="15"/>
      <c r="AK333" s="15"/>
      <c r="AL333" s="15"/>
    </row>
    <row r="334" spans="1:38" x14ac:dyDescent="0.75"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  <c r="AE334" s="15"/>
      <c r="AF334" s="15"/>
      <c r="AG334" s="15"/>
      <c r="AH334" s="15"/>
      <c r="AI334" s="15"/>
      <c r="AJ334" s="15"/>
      <c r="AK334" s="15"/>
      <c r="AL334" s="15"/>
    </row>
    <row r="335" spans="1:38" x14ac:dyDescent="0.75"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  <c r="AC335" s="15"/>
      <c r="AD335" s="15"/>
      <c r="AE335" s="15"/>
      <c r="AF335" s="15"/>
      <c r="AG335" s="15"/>
      <c r="AH335" s="15"/>
      <c r="AI335" s="15"/>
      <c r="AJ335" s="15"/>
      <c r="AK335" s="15"/>
      <c r="AL335" s="15"/>
    </row>
    <row r="336" spans="1:38" x14ac:dyDescent="0.75"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  <c r="AC336" s="15"/>
      <c r="AD336" s="15"/>
      <c r="AE336" s="15"/>
      <c r="AF336" s="15"/>
      <c r="AG336" s="15"/>
      <c r="AH336" s="15"/>
      <c r="AI336" s="15"/>
      <c r="AJ336" s="15"/>
      <c r="AK336" s="15"/>
      <c r="AL336" s="15"/>
    </row>
    <row r="337" spans="2:38" x14ac:dyDescent="0.75"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  <c r="AC337" s="15"/>
      <c r="AD337" s="15"/>
      <c r="AE337" s="15"/>
      <c r="AF337" s="15"/>
      <c r="AG337" s="15"/>
      <c r="AH337" s="15"/>
      <c r="AI337" s="15"/>
      <c r="AJ337" s="15"/>
      <c r="AK337" s="15"/>
      <c r="AL337" s="15"/>
    </row>
    <row r="338" spans="2:38" x14ac:dyDescent="0.75"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  <c r="AC338" s="15"/>
      <c r="AD338" s="15"/>
      <c r="AE338" s="15"/>
      <c r="AF338" s="15"/>
      <c r="AG338" s="15"/>
      <c r="AH338" s="15"/>
      <c r="AI338" s="15"/>
      <c r="AJ338" s="15"/>
      <c r="AK338" s="15"/>
      <c r="AL338" s="15"/>
    </row>
    <row r="339" spans="2:38" x14ac:dyDescent="0.75"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  <c r="AC339" s="15"/>
      <c r="AD339" s="15"/>
      <c r="AE339" s="15"/>
      <c r="AF339" s="15"/>
      <c r="AG339" s="15"/>
      <c r="AH339" s="15"/>
      <c r="AI339" s="15"/>
      <c r="AJ339" s="15"/>
      <c r="AK339" s="15"/>
      <c r="AL339" s="15"/>
    </row>
    <row r="340" spans="2:38" x14ac:dyDescent="0.75"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  <c r="AC340" s="15"/>
      <c r="AD340" s="15"/>
      <c r="AE340" s="15"/>
      <c r="AF340" s="15"/>
      <c r="AG340" s="15"/>
      <c r="AH340" s="15"/>
      <c r="AI340" s="15"/>
      <c r="AJ340" s="15"/>
      <c r="AK340" s="15"/>
      <c r="AL340" s="15"/>
    </row>
    <row r="341" spans="2:38" x14ac:dyDescent="0.75"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  <c r="AC341" s="15"/>
      <c r="AD341" s="15"/>
      <c r="AE341" s="15"/>
      <c r="AF341" s="15"/>
      <c r="AG341" s="15"/>
      <c r="AH341" s="15"/>
      <c r="AI341" s="15"/>
      <c r="AJ341" s="15"/>
      <c r="AK341" s="15"/>
      <c r="AL341" s="15"/>
    </row>
    <row r="342" spans="2:38" x14ac:dyDescent="0.75"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  <c r="AC342" s="15"/>
      <c r="AD342" s="15"/>
      <c r="AE342" s="15"/>
      <c r="AF342" s="15"/>
      <c r="AG342" s="15"/>
      <c r="AH342" s="15"/>
      <c r="AI342" s="15"/>
      <c r="AJ342" s="15"/>
      <c r="AK342" s="15"/>
      <c r="AL342" s="15"/>
    </row>
    <row r="343" spans="2:38" x14ac:dyDescent="0.75"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  <c r="AC343" s="15"/>
      <c r="AD343" s="15"/>
      <c r="AE343" s="15"/>
      <c r="AF343" s="15"/>
      <c r="AG343" s="15"/>
      <c r="AH343" s="15"/>
      <c r="AI343" s="15"/>
      <c r="AJ343" s="15"/>
      <c r="AK343" s="15"/>
      <c r="AL343" s="15"/>
    </row>
    <row r="344" spans="2:38" x14ac:dyDescent="0.75"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  <c r="AC344" s="15"/>
      <c r="AD344" s="15"/>
      <c r="AE344" s="15"/>
      <c r="AF344" s="15"/>
      <c r="AG344" s="15"/>
      <c r="AH344" s="15"/>
      <c r="AI344" s="15"/>
      <c r="AJ344" s="15"/>
      <c r="AK344" s="15"/>
      <c r="AL344" s="15"/>
    </row>
    <row r="345" spans="2:38" x14ac:dyDescent="0.75"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  <c r="AC345" s="15"/>
      <c r="AD345" s="15"/>
      <c r="AE345" s="15"/>
      <c r="AF345" s="15"/>
      <c r="AG345" s="15"/>
      <c r="AH345" s="15"/>
      <c r="AI345" s="15"/>
      <c r="AJ345" s="15"/>
      <c r="AK345" s="15"/>
      <c r="AL345" s="15"/>
    </row>
    <row r="346" spans="2:38" x14ac:dyDescent="0.75"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  <c r="AC346" s="15"/>
      <c r="AD346" s="15"/>
      <c r="AE346" s="15"/>
      <c r="AF346" s="15"/>
      <c r="AG346" s="15"/>
      <c r="AH346" s="15"/>
      <c r="AI346" s="15"/>
      <c r="AJ346" s="15"/>
      <c r="AK346" s="15"/>
      <c r="AL346" s="15"/>
    </row>
    <row r="347" spans="2:38" x14ac:dyDescent="0.75"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  <c r="AC347" s="15"/>
      <c r="AD347" s="15"/>
      <c r="AE347" s="15"/>
      <c r="AF347" s="15"/>
      <c r="AG347" s="15"/>
      <c r="AH347" s="15"/>
      <c r="AI347" s="15"/>
      <c r="AJ347" s="15"/>
      <c r="AK347" s="15"/>
      <c r="AL347" s="15"/>
    </row>
    <row r="348" spans="2:38" x14ac:dyDescent="0.75"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  <c r="AC348" s="15"/>
      <c r="AD348" s="15"/>
      <c r="AE348" s="15"/>
      <c r="AF348" s="15"/>
      <c r="AG348" s="15"/>
      <c r="AH348" s="15"/>
      <c r="AI348" s="15"/>
      <c r="AJ348" s="15"/>
      <c r="AK348" s="15"/>
      <c r="AL348" s="15"/>
    </row>
    <row r="349" spans="2:38" x14ac:dyDescent="0.75"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  <c r="AC349" s="15"/>
      <c r="AD349" s="15"/>
      <c r="AE349" s="15"/>
      <c r="AF349" s="15"/>
      <c r="AG349" s="15"/>
      <c r="AH349" s="15"/>
      <c r="AI349" s="15"/>
      <c r="AJ349" s="15"/>
      <c r="AK349" s="15"/>
      <c r="AL349" s="15"/>
    </row>
    <row r="350" spans="2:38" x14ac:dyDescent="0.75"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  <c r="AC350" s="15"/>
      <c r="AD350" s="15"/>
      <c r="AE350" s="15"/>
      <c r="AF350" s="15"/>
      <c r="AG350" s="15"/>
      <c r="AH350" s="15"/>
      <c r="AI350" s="15"/>
      <c r="AJ350" s="15"/>
      <c r="AK350" s="15"/>
      <c r="AL350" s="15"/>
    </row>
    <row r="351" spans="2:38" x14ac:dyDescent="0.75"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  <c r="AC351" s="15"/>
      <c r="AD351" s="15"/>
      <c r="AE351" s="15"/>
      <c r="AF351" s="15"/>
      <c r="AG351" s="15"/>
      <c r="AH351" s="15"/>
      <c r="AI351" s="15"/>
      <c r="AJ351" s="15"/>
      <c r="AK351" s="15"/>
      <c r="AL351" s="15"/>
    </row>
    <row r="352" spans="2:38" x14ac:dyDescent="0.75"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  <c r="AC352" s="15"/>
      <c r="AD352" s="15"/>
      <c r="AE352" s="15"/>
      <c r="AF352" s="15"/>
      <c r="AG352" s="15"/>
      <c r="AH352" s="15"/>
      <c r="AI352" s="15"/>
      <c r="AJ352" s="15"/>
      <c r="AK352" s="15"/>
      <c r="AL352" s="15"/>
    </row>
    <row r="353" spans="2:38" x14ac:dyDescent="0.75"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  <c r="AE353" s="15"/>
      <c r="AF353" s="15"/>
      <c r="AG353" s="15"/>
      <c r="AH353" s="15"/>
      <c r="AI353" s="15"/>
      <c r="AJ353" s="15"/>
      <c r="AK353" s="15"/>
      <c r="AL353" s="15"/>
    </row>
    <row r="354" spans="2:38" x14ac:dyDescent="0.75"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  <c r="AC354" s="15"/>
      <c r="AD354" s="15"/>
      <c r="AE354" s="15"/>
      <c r="AF354" s="15"/>
      <c r="AG354" s="15"/>
      <c r="AH354" s="15"/>
      <c r="AI354" s="15"/>
      <c r="AJ354" s="15"/>
      <c r="AK354" s="15"/>
      <c r="AL354" s="15"/>
    </row>
    <row r="355" spans="2:38" x14ac:dyDescent="0.75"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  <c r="AC355" s="15"/>
      <c r="AD355" s="15"/>
      <c r="AE355" s="15"/>
      <c r="AF355" s="15"/>
      <c r="AG355" s="15"/>
      <c r="AH355" s="15"/>
      <c r="AI355" s="15"/>
      <c r="AJ355" s="15"/>
      <c r="AK355" s="15"/>
      <c r="AL355" s="15"/>
    </row>
    <row r="356" spans="2:38" x14ac:dyDescent="0.75"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  <c r="AC356" s="15"/>
      <c r="AD356" s="15"/>
      <c r="AE356" s="15"/>
      <c r="AF356" s="15"/>
      <c r="AG356" s="15"/>
      <c r="AH356" s="15"/>
      <c r="AI356" s="15"/>
      <c r="AJ356" s="15"/>
      <c r="AK356" s="15"/>
      <c r="AL356" s="15"/>
    </row>
    <row r="357" spans="2:38" x14ac:dyDescent="0.75"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  <c r="AC357" s="15"/>
      <c r="AD357" s="15"/>
      <c r="AE357" s="15"/>
      <c r="AF357" s="15"/>
      <c r="AG357" s="15"/>
      <c r="AH357" s="15"/>
      <c r="AI357" s="15"/>
      <c r="AJ357" s="15"/>
      <c r="AK357" s="15"/>
      <c r="AL357" s="15"/>
    </row>
    <row r="358" spans="2:38" x14ac:dyDescent="0.75"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  <c r="AC358" s="15"/>
      <c r="AD358" s="15"/>
      <c r="AE358" s="15"/>
      <c r="AF358" s="15"/>
      <c r="AG358" s="15"/>
      <c r="AH358" s="15"/>
      <c r="AI358" s="15"/>
      <c r="AJ358" s="15"/>
      <c r="AK358" s="15"/>
      <c r="AL358" s="15"/>
    </row>
    <row r="359" spans="2:38" x14ac:dyDescent="0.75"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  <c r="AC359" s="15"/>
      <c r="AD359" s="15"/>
      <c r="AE359" s="15"/>
      <c r="AF359" s="15"/>
      <c r="AG359" s="15"/>
      <c r="AH359" s="15"/>
      <c r="AI359" s="15"/>
      <c r="AJ359" s="15"/>
      <c r="AK359" s="15"/>
      <c r="AL359" s="15"/>
    </row>
    <row r="360" spans="2:38" x14ac:dyDescent="0.75"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  <c r="AC360" s="15"/>
      <c r="AD360" s="15"/>
      <c r="AE360" s="15"/>
      <c r="AF360" s="15"/>
      <c r="AG360" s="15"/>
      <c r="AH360" s="15"/>
      <c r="AI360" s="15"/>
      <c r="AJ360" s="15"/>
      <c r="AK360" s="15"/>
      <c r="AL360" s="15"/>
    </row>
    <row r="361" spans="2:38" x14ac:dyDescent="0.75"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  <c r="AE361" s="15"/>
      <c r="AF361" s="15"/>
      <c r="AG361" s="15"/>
      <c r="AH361" s="15"/>
      <c r="AI361" s="15"/>
      <c r="AJ361" s="15"/>
      <c r="AK361" s="15"/>
      <c r="AL361" s="15"/>
    </row>
    <row r="362" spans="2:38" x14ac:dyDescent="0.75"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  <c r="AC362" s="15"/>
      <c r="AD362" s="15"/>
      <c r="AE362" s="15"/>
      <c r="AF362" s="15"/>
      <c r="AG362" s="15"/>
      <c r="AH362" s="15"/>
      <c r="AI362" s="15"/>
      <c r="AJ362" s="15"/>
      <c r="AK362" s="15"/>
      <c r="AL362" s="15"/>
    </row>
    <row r="363" spans="2:38" x14ac:dyDescent="0.75"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  <c r="AC363" s="15"/>
      <c r="AD363" s="15"/>
      <c r="AE363" s="15"/>
      <c r="AF363" s="15"/>
      <c r="AG363" s="15"/>
      <c r="AH363" s="15"/>
      <c r="AI363" s="15"/>
      <c r="AJ363" s="15"/>
      <c r="AK363" s="15"/>
      <c r="AL363" s="15"/>
    </row>
    <row r="364" spans="2:38" x14ac:dyDescent="0.75"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  <c r="AC364" s="15"/>
      <c r="AD364" s="15"/>
      <c r="AE364" s="15"/>
      <c r="AF364" s="15"/>
      <c r="AG364" s="15"/>
      <c r="AH364" s="15"/>
      <c r="AI364" s="15"/>
      <c r="AJ364" s="15"/>
      <c r="AK364" s="15"/>
      <c r="AL364" s="15"/>
    </row>
    <row r="365" spans="2:38" x14ac:dyDescent="0.75"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  <c r="AC365" s="15"/>
      <c r="AD365" s="15"/>
      <c r="AE365" s="15"/>
      <c r="AF365" s="15"/>
      <c r="AG365" s="15"/>
      <c r="AH365" s="15"/>
      <c r="AI365" s="15"/>
      <c r="AJ365" s="15"/>
      <c r="AK365" s="15"/>
      <c r="AL365" s="15"/>
    </row>
    <row r="366" spans="2:38" x14ac:dyDescent="0.75"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  <c r="AC366" s="15"/>
      <c r="AD366" s="15"/>
      <c r="AE366" s="15"/>
      <c r="AF366" s="15"/>
      <c r="AG366" s="15"/>
      <c r="AH366" s="15"/>
      <c r="AI366" s="15"/>
      <c r="AJ366" s="15"/>
      <c r="AK366" s="15"/>
      <c r="AL366" s="15"/>
    </row>
    <row r="367" spans="2:38" x14ac:dyDescent="0.75"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  <c r="AE367" s="15"/>
      <c r="AF367" s="15"/>
      <c r="AG367" s="15"/>
      <c r="AH367" s="15"/>
      <c r="AI367" s="15"/>
      <c r="AJ367" s="15"/>
      <c r="AK367" s="15"/>
      <c r="AL367" s="15"/>
    </row>
    <row r="368" spans="2:38" x14ac:dyDescent="0.75"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  <c r="AC368" s="15"/>
      <c r="AD368" s="15"/>
      <c r="AE368" s="15"/>
      <c r="AF368" s="15"/>
      <c r="AG368" s="15"/>
      <c r="AH368" s="15"/>
      <c r="AI368" s="15"/>
      <c r="AJ368" s="15"/>
      <c r="AK368" s="15"/>
      <c r="AL368" s="15"/>
    </row>
    <row r="369" spans="2:38" x14ac:dyDescent="0.75"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  <c r="AE369" s="15"/>
      <c r="AF369" s="15"/>
      <c r="AG369" s="15"/>
      <c r="AH369" s="15"/>
      <c r="AI369" s="15"/>
      <c r="AJ369" s="15"/>
      <c r="AK369" s="15"/>
      <c r="AL369" s="15"/>
    </row>
    <row r="370" spans="2:38" x14ac:dyDescent="0.75"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  <c r="AC370" s="15"/>
      <c r="AD370" s="15"/>
      <c r="AE370" s="15"/>
      <c r="AF370" s="15"/>
      <c r="AG370" s="15"/>
      <c r="AH370" s="15"/>
      <c r="AI370" s="15"/>
      <c r="AJ370" s="15"/>
      <c r="AK370" s="15"/>
      <c r="AL370" s="15"/>
    </row>
    <row r="371" spans="2:38" x14ac:dyDescent="0.75"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  <c r="AC371" s="15"/>
      <c r="AD371" s="15"/>
      <c r="AE371" s="15"/>
      <c r="AF371" s="15"/>
      <c r="AG371" s="15"/>
      <c r="AH371" s="15"/>
      <c r="AI371" s="15"/>
      <c r="AJ371" s="15"/>
      <c r="AK371" s="15"/>
      <c r="AL371" s="15"/>
    </row>
    <row r="372" spans="2:38" x14ac:dyDescent="0.75"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  <c r="AC372" s="15"/>
      <c r="AD372" s="15"/>
      <c r="AE372" s="15"/>
      <c r="AF372" s="15"/>
      <c r="AG372" s="15"/>
      <c r="AH372" s="15"/>
      <c r="AI372" s="15"/>
      <c r="AJ372" s="15"/>
      <c r="AK372" s="15"/>
      <c r="AL372" s="15"/>
    </row>
    <row r="373" spans="2:38" x14ac:dyDescent="0.75"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  <c r="AC373" s="15"/>
      <c r="AD373" s="15"/>
      <c r="AE373" s="15"/>
      <c r="AF373" s="15"/>
      <c r="AG373" s="15"/>
      <c r="AH373" s="15"/>
      <c r="AI373" s="15"/>
      <c r="AJ373" s="15"/>
      <c r="AK373" s="15"/>
      <c r="AL373" s="15"/>
    </row>
    <row r="374" spans="2:38" x14ac:dyDescent="0.75"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  <c r="AC374" s="15"/>
      <c r="AD374" s="15"/>
      <c r="AE374" s="15"/>
      <c r="AF374" s="15"/>
      <c r="AG374" s="15"/>
      <c r="AH374" s="15"/>
      <c r="AI374" s="15"/>
      <c r="AJ374" s="15"/>
      <c r="AK374" s="15"/>
      <c r="AL374" s="15"/>
    </row>
    <row r="375" spans="2:38" x14ac:dyDescent="0.75"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  <c r="AC375" s="15"/>
      <c r="AD375" s="15"/>
      <c r="AE375" s="15"/>
      <c r="AF375" s="15"/>
      <c r="AG375" s="15"/>
      <c r="AH375" s="15"/>
      <c r="AI375" s="15"/>
      <c r="AJ375" s="15"/>
      <c r="AK375" s="15"/>
      <c r="AL375" s="15"/>
    </row>
    <row r="376" spans="2:38" x14ac:dyDescent="0.75"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  <c r="AC376" s="15"/>
      <c r="AD376" s="15"/>
      <c r="AE376" s="15"/>
      <c r="AF376" s="15"/>
      <c r="AG376" s="15"/>
      <c r="AH376" s="15"/>
      <c r="AI376" s="15"/>
      <c r="AJ376" s="15"/>
      <c r="AK376" s="15"/>
      <c r="AL376" s="15"/>
    </row>
    <row r="377" spans="2:38" x14ac:dyDescent="0.75"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  <c r="AC377" s="15"/>
      <c r="AD377" s="15"/>
      <c r="AE377" s="15"/>
      <c r="AF377" s="15"/>
      <c r="AG377" s="15"/>
      <c r="AH377" s="15"/>
      <c r="AI377" s="15"/>
      <c r="AJ377" s="15"/>
      <c r="AK377" s="15"/>
      <c r="AL377" s="15"/>
    </row>
    <row r="378" spans="2:38" x14ac:dyDescent="0.75"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  <c r="AC378" s="15"/>
      <c r="AD378" s="15"/>
      <c r="AE378" s="15"/>
      <c r="AF378" s="15"/>
      <c r="AG378" s="15"/>
      <c r="AH378" s="15"/>
      <c r="AI378" s="15"/>
      <c r="AJ378" s="15"/>
      <c r="AK378" s="15"/>
      <c r="AL378" s="15"/>
    </row>
    <row r="379" spans="2:38" x14ac:dyDescent="0.75"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  <c r="AC379" s="15"/>
      <c r="AD379" s="15"/>
      <c r="AE379" s="15"/>
      <c r="AF379" s="15"/>
      <c r="AG379" s="15"/>
      <c r="AH379" s="15"/>
      <c r="AI379" s="15"/>
      <c r="AJ379" s="15"/>
      <c r="AK379" s="15"/>
      <c r="AL379" s="15"/>
    </row>
    <row r="380" spans="2:38" x14ac:dyDescent="0.75"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  <c r="AC380" s="15"/>
      <c r="AD380" s="15"/>
      <c r="AE380" s="15"/>
      <c r="AF380" s="15"/>
      <c r="AG380" s="15"/>
      <c r="AH380" s="15"/>
      <c r="AI380" s="15"/>
      <c r="AJ380" s="15"/>
      <c r="AK380" s="15"/>
      <c r="AL380" s="15"/>
    </row>
    <row r="381" spans="2:38" x14ac:dyDescent="0.75"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  <c r="AC381" s="15"/>
      <c r="AD381" s="15"/>
      <c r="AE381" s="15"/>
      <c r="AF381" s="15"/>
      <c r="AG381" s="15"/>
      <c r="AH381" s="15"/>
      <c r="AI381" s="15"/>
      <c r="AJ381" s="15"/>
      <c r="AK381" s="15"/>
      <c r="AL381" s="15"/>
    </row>
    <row r="382" spans="2:38" x14ac:dyDescent="0.75"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  <c r="AC382" s="15"/>
      <c r="AD382" s="15"/>
      <c r="AE382" s="15"/>
      <c r="AF382" s="15"/>
      <c r="AG382" s="15"/>
      <c r="AH382" s="15"/>
      <c r="AI382" s="15"/>
      <c r="AJ382" s="15"/>
      <c r="AK382" s="15"/>
      <c r="AL382" s="15"/>
    </row>
    <row r="383" spans="2:38" x14ac:dyDescent="0.75"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  <c r="AC383" s="15"/>
      <c r="AD383" s="15"/>
      <c r="AE383" s="15"/>
      <c r="AF383" s="15"/>
      <c r="AG383" s="15"/>
      <c r="AH383" s="15"/>
      <c r="AI383" s="15"/>
      <c r="AJ383" s="15"/>
      <c r="AK383" s="15"/>
      <c r="AL383" s="15"/>
    </row>
    <row r="384" spans="2:38" x14ac:dyDescent="0.75"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  <c r="AC384" s="15"/>
      <c r="AD384" s="15"/>
      <c r="AE384" s="15"/>
      <c r="AF384" s="15"/>
      <c r="AG384" s="15"/>
      <c r="AH384" s="15"/>
      <c r="AI384" s="15"/>
      <c r="AJ384" s="15"/>
      <c r="AK384" s="15"/>
      <c r="AL384" s="15"/>
    </row>
    <row r="385" spans="2:38" x14ac:dyDescent="0.75"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  <c r="AC385" s="15"/>
      <c r="AD385" s="15"/>
      <c r="AE385" s="15"/>
      <c r="AF385" s="15"/>
      <c r="AG385" s="15"/>
      <c r="AH385" s="15"/>
      <c r="AI385" s="15"/>
      <c r="AJ385" s="15"/>
      <c r="AK385" s="15"/>
      <c r="AL385" s="15"/>
    </row>
    <row r="386" spans="2:38" x14ac:dyDescent="0.75"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  <c r="AC386" s="15"/>
      <c r="AD386" s="15"/>
      <c r="AE386" s="15"/>
      <c r="AF386" s="15"/>
      <c r="AG386" s="15"/>
      <c r="AH386" s="15"/>
      <c r="AI386" s="15"/>
      <c r="AJ386" s="15"/>
      <c r="AK386" s="15"/>
      <c r="AL386" s="15"/>
    </row>
    <row r="387" spans="2:38" x14ac:dyDescent="0.75"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  <c r="AC387" s="15"/>
      <c r="AD387" s="15"/>
      <c r="AE387" s="15"/>
      <c r="AF387" s="15"/>
      <c r="AG387" s="15"/>
      <c r="AH387" s="15"/>
      <c r="AI387" s="15"/>
      <c r="AJ387" s="15"/>
      <c r="AK387" s="15"/>
      <c r="AL387" s="15"/>
    </row>
    <row r="388" spans="2:38" x14ac:dyDescent="0.75"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  <c r="AC388" s="15"/>
      <c r="AD388" s="15"/>
      <c r="AE388" s="15"/>
      <c r="AF388" s="15"/>
      <c r="AG388" s="15"/>
      <c r="AH388" s="15"/>
      <c r="AI388" s="15"/>
      <c r="AJ388" s="15"/>
      <c r="AK388" s="15"/>
      <c r="AL388" s="15"/>
    </row>
    <row r="389" spans="2:38" x14ac:dyDescent="0.75"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  <c r="AC389" s="15"/>
      <c r="AD389" s="15"/>
      <c r="AE389" s="15"/>
      <c r="AF389" s="15"/>
      <c r="AG389" s="15"/>
      <c r="AH389" s="15"/>
      <c r="AI389" s="15"/>
      <c r="AJ389" s="15"/>
      <c r="AK389" s="15"/>
      <c r="AL389" s="15"/>
    </row>
    <row r="390" spans="2:38" x14ac:dyDescent="0.75"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  <c r="AC390" s="15"/>
      <c r="AD390" s="15"/>
      <c r="AE390" s="15"/>
      <c r="AF390" s="15"/>
      <c r="AG390" s="15"/>
      <c r="AH390" s="15"/>
      <c r="AI390" s="15"/>
      <c r="AJ390" s="15"/>
      <c r="AK390" s="15"/>
      <c r="AL390" s="15"/>
    </row>
    <row r="391" spans="2:38" x14ac:dyDescent="0.75"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  <c r="AC391" s="15"/>
      <c r="AD391" s="15"/>
      <c r="AE391" s="15"/>
      <c r="AF391" s="15"/>
      <c r="AG391" s="15"/>
      <c r="AH391" s="15"/>
      <c r="AI391" s="15"/>
      <c r="AJ391" s="15"/>
      <c r="AK391" s="15"/>
      <c r="AL391" s="15"/>
    </row>
    <row r="392" spans="2:38" x14ac:dyDescent="0.75"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  <c r="AC392" s="15"/>
      <c r="AD392" s="15"/>
      <c r="AE392" s="15"/>
      <c r="AF392" s="15"/>
      <c r="AG392" s="15"/>
      <c r="AH392" s="15"/>
      <c r="AI392" s="15"/>
      <c r="AJ392" s="15"/>
      <c r="AK392" s="15"/>
      <c r="AL392" s="15"/>
    </row>
    <row r="393" spans="2:38" x14ac:dyDescent="0.75"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  <c r="AC393" s="15"/>
      <c r="AD393" s="15"/>
      <c r="AE393" s="15"/>
      <c r="AF393" s="15"/>
      <c r="AG393" s="15"/>
      <c r="AH393" s="15"/>
      <c r="AI393" s="15"/>
      <c r="AJ393" s="15"/>
      <c r="AK393" s="15"/>
      <c r="AL393" s="15"/>
    </row>
    <row r="394" spans="2:38" x14ac:dyDescent="0.75"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  <c r="AC394" s="15"/>
      <c r="AD394" s="15"/>
      <c r="AE394" s="15"/>
      <c r="AF394" s="15"/>
      <c r="AG394" s="15"/>
      <c r="AH394" s="15"/>
      <c r="AI394" s="15"/>
      <c r="AJ394" s="15"/>
      <c r="AK394" s="15"/>
      <c r="AL394" s="15"/>
    </row>
    <row r="395" spans="2:38" x14ac:dyDescent="0.75"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  <c r="AC395" s="15"/>
      <c r="AD395" s="15"/>
      <c r="AE395" s="15"/>
      <c r="AF395" s="15"/>
      <c r="AG395" s="15"/>
      <c r="AH395" s="15"/>
      <c r="AI395" s="15"/>
      <c r="AJ395" s="15"/>
      <c r="AK395" s="15"/>
      <c r="AL395" s="15"/>
    </row>
    <row r="396" spans="2:38" x14ac:dyDescent="0.75"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  <c r="AC396" s="15"/>
      <c r="AD396" s="15"/>
      <c r="AE396" s="15"/>
      <c r="AF396" s="15"/>
      <c r="AG396" s="15"/>
      <c r="AH396" s="15"/>
      <c r="AI396" s="15"/>
      <c r="AJ396" s="15"/>
      <c r="AK396" s="15"/>
      <c r="AL396" s="15"/>
    </row>
    <row r="397" spans="2:38" x14ac:dyDescent="0.75"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  <c r="AE397" s="15"/>
      <c r="AF397" s="15"/>
      <c r="AG397" s="15"/>
      <c r="AH397" s="15"/>
      <c r="AI397" s="15"/>
      <c r="AJ397" s="15"/>
      <c r="AK397" s="15"/>
      <c r="AL397" s="15"/>
    </row>
    <row r="398" spans="2:38" x14ac:dyDescent="0.75"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  <c r="AC398" s="15"/>
      <c r="AD398" s="15"/>
      <c r="AE398" s="15"/>
      <c r="AF398" s="15"/>
      <c r="AG398" s="15"/>
      <c r="AH398" s="15"/>
      <c r="AI398" s="15"/>
      <c r="AJ398" s="15"/>
      <c r="AK398" s="15"/>
      <c r="AL398" s="15"/>
    </row>
    <row r="399" spans="2:38" x14ac:dyDescent="0.75"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  <c r="AC399" s="15"/>
      <c r="AD399" s="15"/>
      <c r="AE399" s="15"/>
      <c r="AF399" s="15"/>
      <c r="AG399" s="15"/>
      <c r="AH399" s="15"/>
      <c r="AI399" s="15"/>
      <c r="AJ399" s="15"/>
      <c r="AK399" s="15"/>
      <c r="AL399" s="15"/>
    </row>
    <row r="400" spans="2:38" x14ac:dyDescent="0.75"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  <c r="AC400" s="15"/>
      <c r="AD400" s="15"/>
      <c r="AE400" s="15"/>
      <c r="AF400" s="15"/>
      <c r="AG400" s="15"/>
      <c r="AH400" s="15"/>
      <c r="AI400" s="15"/>
      <c r="AJ400" s="15"/>
      <c r="AK400" s="15"/>
      <c r="AL400" s="15"/>
    </row>
    <row r="401" spans="2:38" x14ac:dyDescent="0.75"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  <c r="AC401" s="15"/>
      <c r="AD401" s="15"/>
      <c r="AE401" s="15"/>
      <c r="AF401" s="15"/>
      <c r="AG401" s="15"/>
      <c r="AH401" s="15"/>
      <c r="AI401" s="15"/>
      <c r="AJ401" s="15"/>
      <c r="AK401" s="15"/>
      <c r="AL401" s="15"/>
    </row>
    <row r="402" spans="2:38" x14ac:dyDescent="0.75"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  <c r="AC402" s="15"/>
      <c r="AD402" s="15"/>
      <c r="AE402" s="15"/>
      <c r="AF402" s="15"/>
      <c r="AG402" s="15"/>
      <c r="AH402" s="15"/>
      <c r="AI402" s="15"/>
      <c r="AJ402" s="15"/>
      <c r="AK402" s="15"/>
      <c r="AL402" s="15"/>
    </row>
    <row r="403" spans="2:38" x14ac:dyDescent="0.75"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  <c r="AC403" s="15"/>
      <c r="AD403" s="15"/>
      <c r="AE403" s="15"/>
      <c r="AF403" s="15"/>
      <c r="AG403" s="15"/>
      <c r="AH403" s="15"/>
      <c r="AI403" s="15"/>
      <c r="AJ403" s="15"/>
      <c r="AK403" s="15"/>
      <c r="AL403" s="15"/>
    </row>
    <row r="404" spans="2:38" x14ac:dyDescent="0.75"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  <c r="AC404" s="15"/>
      <c r="AD404" s="15"/>
      <c r="AE404" s="15"/>
      <c r="AF404" s="15"/>
      <c r="AG404" s="15"/>
      <c r="AH404" s="15"/>
      <c r="AI404" s="15"/>
      <c r="AJ404" s="15"/>
      <c r="AK404" s="15"/>
      <c r="AL404" s="15"/>
    </row>
    <row r="405" spans="2:38" x14ac:dyDescent="0.75"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  <c r="AE405" s="15"/>
      <c r="AF405" s="15"/>
      <c r="AG405" s="15"/>
      <c r="AH405" s="15"/>
      <c r="AI405" s="15"/>
      <c r="AJ405" s="15"/>
      <c r="AK405" s="15"/>
      <c r="AL405" s="15"/>
    </row>
    <row r="406" spans="2:38" x14ac:dyDescent="0.75"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  <c r="AC406" s="15"/>
      <c r="AD406" s="15"/>
      <c r="AE406" s="15"/>
      <c r="AF406" s="15"/>
      <c r="AG406" s="15"/>
      <c r="AH406" s="15"/>
      <c r="AI406" s="15"/>
      <c r="AJ406" s="15"/>
      <c r="AK406" s="15"/>
      <c r="AL406" s="15"/>
    </row>
    <row r="407" spans="2:38" x14ac:dyDescent="0.75"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  <c r="AC407" s="15"/>
      <c r="AD407" s="15"/>
      <c r="AE407" s="15"/>
      <c r="AF407" s="15"/>
      <c r="AG407" s="15"/>
      <c r="AH407" s="15"/>
      <c r="AI407" s="15"/>
      <c r="AJ407" s="15"/>
      <c r="AK407" s="15"/>
      <c r="AL407" s="15"/>
    </row>
    <row r="408" spans="2:38" x14ac:dyDescent="0.75"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  <c r="AC408" s="15"/>
      <c r="AD408" s="15"/>
      <c r="AE408" s="15"/>
      <c r="AF408" s="15"/>
      <c r="AG408" s="15"/>
      <c r="AH408" s="15"/>
      <c r="AI408" s="15"/>
      <c r="AJ408" s="15"/>
      <c r="AK408" s="15"/>
      <c r="AL408" s="15"/>
    </row>
    <row r="409" spans="2:38" x14ac:dyDescent="0.75"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  <c r="AE409" s="15"/>
      <c r="AF409" s="15"/>
      <c r="AG409" s="15"/>
      <c r="AH409" s="15"/>
      <c r="AI409" s="15"/>
      <c r="AJ409" s="15"/>
      <c r="AK409" s="15"/>
      <c r="AL409" s="15"/>
    </row>
    <row r="410" spans="2:38" x14ac:dyDescent="0.75"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  <c r="AC410" s="15"/>
      <c r="AD410" s="15"/>
      <c r="AE410" s="15"/>
      <c r="AF410" s="15"/>
      <c r="AG410" s="15"/>
      <c r="AH410" s="15"/>
      <c r="AI410" s="15"/>
      <c r="AJ410" s="15"/>
      <c r="AK410" s="15"/>
      <c r="AL410" s="15"/>
    </row>
    <row r="411" spans="2:38" x14ac:dyDescent="0.75"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  <c r="AE411" s="15"/>
      <c r="AF411" s="15"/>
      <c r="AG411" s="15"/>
      <c r="AH411" s="15"/>
      <c r="AI411" s="15"/>
      <c r="AJ411" s="15"/>
      <c r="AK411" s="15"/>
      <c r="AL411" s="15"/>
    </row>
    <row r="412" spans="2:38" x14ac:dyDescent="0.75"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  <c r="AC412" s="15"/>
      <c r="AD412" s="15"/>
      <c r="AE412" s="15"/>
      <c r="AF412" s="15"/>
      <c r="AG412" s="15"/>
      <c r="AH412" s="15"/>
      <c r="AI412" s="15"/>
      <c r="AJ412" s="15"/>
      <c r="AK412" s="15"/>
      <c r="AL412" s="15"/>
    </row>
    <row r="413" spans="2:38" x14ac:dyDescent="0.75"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  <c r="AC413" s="15"/>
      <c r="AD413" s="15"/>
      <c r="AE413" s="15"/>
      <c r="AF413" s="15"/>
      <c r="AG413" s="15"/>
      <c r="AH413" s="15"/>
      <c r="AI413" s="15"/>
      <c r="AJ413" s="15"/>
      <c r="AK413" s="15"/>
      <c r="AL413" s="15"/>
    </row>
    <row r="414" spans="2:38" x14ac:dyDescent="0.75"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  <c r="AC414" s="15"/>
      <c r="AD414" s="15"/>
      <c r="AE414" s="15"/>
      <c r="AF414" s="15"/>
      <c r="AG414" s="15"/>
      <c r="AH414" s="15"/>
      <c r="AI414" s="15"/>
      <c r="AJ414" s="15"/>
      <c r="AK414" s="15"/>
      <c r="AL414" s="15"/>
    </row>
    <row r="415" spans="2:38" x14ac:dyDescent="0.75"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  <c r="AC415" s="15"/>
      <c r="AD415" s="15"/>
      <c r="AE415" s="15"/>
      <c r="AF415" s="15"/>
      <c r="AG415" s="15"/>
      <c r="AH415" s="15"/>
      <c r="AI415" s="15"/>
      <c r="AJ415" s="15"/>
      <c r="AK415" s="15"/>
      <c r="AL415" s="15"/>
    </row>
    <row r="416" spans="2:38" x14ac:dyDescent="0.75"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  <c r="AC416" s="15"/>
      <c r="AD416" s="15"/>
      <c r="AE416" s="15"/>
      <c r="AF416" s="15"/>
      <c r="AG416" s="15"/>
      <c r="AH416" s="15"/>
      <c r="AI416" s="15"/>
      <c r="AJ416" s="15"/>
      <c r="AK416" s="15"/>
      <c r="AL416" s="15"/>
    </row>
    <row r="417" spans="2:38" x14ac:dyDescent="0.75"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  <c r="AC417" s="15"/>
      <c r="AD417" s="15"/>
      <c r="AE417" s="15"/>
      <c r="AF417" s="15"/>
      <c r="AG417" s="15"/>
      <c r="AH417" s="15"/>
      <c r="AI417" s="15"/>
      <c r="AJ417" s="15"/>
      <c r="AK417" s="15"/>
      <c r="AL417" s="15"/>
    </row>
    <row r="418" spans="2:38" x14ac:dyDescent="0.75"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  <c r="AC418" s="15"/>
      <c r="AD418" s="15"/>
      <c r="AE418" s="15"/>
      <c r="AF418" s="15"/>
      <c r="AG418" s="15"/>
      <c r="AH418" s="15"/>
      <c r="AI418" s="15"/>
      <c r="AJ418" s="15"/>
      <c r="AK418" s="15"/>
      <c r="AL418" s="15"/>
    </row>
    <row r="419" spans="2:38" x14ac:dyDescent="0.75"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  <c r="AC419" s="15"/>
      <c r="AD419" s="15"/>
      <c r="AE419" s="15"/>
      <c r="AF419" s="15"/>
      <c r="AG419" s="15"/>
      <c r="AH419" s="15"/>
      <c r="AI419" s="15"/>
      <c r="AJ419" s="15"/>
      <c r="AK419" s="15"/>
      <c r="AL419" s="15"/>
    </row>
    <row r="420" spans="2:38" x14ac:dyDescent="0.75"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  <c r="AC420" s="15"/>
      <c r="AD420" s="15"/>
      <c r="AE420" s="15"/>
      <c r="AF420" s="15"/>
      <c r="AG420" s="15"/>
      <c r="AH420" s="15"/>
      <c r="AI420" s="15"/>
      <c r="AJ420" s="15"/>
      <c r="AK420" s="15"/>
      <c r="AL420" s="15"/>
    </row>
    <row r="421" spans="2:38" x14ac:dyDescent="0.75"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  <c r="AE421" s="15"/>
      <c r="AF421" s="15"/>
      <c r="AG421" s="15"/>
      <c r="AH421" s="15"/>
      <c r="AI421" s="15"/>
      <c r="AJ421" s="15"/>
      <c r="AK421" s="15"/>
      <c r="AL421" s="15"/>
    </row>
    <row r="422" spans="2:38" x14ac:dyDescent="0.75"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  <c r="AC422" s="15"/>
      <c r="AD422" s="15"/>
      <c r="AE422" s="15"/>
      <c r="AF422" s="15"/>
      <c r="AG422" s="15"/>
      <c r="AH422" s="15"/>
      <c r="AI422" s="15"/>
      <c r="AJ422" s="15"/>
      <c r="AK422" s="15"/>
      <c r="AL422" s="15"/>
    </row>
    <row r="423" spans="2:38" x14ac:dyDescent="0.75"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  <c r="AC423" s="15"/>
      <c r="AD423" s="15"/>
      <c r="AE423" s="15"/>
      <c r="AF423" s="15"/>
      <c r="AG423" s="15"/>
      <c r="AH423" s="15"/>
      <c r="AI423" s="15"/>
      <c r="AJ423" s="15"/>
      <c r="AK423" s="15"/>
      <c r="AL423" s="15"/>
    </row>
    <row r="424" spans="2:38" x14ac:dyDescent="0.75"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  <c r="AC424" s="15"/>
      <c r="AD424" s="15"/>
      <c r="AE424" s="15"/>
      <c r="AF424" s="15"/>
      <c r="AG424" s="15"/>
      <c r="AH424" s="15"/>
      <c r="AI424" s="15"/>
      <c r="AJ424" s="15"/>
      <c r="AK424" s="15"/>
      <c r="AL424" s="15"/>
    </row>
    <row r="425" spans="2:38" x14ac:dyDescent="0.75"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  <c r="AC425" s="15"/>
      <c r="AD425" s="15"/>
      <c r="AE425" s="15"/>
      <c r="AF425" s="15"/>
      <c r="AG425" s="15"/>
      <c r="AH425" s="15"/>
      <c r="AI425" s="15"/>
      <c r="AJ425" s="15"/>
      <c r="AK425" s="15"/>
      <c r="AL425" s="15"/>
    </row>
    <row r="426" spans="2:38" x14ac:dyDescent="0.75"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  <c r="AC426" s="15"/>
      <c r="AD426" s="15"/>
      <c r="AE426" s="15"/>
      <c r="AF426" s="15"/>
      <c r="AG426" s="15"/>
      <c r="AH426" s="15"/>
      <c r="AI426" s="15"/>
      <c r="AJ426" s="15"/>
      <c r="AK426" s="15"/>
      <c r="AL426" s="15"/>
    </row>
    <row r="427" spans="2:38" x14ac:dyDescent="0.75"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  <c r="AC427" s="15"/>
      <c r="AD427" s="15"/>
      <c r="AE427" s="15"/>
      <c r="AF427" s="15"/>
      <c r="AG427" s="15"/>
      <c r="AH427" s="15"/>
      <c r="AI427" s="15"/>
      <c r="AJ427" s="15"/>
      <c r="AK427" s="15"/>
      <c r="AL427" s="15"/>
    </row>
    <row r="428" spans="2:38" x14ac:dyDescent="0.75"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  <c r="AC428" s="15"/>
      <c r="AD428" s="15"/>
      <c r="AE428" s="15"/>
      <c r="AF428" s="15"/>
      <c r="AG428" s="15"/>
      <c r="AH428" s="15"/>
      <c r="AI428" s="15"/>
      <c r="AJ428" s="15"/>
      <c r="AK428" s="15"/>
      <c r="AL428" s="15"/>
    </row>
    <row r="429" spans="2:38" x14ac:dyDescent="0.75"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  <c r="AC429" s="15"/>
      <c r="AD429" s="15"/>
      <c r="AE429" s="15"/>
      <c r="AF429" s="15"/>
      <c r="AG429" s="15"/>
      <c r="AH429" s="15"/>
      <c r="AI429" s="15"/>
      <c r="AJ429" s="15"/>
      <c r="AK429" s="15"/>
      <c r="AL429" s="15"/>
    </row>
    <row r="430" spans="2:38" x14ac:dyDescent="0.75"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  <c r="AC430" s="15"/>
      <c r="AD430" s="15"/>
      <c r="AE430" s="15"/>
      <c r="AF430" s="15"/>
      <c r="AG430" s="15"/>
      <c r="AH430" s="15"/>
      <c r="AI430" s="15"/>
      <c r="AJ430" s="15"/>
      <c r="AK430" s="15"/>
      <c r="AL430" s="15"/>
    </row>
    <row r="431" spans="2:38" x14ac:dyDescent="0.75"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  <c r="AC431" s="15"/>
      <c r="AD431" s="15"/>
      <c r="AE431" s="15"/>
      <c r="AF431" s="15"/>
      <c r="AG431" s="15"/>
      <c r="AH431" s="15"/>
      <c r="AI431" s="15"/>
      <c r="AJ431" s="15"/>
      <c r="AK431" s="15"/>
      <c r="AL431" s="15"/>
    </row>
    <row r="432" spans="2:38" x14ac:dyDescent="0.75"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  <c r="AC432" s="15"/>
      <c r="AD432" s="15"/>
      <c r="AE432" s="15"/>
      <c r="AF432" s="15"/>
      <c r="AG432" s="15"/>
      <c r="AH432" s="15"/>
      <c r="AI432" s="15"/>
      <c r="AJ432" s="15"/>
      <c r="AK432" s="15"/>
      <c r="AL432" s="15"/>
    </row>
    <row r="433" spans="2:38" x14ac:dyDescent="0.75"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  <c r="AC433" s="15"/>
      <c r="AD433" s="15"/>
      <c r="AE433" s="15"/>
      <c r="AF433" s="15"/>
      <c r="AG433" s="15"/>
      <c r="AH433" s="15"/>
      <c r="AI433" s="15"/>
      <c r="AJ433" s="15"/>
      <c r="AK433" s="15"/>
      <c r="AL433" s="15"/>
    </row>
    <row r="434" spans="2:38" x14ac:dyDescent="0.75"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  <c r="AC434" s="15"/>
      <c r="AD434" s="15"/>
      <c r="AE434" s="15"/>
      <c r="AF434" s="15"/>
      <c r="AG434" s="15"/>
      <c r="AH434" s="15"/>
      <c r="AI434" s="15"/>
      <c r="AJ434" s="15"/>
      <c r="AK434" s="15"/>
      <c r="AL434" s="15"/>
    </row>
    <row r="435" spans="2:38" x14ac:dyDescent="0.75"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  <c r="AE435" s="15"/>
      <c r="AF435" s="15"/>
      <c r="AG435" s="15"/>
      <c r="AH435" s="15"/>
      <c r="AI435" s="15"/>
      <c r="AJ435" s="15"/>
      <c r="AK435" s="15"/>
      <c r="AL435" s="15"/>
    </row>
    <row r="436" spans="2:38" x14ac:dyDescent="0.75"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  <c r="AC436" s="15"/>
      <c r="AD436" s="15"/>
      <c r="AE436" s="15"/>
      <c r="AF436" s="15"/>
      <c r="AG436" s="15"/>
      <c r="AH436" s="15"/>
      <c r="AI436" s="15"/>
      <c r="AJ436" s="15"/>
      <c r="AK436" s="15"/>
      <c r="AL436" s="15"/>
    </row>
    <row r="437" spans="2:38" x14ac:dyDescent="0.75"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  <c r="AC437" s="15"/>
      <c r="AD437" s="15"/>
      <c r="AE437" s="15"/>
      <c r="AF437" s="15"/>
      <c r="AG437" s="15"/>
      <c r="AH437" s="15"/>
      <c r="AI437" s="15"/>
      <c r="AJ437" s="15"/>
      <c r="AK437" s="15"/>
      <c r="AL437" s="15"/>
    </row>
    <row r="438" spans="2:38" x14ac:dyDescent="0.75"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  <c r="AC438" s="15"/>
      <c r="AD438" s="15"/>
      <c r="AE438" s="15"/>
      <c r="AF438" s="15"/>
      <c r="AG438" s="15"/>
      <c r="AH438" s="15"/>
      <c r="AI438" s="15"/>
      <c r="AJ438" s="15"/>
      <c r="AK438" s="15"/>
      <c r="AL438" s="15"/>
    </row>
    <row r="439" spans="2:38" x14ac:dyDescent="0.75"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  <c r="AC439" s="15"/>
      <c r="AD439" s="15"/>
      <c r="AE439" s="15"/>
      <c r="AF439" s="15"/>
      <c r="AG439" s="15"/>
      <c r="AH439" s="15"/>
      <c r="AI439" s="15"/>
      <c r="AJ439" s="15"/>
      <c r="AK439" s="15"/>
      <c r="AL439" s="15"/>
    </row>
    <row r="440" spans="2:38" x14ac:dyDescent="0.75"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  <c r="AC440" s="15"/>
      <c r="AD440" s="15"/>
      <c r="AE440" s="15"/>
      <c r="AF440" s="15"/>
      <c r="AG440" s="15"/>
      <c r="AH440" s="15"/>
      <c r="AI440" s="15"/>
      <c r="AJ440" s="15"/>
      <c r="AK440" s="15"/>
      <c r="AL440" s="15"/>
    </row>
    <row r="441" spans="2:38" x14ac:dyDescent="0.75"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  <c r="AC441" s="15"/>
      <c r="AD441" s="15"/>
      <c r="AE441" s="15"/>
      <c r="AF441" s="15"/>
      <c r="AG441" s="15"/>
      <c r="AH441" s="15"/>
      <c r="AI441" s="15"/>
      <c r="AJ441" s="15"/>
      <c r="AK441" s="15"/>
      <c r="AL441" s="15"/>
    </row>
    <row r="442" spans="2:38" x14ac:dyDescent="0.75"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  <c r="AC442" s="15"/>
      <c r="AD442" s="15"/>
      <c r="AE442" s="15"/>
      <c r="AF442" s="15"/>
      <c r="AG442" s="15"/>
      <c r="AH442" s="15"/>
      <c r="AI442" s="15"/>
      <c r="AJ442" s="15"/>
      <c r="AK442" s="15"/>
      <c r="AL442" s="15"/>
    </row>
    <row r="443" spans="2:38" x14ac:dyDescent="0.75"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  <c r="AE443" s="15"/>
      <c r="AF443" s="15"/>
      <c r="AG443" s="15"/>
      <c r="AH443" s="15"/>
      <c r="AI443" s="15"/>
      <c r="AJ443" s="15"/>
      <c r="AK443" s="15"/>
      <c r="AL443" s="15"/>
    </row>
    <row r="444" spans="2:38" x14ac:dyDescent="0.75"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  <c r="AC444" s="15"/>
      <c r="AD444" s="15"/>
      <c r="AE444" s="15"/>
      <c r="AF444" s="15"/>
      <c r="AG444" s="15"/>
      <c r="AH444" s="15"/>
      <c r="AI444" s="15"/>
      <c r="AJ444" s="15"/>
      <c r="AK444" s="15"/>
      <c r="AL444" s="15"/>
    </row>
    <row r="445" spans="2:38" x14ac:dyDescent="0.75"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  <c r="AC445" s="15"/>
      <c r="AD445" s="15"/>
      <c r="AE445" s="15"/>
      <c r="AF445" s="15"/>
      <c r="AG445" s="15"/>
      <c r="AH445" s="15"/>
      <c r="AI445" s="15"/>
      <c r="AJ445" s="15"/>
      <c r="AK445" s="15"/>
      <c r="AL445" s="15"/>
    </row>
    <row r="446" spans="2:38" x14ac:dyDescent="0.75"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  <c r="AC446" s="15"/>
      <c r="AD446" s="15"/>
      <c r="AE446" s="15"/>
      <c r="AF446" s="15"/>
      <c r="AG446" s="15"/>
      <c r="AH446" s="15"/>
      <c r="AI446" s="15"/>
      <c r="AJ446" s="15"/>
      <c r="AK446" s="15"/>
      <c r="AL446" s="15"/>
    </row>
    <row r="447" spans="2:38" x14ac:dyDescent="0.75"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  <c r="AC447" s="15"/>
      <c r="AD447" s="15"/>
      <c r="AE447" s="15"/>
      <c r="AF447" s="15"/>
      <c r="AG447" s="15"/>
      <c r="AH447" s="15"/>
      <c r="AI447" s="15"/>
      <c r="AJ447" s="15"/>
      <c r="AK447" s="15"/>
      <c r="AL447" s="15"/>
    </row>
    <row r="448" spans="2:38" x14ac:dyDescent="0.75"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  <c r="AC448" s="15"/>
      <c r="AD448" s="15"/>
      <c r="AE448" s="15"/>
      <c r="AF448" s="15"/>
      <c r="AG448" s="15"/>
      <c r="AH448" s="15"/>
      <c r="AI448" s="15"/>
      <c r="AJ448" s="15"/>
      <c r="AK448" s="15"/>
      <c r="AL448" s="15"/>
    </row>
    <row r="449" spans="2:38" x14ac:dyDescent="0.75"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  <c r="AC449" s="15"/>
      <c r="AD449" s="15"/>
      <c r="AE449" s="15"/>
      <c r="AF449" s="15"/>
      <c r="AG449" s="15"/>
      <c r="AH449" s="15"/>
      <c r="AI449" s="15"/>
      <c r="AJ449" s="15"/>
      <c r="AK449" s="15"/>
      <c r="AL449" s="15"/>
    </row>
    <row r="450" spans="2:38" x14ac:dyDescent="0.75"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  <c r="AC450" s="15"/>
      <c r="AD450" s="15"/>
      <c r="AE450" s="15"/>
      <c r="AF450" s="15"/>
      <c r="AG450" s="15"/>
      <c r="AH450" s="15"/>
      <c r="AI450" s="15"/>
      <c r="AJ450" s="15"/>
      <c r="AK450" s="15"/>
      <c r="AL450" s="15"/>
    </row>
    <row r="451" spans="2:38" x14ac:dyDescent="0.75"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  <c r="AC451" s="15"/>
      <c r="AD451" s="15"/>
      <c r="AE451" s="15"/>
      <c r="AF451" s="15"/>
      <c r="AG451" s="15"/>
      <c r="AH451" s="15"/>
      <c r="AI451" s="15"/>
      <c r="AJ451" s="15"/>
      <c r="AK451" s="15"/>
      <c r="AL451" s="15"/>
    </row>
    <row r="452" spans="2:38" x14ac:dyDescent="0.75"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  <c r="AC452" s="15"/>
      <c r="AD452" s="15"/>
      <c r="AE452" s="15"/>
      <c r="AF452" s="15"/>
      <c r="AG452" s="15"/>
      <c r="AH452" s="15"/>
      <c r="AI452" s="15"/>
      <c r="AJ452" s="15"/>
      <c r="AK452" s="15"/>
      <c r="AL452" s="15"/>
    </row>
    <row r="453" spans="2:38" x14ac:dyDescent="0.75"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  <c r="AC453" s="15"/>
      <c r="AD453" s="15"/>
      <c r="AE453" s="15"/>
      <c r="AF453" s="15"/>
      <c r="AG453" s="15"/>
      <c r="AH453" s="15"/>
      <c r="AI453" s="15"/>
      <c r="AJ453" s="15"/>
      <c r="AK453" s="15"/>
      <c r="AL453" s="15"/>
    </row>
    <row r="454" spans="2:38" x14ac:dyDescent="0.75"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  <c r="AC454" s="15"/>
      <c r="AD454" s="15"/>
      <c r="AE454" s="15"/>
      <c r="AF454" s="15"/>
      <c r="AG454" s="15"/>
      <c r="AH454" s="15"/>
      <c r="AI454" s="15"/>
      <c r="AJ454" s="15"/>
      <c r="AK454" s="15"/>
      <c r="AL454" s="15"/>
    </row>
    <row r="455" spans="2:38" x14ac:dyDescent="0.75"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  <c r="AC455" s="15"/>
      <c r="AD455" s="15"/>
      <c r="AE455" s="15"/>
      <c r="AF455" s="15"/>
      <c r="AG455" s="15"/>
      <c r="AH455" s="15"/>
      <c r="AI455" s="15"/>
      <c r="AJ455" s="15"/>
      <c r="AK455" s="15"/>
      <c r="AL455" s="15"/>
    </row>
    <row r="456" spans="2:38" x14ac:dyDescent="0.75"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  <c r="AC456" s="15"/>
      <c r="AD456" s="15"/>
      <c r="AE456" s="15"/>
      <c r="AF456" s="15"/>
      <c r="AG456" s="15"/>
      <c r="AH456" s="15"/>
      <c r="AI456" s="15"/>
      <c r="AJ456" s="15"/>
      <c r="AK456" s="15"/>
      <c r="AL456" s="15"/>
    </row>
    <row r="457" spans="2:38" x14ac:dyDescent="0.75"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  <c r="AC457" s="15"/>
      <c r="AD457" s="15"/>
      <c r="AE457" s="15"/>
      <c r="AF457" s="15"/>
      <c r="AG457" s="15"/>
      <c r="AH457" s="15"/>
      <c r="AI457" s="15"/>
      <c r="AJ457" s="15"/>
      <c r="AK457" s="15"/>
      <c r="AL457" s="15"/>
    </row>
    <row r="458" spans="2:38" x14ac:dyDescent="0.75"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  <c r="AC458" s="15"/>
      <c r="AD458" s="15"/>
      <c r="AE458" s="15"/>
      <c r="AF458" s="15"/>
      <c r="AG458" s="15"/>
      <c r="AH458" s="15"/>
      <c r="AI458" s="15"/>
      <c r="AJ458" s="15"/>
      <c r="AK458" s="15"/>
      <c r="AL458" s="15"/>
    </row>
    <row r="459" spans="2:38" x14ac:dyDescent="0.75"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  <c r="AC459" s="15"/>
      <c r="AD459" s="15"/>
      <c r="AE459" s="15"/>
      <c r="AF459" s="15"/>
      <c r="AG459" s="15"/>
      <c r="AH459" s="15"/>
      <c r="AI459" s="15"/>
      <c r="AJ459" s="15"/>
      <c r="AK459" s="15"/>
      <c r="AL459" s="15"/>
    </row>
    <row r="460" spans="2:38" x14ac:dyDescent="0.75"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  <c r="AC460" s="15"/>
      <c r="AD460" s="15"/>
      <c r="AE460" s="15"/>
      <c r="AF460" s="15"/>
      <c r="AG460" s="15"/>
      <c r="AH460" s="15"/>
      <c r="AI460" s="15"/>
      <c r="AJ460" s="15"/>
      <c r="AK460" s="15"/>
      <c r="AL460" s="15"/>
    </row>
    <row r="461" spans="2:38" x14ac:dyDescent="0.75"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  <c r="AC461" s="15"/>
      <c r="AD461" s="15"/>
      <c r="AE461" s="15"/>
      <c r="AF461" s="15"/>
      <c r="AG461" s="15"/>
      <c r="AH461" s="15"/>
      <c r="AI461" s="15"/>
      <c r="AJ461" s="15"/>
      <c r="AK461" s="15"/>
      <c r="AL461" s="15"/>
    </row>
    <row r="462" spans="2:38" x14ac:dyDescent="0.75"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  <c r="AC462" s="15"/>
      <c r="AD462" s="15"/>
      <c r="AE462" s="15"/>
      <c r="AF462" s="15"/>
      <c r="AG462" s="15"/>
      <c r="AH462" s="15"/>
      <c r="AI462" s="15"/>
      <c r="AJ462" s="15"/>
      <c r="AK462" s="15"/>
      <c r="AL462" s="15"/>
    </row>
    <row r="463" spans="2:38" x14ac:dyDescent="0.75"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  <c r="AC463" s="15"/>
      <c r="AD463" s="15"/>
      <c r="AE463" s="15"/>
      <c r="AF463" s="15"/>
      <c r="AG463" s="15"/>
      <c r="AH463" s="15"/>
      <c r="AI463" s="15"/>
      <c r="AJ463" s="15"/>
      <c r="AK463" s="15"/>
      <c r="AL463" s="15"/>
    </row>
    <row r="464" spans="2:38" x14ac:dyDescent="0.75"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  <c r="AC464" s="15"/>
      <c r="AD464" s="15"/>
      <c r="AE464" s="15"/>
      <c r="AF464" s="15"/>
      <c r="AG464" s="15"/>
      <c r="AH464" s="15"/>
      <c r="AI464" s="15"/>
      <c r="AJ464" s="15"/>
      <c r="AK464" s="15"/>
      <c r="AL464" s="15"/>
    </row>
    <row r="465" spans="2:38" x14ac:dyDescent="0.75"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  <c r="AC465" s="15"/>
      <c r="AD465" s="15"/>
      <c r="AE465" s="15"/>
      <c r="AF465" s="15"/>
      <c r="AG465" s="15"/>
      <c r="AH465" s="15"/>
      <c r="AI465" s="15"/>
      <c r="AJ465" s="15"/>
      <c r="AK465" s="15"/>
      <c r="AL465" s="15"/>
    </row>
    <row r="466" spans="2:38" x14ac:dyDescent="0.75"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  <c r="AC466" s="15"/>
      <c r="AD466" s="15"/>
      <c r="AE466" s="15"/>
      <c r="AF466" s="15"/>
      <c r="AG466" s="15"/>
      <c r="AH466" s="15"/>
      <c r="AI466" s="15"/>
      <c r="AJ466" s="15"/>
      <c r="AK466" s="15"/>
      <c r="AL466" s="15"/>
    </row>
    <row r="467" spans="2:38" x14ac:dyDescent="0.75"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  <c r="AC467" s="15"/>
      <c r="AD467" s="15"/>
      <c r="AE467" s="15"/>
      <c r="AF467" s="15"/>
      <c r="AG467" s="15"/>
      <c r="AH467" s="15"/>
      <c r="AI467" s="15"/>
      <c r="AJ467" s="15"/>
      <c r="AK467" s="15"/>
      <c r="AL467" s="15"/>
    </row>
    <row r="468" spans="2:38" x14ac:dyDescent="0.75"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  <c r="AC468" s="15"/>
      <c r="AD468" s="15"/>
      <c r="AE468" s="15"/>
      <c r="AF468" s="15"/>
      <c r="AG468" s="15"/>
      <c r="AH468" s="15"/>
      <c r="AI468" s="15"/>
      <c r="AJ468" s="15"/>
      <c r="AK468" s="15"/>
      <c r="AL468" s="15"/>
    </row>
    <row r="469" spans="2:38" x14ac:dyDescent="0.75"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  <c r="AC469" s="15"/>
      <c r="AD469" s="15"/>
      <c r="AE469" s="15"/>
      <c r="AF469" s="15"/>
      <c r="AG469" s="15"/>
      <c r="AH469" s="15"/>
      <c r="AI469" s="15"/>
      <c r="AJ469" s="15"/>
      <c r="AK469" s="15"/>
      <c r="AL469" s="15"/>
    </row>
    <row r="470" spans="2:38" x14ac:dyDescent="0.75"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  <c r="AC470" s="15"/>
      <c r="AD470" s="15"/>
      <c r="AE470" s="15"/>
      <c r="AF470" s="15"/>
      <c r="AG470" s="15"/>
      <c r="AH470" s="15"/>
      <c r="AI470" s="15"/>
      <c r="AJ470" s="15"/>
      <c r="AK470" s="15"/>
      <c r="AL470" s="15"/>
    </row>
    <row r="471" spans="2:38" x14ac:dyDescent="0.75"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  <c r="AC471" s="15"/>
      <c r="AD471" s="15"/>
      <c r="AE471" s="15"/>
      <c r="AF471" s="15"/>
      <c r="AG471" s="15"/>
      <c r="AH471" s="15"/>
      <c r="AI471" s="15"/>
      <c r="AJ471" s="15"/>
      <c r="AK471" s="15"/>
      <c r="AL471" s="15"/>
    </row>
    <row r="472" spans="2:38" x14ac:dyDescent="0.75"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  <c r="AC472" s="15"/>
      <c r="AD472" s="15"/>
      <c r="AE472" s="15"/>
      <c r="AF472" s="15"/>
      <c r="AG472" s="15"/>
      <c r="AH472" s="15"/>
      <c r="AI472" s="15"/>
      <c r="AJ472" s="15"/>
      <c r="AK472" s="15"/>
      <c r="AL472" s="15"/>
    </row>
    <row r="473" spans="2:38" x14ac:dyDescent="0.75"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  <c r="AC473" s="15"/>
      <c r="AD473" s="15"/>
      <c r="AE473" s="15"/>
      <c r="AF473" s="15"/>
      <c r="AG473" s="15"/>
      <c r="AH473" s="15"/>
      <c r="AI473" s="15"/>
      <c r="AJ473" s="15"/>
      <c r="AK473" s="15"/>
      <c r="AL473" s="15"/>
    </row>
    <row r="474" spans="2:38" x14ac:dyDescent="0.75"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  <c r="AC474" s="15"/>
      <c r="AD474" s="15"/>
      <c r="AE474" s="15"/>
      <c r="AF474" s="15"/>
      <c r="AG474" s="15"/>
      <c r="AH474" s="15"/>
      <c r="AI474" s="15"/>
      <c r="AJ474" s="15"/>
      <c r="AK474" s="15"/>
      <c r="AL474" s="15"/>
    </row>
    <row r="475" spans="2:38" x14ac:dyDescent="0.75"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  <c r="AC475" s="15"/>
      <c r="AD475" s="15"/>
      <c r="AE475" s="15"/>
      <c r="AF475" s="15"/>
      <c r="AG475" s="15"/>
      <c r="AH475" s="15"/>
      <c r="AI475" s="15"/>
      <c r="AJ475" s="15"/>
      <c r="AK475" s="15"/>
      <c r="AL475" s="15"/>
    </row>
    <row r="476" spans="2:38" x14ac:dyDescent="0.75"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  <c r="AC476" s="15"/>
      <c r="AD476" s="15"/>
      <c r="AE476" s="15"/>
      <c r="AF476" s="15"/>
      <c r="AG476" s="15"/>
      <c r="AH476" s="15"/>
      <c r="AI476" s="15"/>
      <c r="AJ476" s="15"/>
      <c r="AK476" s="15"/>
      <c r="AL476" s="15"/>
    </row>
    <row r="477" spans="2:38" x14ac:dyDescent="0.75"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  <c r="AC477" s="15"/>
      <c r="AD477" s="15"/>
      <c r="AE477" s="15"/>
      <c r="AF477" s="15"/>
      <c r="AG477" s="15"/>
      <c r="AH477" s="15"/>
      <c r="AI477" s="15"/>
      <c r="AJ477" s="15"/>
      <c r="AK477" s="15"/>
      <c r="AL477" s="15"/>
    </row>
    <row r="478" spans="2:38" x14ac:dyDescent="0.75"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  <c r="AC478" s="15"/>
      <c r="AD478" s="15"/>
      <c r="AE478" s="15"/>
      <c r="AF478" s="15"/>
      <c r="AG478" s="15"/>
      <c r="AH478" s="15"/>
      <c r="AI478" s="15"/>
      <c r="AJ478" s="15"/>
      <c r="AK478" s="15"/>
      <c r="AL478" s="15"/>
    </row>
    <row r="479" spans="2:38" x14ac:dyDescent="0.75"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  <c r="AC479" s="15"/>
      <c r="AD479" s="15"/>
      <c r="AE479" s="15"/>
      <c r="AF479" s="15"/>
      <c r="AG479" s="15"/>
      <c r="AH479" s="15"/>
      <c r="AI479" s="15"/>
      <c r="AJ479" s="15"/>
      <c r="AK479" s="15"/>
      <c r="AL479" s="15"/>
    </row>
    <row r="480" spans="2:38" x14ac:dyDescent="0.75"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  <c r="AC480" s="15"/>
      <c r="AD480" s="15"/>
      <c r="AE480" s="15"/>
      <c r="AF480" s="15"/>
      <c r="AG480" s="15"/>
      <c r="AH480" s="15"/>
      <c r="AI480" s="15"/>
      <c r="AJ480" s="15"/>
      <c r="AK480" s="15"/>
      <c r="AL480" s="15"/>
    </row>
    <row r="481" spans="2:38" x14ac:dyDescent="0.75"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  <c r="AC481" s="15"/>
      <c r="AD481" s="15"/>
      <c r="AE481" s="15"/>
      <c r="AF481" s="15"/>
      <c r="AG481" s="15"/>
      <c r="AH481" s="15"/>
      <c r="AI481" s="15"/>
      <c r="AJ481" s="15"/>
      <c r="AK481" s="15"/>
      <c r="AL481" s="15"/>
    </row>
    <row r="482" spans="2:38" x14ac:dyDescent="0.75"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  <c r="AC482" s="15"/>
      <c r="AD482" s="15"/>
      <c r="AE482" s="15"/>
      <c r="AF482" s="15"/>
      <c r="AG482" s="15"/>
      <c r="AH482" s="15"/>
      <c r="AI482" s="15"/>
      <c r="AJ482" s="15"/>
      <c r="AK482" s="15"/>
      <c r="AL482" s="15"/>
    </row>
    <row r="483" spans="2:38" x14ac:dyDescent="0.75"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  <c r="AC483" s="15"/>
      <c r="AD483" s="15"/>
      <c r="AE483" s="15"/>
      <c r="AF483" s="15"/>
      <c r="AG483" s="15"/>
      <c r="AH483" s="15"/>
      <c r="AI483" s="15"/>
      <c r="AJ483" s="15"/>
      <c r="AK483" s="15"/>
      <c r="AL483" s="15"/>
    </row>
    <row r="484" spans="2:38" x14ac:dyDescent="0.75"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  <c r="AC484" s="15"/>
      <c r="AD484" s="15"/>
      <c r="AE484" s="15"/>
      <c r="AF484" s="15"/>
      <c r="AG484" s="15"/>
      <c r="AH484" s="15"/>
      <c r="AI484" s="15"/>
      <c r="AJ484" s="15"/>
      <c r="AK484" s="15"/>
      <c r="AL484" s="15"/>
    </row>
    <row r="485" spans="2:38" x14ac:dyDescent="0.75"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  <c r="AC485" s="15"/>
      <c r="AD485" s="15"/>
      <c r="AE485" s="15"/>
      <c r="AF485" s="15"/>
      <c r="AG485" s="15"/>
      <c r="AH485" s="15"/>
      <c r="AI485" s="15"/>
      <c r="AJ485" s="15"/>
      <c r="AK485" s="15"/>
      <c r="AL485" s="15"/>
    </row>
    <row r="486" spans="2:38" x14ac:dyDescent="0.75"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  <c r="AC486" s="15"/>
      <c r="AD486" s="15"/>
      <c r="AE486" s="15"/>
      <c r="AF486" s="15"/>
      <c r="AG486" s="15"/>
      <c r="AH486" s="15"/>
      <c r="AI486" s="15"/>
      <c r="AJ486" s="15"/>
      <c r="AK486" s="15"/>
      <c r="AL486" s="15"/>
    </row>
    <row r="487" spans="2:38" x14ac:dyDescent="0.75"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  <c r="AC487" s="15"/>
      <c r="AD487" s="15"/>
      <c r="AE487" s="15"/>
      <c r="AF487" s="15"/>
      <c r="AG487" s="15"/>
      <c r="AH487" s="15"/>
      <c r="AI487" s="15"/>
      <c r="AJ487" s="15"/>
      <c r="AK487" s="15"/>
      <c r="AL487" s="15"/>
    </row>
    <row r="488" spans="2:38" x14ac:dyDescent="0.75"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  <c r="AC488" s="15"/>
      <c r="AD488" s="15"/>
      <c r="AE488" s="15"/>
      <c r="AF488" s="15"/>
      <c r="AG488" s="15"/>
      <c r="AH488" s="15"/>
      <c r="AI488" s="15"/>
      <c r="AJ488" s="15"/>
      <c r="AK488" s="15"/>
      <c r="AL488" s="15"/>
    </row>
    <row r="489" spans="2:38" x14ac:dyDescent="0.75"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  <c r="AC489" s="15"/>
      <c r="AD489" s="15"/>
      <c r="AE489" s="15"/>
      <c r="AF489" s="15"/>
      <c r="AG489" s="15"/>
      <c r="AH489" s="15"/>
      <c r="AI489" s="15"/>
      <c r="AJ489" s="15"/>
      <c r="AK489" s="15"/>
      <c r="AL489" s="15"/>
    </row>
    <row r="490" spans="2:38" x14ac:dyDescent="0.75"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  <c r="AC490" s="15"/>
      <c r="AD490" s="15"/>
      <c r="AE490" s="15"/>
      <c r="AF490" s="15"/>
      <c r="AG490" s="15"/>
      <c r="AH490" s="15"/>
      <c r="AI490" s="15"/>
      <c r="AJ490" s="15"/>
      <c r="AK490" s="15"/>
      <c r="AL490" s="15"/>
    </row>
    <row r="491" spans="2:38" x14ac:dyDescent="0.75"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  <c r="AC491" s="15"/>
      <c r="AD491" s="15"/>
      <c r="AE491" s="15"/>
      <c r="AF491" s="15"/>
      <c r="AG491" s="15"/>
      <c r="AH491" s="15"/>
      <c r="AI491" s="15"/>
      <c r="AJ491" s="15"/>
      <c r="AK491" s="15"/>
      <c r="AL491" s="15"/>
    </row>
    <row r="492" spans="2:38" x14ac:dyDescent="0.75"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  <c r="AC492" s="15"/>
      <c r="AD492" s="15"/>
      <c r="AE492" s="15"/>
      <c r="AF492" s="15"/>
      <c r="AG492" s="15"/>
      <c r="AH492" s="15"/>
      <c r="AI492" s="15"/>
      <c r="AJ492" s="15"/>
      <c r="AK492" s="15"/>
      <c r="AL492" s="15"/>
    </row>
    <row r="493" spans="2:38" x14ac:dyDescent="0.75"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  <c r="AC493" s="15"/>
      <c r="AD493" s="15"/>
      <c r="AE493" s="15"/>
      <c r="AF493" s="15"/>
      <c r="AG493" s="15"/>
      <c r="AH493" s="15"/>
      <c r="AI493" s="15"/>
      <c r="AJ493" s="15"/>
      <c r="AK493" s="15"/>
      <c r="AL493" s="15"/>
    </row>
    <row r="494" spans="2:38" x14ac:dyDescent="0.75"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  <c r="AC494" s="15"/>
      <c r="AD494" s="15"/>
      <c r="AE494" s="15"/>
      <c r="AF494" s="15"/>
      <c r="AG494" s="15"/>
      <c r="AH494" s="15"/>
      <c r="AI494" s="15"/>
      <c r="AJ494" s="15"/>
      <c r="AK494" s="15"/>
      <c r="AL494" s="15"/>
    </row>
    <row r="495" spans="2:38" x14ac:dyDescent="0.75"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  <c r="AC495" s="15"/>
      <c r="AD495" s="15"/>
      <c r="AE495" s="15"/>
      <c r="AF495" s="15"/>
      <c r="AG495" s="15"/>
      <c r="AH495" s="15"/>
      <c r="AI495" s="15"/>
      <c r="AJ495" s="15"/>
      <c r="AK495" s="15"/>
      <c r="AL495" s="15"/>
    </row>
    <row r="496" spans="2:38" x14ac:dyDescent="0.75"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  <c r="AC496" s="15"/>
      <c r="AD496" s="15"/>
      <c r="AE496" s="15"/>
      <c r="AF496" s="15"/>
      <c r="AG496" s="15"/>
      <c r="AH496" s="15"/>
      <c r="AI496" s="15"/>
      <c r="AJ496" s="15"/>
      <c r="AK496" s="15"/>
      <c r="AL496" s="15"/>
    </row>
    <row r="497" spans="2:38" x14ac:dyDescent="0.75"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  <c r="AC497" s="15"/>
      <c r="AD497" s="15"/>
      <c r="AE497" s="15"/>
      <c r="AF497" s="15"/>
      <c r="AG497" s="15"/>
      <c r="AH497" s="15"/>
      <c r="AI497" s="15"/>
      <c r="AJ497" s="15"/>
      <c r="AK497" s="15"/>
      <c r="AL497" s="15"/>
    </row>
    <row r="498" spans="2:38" x14ac:dyDescent="0.75"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  <c r="AC498" s="15"/>
      <c r="AD498" s="15"/>
      <c r="AE498" s="15"/>
      <c r="AF498" s="15"/>
      <c r="AG498" s="15"/>
      <c r="AH498" s="15"/>
      <c r="AI498" s="15"/>
      <c r="AJ498" s="15"/>
      <c r="AK498" s="15"/>
      <c r="AL498" s="15"/>
    </row>
    <row r="499" spans="2:38" x14ac:dyDescent="0.75"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  <c r="AB499" s="15"/>
      <c r="AC499" s="15"/>
      <c r="AD499" s="15"/>
      <c r="AE499" s="15"/>
      <c r="AF499" s="15"/>
      <c r="AG499" s="15"/>
      <c r="AH499" s="15"/>
      <c r="AI499" s="15"/>
      <c r="AJ499" s="15"/>
      <c r="AK499" s="15"/>
      <c r="AL499" s="15"/>
    </row>
    <row r="500" spans="2:38" x14ac:dyDescent="0.75"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  <c r="AC500" s="15"/>
      <c r="AD500" s="15"/>
      <c r="AE500" s="15"/>
      <c r="AF500" s="15"/>
      <c r="AG500" s="15"/>
      <c r="AH500" s="15"/>
      <c r="AI500" s="15"/>
      <c r="AJ500" s="15"/>
      <c r="AK500" s="15"/>
      <c r="AL500" s="15"/>
    </row>
    <row r="501" spans="2:38" x14ac:dyDescent="0.75"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  <c r="AB501" s="15"/>
      <c r="AC501" s="15"/>
      <c r="AD501" s="15"/>
      <c r="AE501" s="15"/>
      <c r="AF501" s="15"/>
      <c r="AG501" s="15"/>
      <c r="AH501" s="15"/>
      <c r="AI501" s="15"/>
      <c r="AJ501" s="15"/>
      <c r="AK501" s="15"/>
      <c r="AL501" s="15"/>
    </row>
    <row r="502" spans="2:38" x14ac:dyDescent="0.75"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  <c r="AB502" s="15"/>
      <c r="AC502" s="15"/>
      <c r="AD502" s="15"/>
      <c r="AE502" s="15"/>
      <c r="AF502" s="15"/>
      <c r="AG502" s="15"/>
      <c r="AH502" s="15"/>
      <c r="AI502" s="15"/>
      <c r="AJ502" s="15"/>
      <c r="AK502" s="15"/>
      <c r="AL502" s="15"/>
    </row>
    <row r="503" spans="2:38" x14ac:dyDescent="0.75"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  <c r="AB503" s="15"/>
      <c r="AC503" s="15"/>
      <c r="AD503" s="15"/>
      <c r="AE503" s="15"/>
      <c r="AF503" s="15"/>
      <c r="AG503" s="15"/>
      <c r="AH503" s="15"/>
      <c r="AI503" s="15"/>
      <c r="AJ503" s="15"/>
      <c r="AK503" s="15"/>
      <c r="AL503" s="15"/>
    </row>
    <row r="504" spans="2:38" x14ac:dyDescent="0.75"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  <c r="AB504" s="15"/>
      <c r="AC504" s="15"/>
      <c r="AD504" s="15"/>
      <c r="AE504" s="15"/>
      <c r="AF504" s="15"/>
      <c r="AG504" s="15"/>
      <c r="AH504" s="15"/>
      <c r="AI504" s="15"/>
      <c r="AJ504" s="15"/>
      <c r="AK504" s="15"/>
      <c r="AL504" s="15"/>
    </row>
    <row r="505" spans="2:38" x14ac:dyDescent="0.75"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  <c r="AB505" s="15"/>
      <c r="AC505" s="15"/>
      <c r="AD505" s="15"/>
      <c r="AE505" s="15"/>
      <c r="AF505" s="15"/>
      <c r="AG505" s="15"/>
      <c r="AH505" s="15"/>
      <c r="AI505" s="15"/>
      <c r="AJ505" s="15"/>
      <c r="AK505" s="15"/>
      <c r="AL505" s="15"/>
    </row>
    <row r="506" spans="2:38" x14ac:dyDescent="0.75"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  <c r="AB506" s="15"/>
      <c r="AC506" s="15"/>
      <c r="AD506" s="15"/>
      <c r="AE506" s="15"/>
      <c r="AF506" s="15"/>
      <c r="AG506" s="15"/>
      <c r="AH506" s="15"/>
      <c r="AI506" s="15"/>
      <c r="AJ506" s="15"/>
      <c r="AK506" s="15"/>
      <c r="AL506" s="15"/>
    </row>
    <row r="507" spans="2:38" x14ac:dyDescent="0.75"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  <c r="AC507" s="15"/>
      <c r="AD507" s="15"/>
      <c r="AE507" s="15"/>
      <c r="AF507" s="15"/>
      <c r="AG507" s="15"/>
      <c r="AH507" s="15"/>
      <c r="AI507" s="15"/>
      <c r="AJ507" s="15"/>
      <c r="AK507" s="15"/>
      <c r="AL507" s="15"/>
    </row>
    <row r="508" spans="2:38" x14ac:dyDescent="0.75"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  <c r="AC508" s="15"/>
      <c r="AD508" s="15"/>
      <c r="AE508" s="15"/>
      <c r="AF508" s="15"/>
      <c r="AG508" s="15"/>
      <c r="AH508" s="15"/>
      <c r="AI508" s="15"/>
      <c r="AJ508" s="15"/>
      <c r="AK508" s="15"/>
      <c r="AL508" s="15"/>
    </row>
    <row r="509" spans="2:38" x14ac:dyDescent="0.75"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  <c r="AC509" s="15"/>
      <c r="AD509" s="15"/>
      <c r="AE509" s="15"/>
      <c r="AF509" s="15"/>
      <c r="AG509" s="15"/>
      <c r="AH509" s="15"/>
      <c r="AI509" s="15"/>
      <c r="AJ509" s="15"/>
      <c r="AK509" s="15"/>
      <c r="AL509" s="15"/>
    </row>
    <row r="510" spans="2:38" x14ac:dyDescent="0.75"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  <c r="AC510" s="15"/>
      <c r="AD510" s="15"/>
      <c r="AE510" s="15"/>
      <c r="AF510" s="15"/>
      <c r="AG510" s="15"/>
      <c r="AH510" s="15"/>
      <c r="AI510" s="15"/>
      <c r="AJ510" s="15"/>
      <c r="AK510" s="15"/>
      <c r="AL510" s="15"/>
    </row>
    <row r="511" spans="2:38" x14ac:dyDescent="0.75"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  <c r="AC511" s="15"/>
      <c r="AD511" s="15"/>
      <c r="AE511" s="15"/>
      <c r="AF511" s="15"/>
      <c r="AG511" s="15"/>
      <c r="AH511" s="15"/>
      <c r="AI511" s="15"/>
      <c r="AJ511" s="15"/>
      <c r="AK511" s="15"/>
      <c r="AL511" s="15"/>
    </row>
    <row r="512" spans="2:38" x14ac:dyDescent="0.75"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  <c r="AB512" s="15"/>
      <c r="AC512" s="15"/>
      <c r="AD512" s="15"/>
      <c r="AE512" s="15"/>
      <c r="AF512" s="15"/>
      <c r="AG512" s="15"/>
      <c r="AH512" s="15"/>
      <c r="AI512" s="15"/>
      <c r="AJ512" s="15"/>
      <c r="AK512" s="15"/>
      <c r="AL512" s="15"/>
    </row>
    <row r="513" spans="2:38" x14ac:dyDescent="0.75"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  <c r="AB513" s="15"/>
      <c r="AC513" s="15"/>
      <c r="AD513" s="15"/>
      <c r="AE513" s="15"/>
      <c r="AF513" s="15"/>
      <c r="AG513" s="15"/>
      <c r="AH513" s="15"/>
      <c r="AI513" s="15"/>
      <c r="AJ513" s="15"/>
      <c r="AK513" s="15"/>
      <c r="AL513" s="15"/>
    </row>
    <row r="514" spans="2:38" x14ac:dyDescent="0.75"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  <c r="AB514" s="15"/>
      <c r="AC514" s="15"/>
      <c r="AD514" s="15"/>
      <c r="AE514" s="15"/>
      <c r="AF514" s="15"/>
      <c r="AG514" s="15"/>
      <c r="AH514" s="15"/>
      <c r="AI514" s="15"/>
      <c r="AJ514" s="15"/>
      <c r="AK514" s="15"/>
      <c r="AL514" s="15"/>
    </row>
    <row r="515" spans="2:38" x14ac:dyDescent="0.75"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  <c r="AB515" s="15"/>
      <c r="AC515" s="15"/>
      <c r="AD515" s="15"/>
      <c r="AE515" s="15"/>
      <c r="AF515" s="15"/>
      <c r="AG515" s="15"/>
      <c r="AH515" s="15"/>
      <c r="AI515" s="15"/>
      <c r="AJ515" s="15"/>
      <c r="AK515" s="15"/>
      <c r="AL515" s="15"/>
    </row>
    <row r="516" spans="2:38" x14ac:dyDescent="0.75"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  <c r="AB516" s="15"/>
      <c r="AC516" s="15"/>
      <c r="AD516" s="15"/>
      <c r="AE516" s="15"/>
      <c r="AF516" s="15"/>
      <c r="AG516" s="15"/>
      <c r="AH516" s="15"/>
      <c r="AI516" s="15"/>
      <c r="AJ516" s="15"/>
      <c r="AK516" s="15"/>
      <c r="AL516" s="15"/>
    </row>
    <row r="517" spans="2:38" x14ac:dyDescent="0.75"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  <c r="AB517" s="15"/>
      <c r="AC517" s="15"/>
      <c r="AD517" s="15"/>
      <c r="AE517" s="15"/>
      <c r="AF517" s="15"/>
      <c r="AG517" s="15"/>
      <c r="AH517" s="15"/>
      <c r="AI517" s="15"/>
      <c r="AJ517" s="15"/>
      <c r="AK517" s="15"/>
      <c r="AL517" s="15"/>
    </row>
    <row r="518" spans="2:38" x14ac:dyDescent="0.75"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  <c r="AC518" s="15"/>
      <c r="AD518" s="15"/>
      <c r="AE518" s="15"/>
      <c r="AF518" s="15"/>
      <c r="AG518" s="15"/>
      <c r="AH518" s="15"/>
      <c r="AI518" s="15"/>
      <c r="AJ518" s="15"/>
      <c r="AK518" s="15"/>
      <c r="AL518" s="15"/>
    </row>
    <row r="519" spans="2:38" x14ac:dyDescent="0.75"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  <c r="AB519" s="15"/>
      <c r="AC519" s="15"/>
      <c r="AD519" s="15"/>
      <c r="AE519" s="15"/>
      <c r="AF519" s="15"/>
      <c r="AG519" s="15"/>
      <c r="AH519" s="15"/>
      <c r="AI519" s="15"/>
      <c r="AJ519" s="15"/>
      <c r="AK519" s="15"/>
      <c r="AL519" s="15"/>
    </row>
    <row r="520" spans="2:38" x14ac:dyDescent="0.75"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  <c r="AB520" s="15"/>
      <c r="AC520" s="15"/>
      <c r="AD520" s="15"/>
      <c r="AE520" s="15"/>
      <c r="AF520" s="15"/>
      <c r="AG520" s="15"/>
      <c r="AH520" s="15"/>
      <c r="AI520" s="15"/>
      <c r="AJ520" s="15"/>
      <c r="AK520" s="15"/>
      <c r="AL520" s="15"/>
    </row>
    <row r="521" spans="2:38" x14ac:dyDescent="0.75"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  <c r="AB521" s="15"/>
      <c r="AC521" s="15"/>
      <c r="AD521" s="15"/>
      <c r="AE521" s="15"/>
      <c r="AF521" s="15"/>
      <c r="AG521" s="15"/>
      <c r="AH521" s="15"/>
      <c r="AI521" s="15"/>
      <c r="AJ521" s="15"/>
      <c r="AK521" s="15"/>
      <c r="AL521" s="15"/>
    </row>
    <row r="522" spans="2:38" x14ac:dyDescent="0.75"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  <c r="AB522" s="15"/>
      <c r="AC522" s="15"/>
      <c r="AD522" s="15"/>
      <c r="AE522" s="15"/>
      <c r="AF522" s="15"/>
      <c r="AG522" s="15"/>
      <c r="AH522" s="15"/>
      <c r="AI522" s="15"/>
      <c r="AJ522" s="15"/>
      <c r="AK522" s="15"/>
      <c r="AL522" s="15"/>
    </row>
    <row r="523" spans="2:38" x14ac:dyDescent="0.75"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  <c r="AB523" s="15"/>
      <c r="AC523" s="15"/>
      <c r="AD523" s="15"/>
      <c r="AE523" s="15"/>
      <c r="AF523" s="15"/>
      <c r="AG523" s="15"/>
      <c r="AH523" s="15"/>
      <c r="AI523" s="15"/>
      <c r="AJ523" s="15"/>
      <c r="AK523" s="15"/>
      <c r="AL523" s="15"/>
    </row>
    <row r="524" spans="2:38" x14ac:dyDescent="0.75"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  <c r="AB524" s="15"/>
      <c r="AC524" s="15"/>
      <c r="AD524" s="15"/>
      <c r="AE524" s="15"/>
      <c r="AF524" s="15"/>
      <c r="AG524" s="15"/>
      <c r="AH524" s="15"/>
      <c r="AI524" s="15"/>
      <c r="AJ524" s="15"/>
      <c r="AK524" s="15"/>
      <c r="AL524" s="15"/>
    </row>
    <row r="525" spans="2:38" x14ac:dyDescent="0.75"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  <c r="AB525" s="15"/>
      <c r="AC525" s="15"/>
      <c r="AD525" s="15"/>
      <c r="AE525" s="15"/>
      <c r="AF525" s="15"/>
      <c r="AG525" s="15"/>
      <c r="AH525" s="15"/>
      <c r="AI525" s="15"/>
      <c r="AJ525" s="15"/>
      <c r="AK525" s="15"/>
      <c r="AL525" s="15"/>
    </row>
    <row r="526" spans="2:38" x14ac:dyDescent="0.75"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  <c r="AB526" s="15"/>
      <c r="AC526" s="15"/>
      <c r="AD526" s="15"/>
      <c r="AE526" s="15"/>
      <c r="AF526" s="15"/>
      <c r="AG526" s="15"/>
      <c r="AH526" s="15"/>
      <c r="AI526" s="15"/>
      <c r="AJ526" s="15"/>
      <c r="AK526" s="15"/>
      <c r="AL526" s="15"/>
    </row>
    <row r="527" spans="2:38" x14ac:dyDescent="0.75"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  <c r="AB527" s="15"/>
      <c r="AC527" s="15"/>
      <c r="AD527" s="15"/>
      <c r="AE527" s="15"/>
      <c r="AF527" s="15"/>
      <c r="AG527" s="15"/>
      <c r="AH527" s="15"/>
      <c r="AI527" s="15"/>
      <c r="AJ527" s="15"/>
      <c r="AK527" s="15"/>
      <c r="AL527" s="15"/>
    </row>
    <row r="528" spans="2:38" x14ac:dyDescent="0.75"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  <c r="AC528" s="15"/>
      <c r="AD528" s="15"/>
      <c r="AE528" s="15"/>
      <c r="AF528" s="15"/>
      <c r="AG528" s="15"/>
      <c r="AH528" s="15"/>
      <c r="AI528" s="15"/>
      <c r="AJ528" s="15"/>
      <c r="AK528" s="15"/>
      <c r="AL528" s="15"/>
    </row>
    <row r="529" spans="2:38" x14ac:dyDescent="0.75"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  <c r="AB529" s="15"/>
      <c r="AC529" s="15"/>
      <c r="AD529" s="15"/>
      <c r="AE529" s="15"/>
      <c r="AF529" s="15"/>
      <c r="AG529" s="15"/>
      <c r="AH529" s="15"/>
      <c r="AI529" s="15"/>
      <c r="AJ529" s="15"/>
      <c r="AK529" s="15"/>
      <c r="AL529" s="15"/>
    </row>
    <row r="530" spans="2:38" x14ac:dyDescent="0.75"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  <c r="AB530" s="15"/>
      <c r="AC530" s="15"/>
      <c r="AD530" s="15"/>
      <c r="AE530" s="15"/>
      <c r="AF530" s="15"/>
      <c r="AG530" s="15"/>
      <c r="AH530" s="15"/>
      <c r="AI530" s="15"/>
      <c r="AJ530" s="15"/>
      <c r="AK530" s="15"/>
      <c r="AL530" s="15"/>
    </row>
    <row r="531" spans="2:38" x14ac:dyDescent="0.75"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  <c r="AB531" s="15"/>
      <c r="AC531" s="15"/>
      <c r="AD531" s="15"/>
      <c r="AE531" s="15"/>
      <c r="AF531" s="15"/>
      <c r="AG531" s="15"/>
      <c r="AH531" s="15"/>
      <c r="AI531" s="15"/>
      <c r="AJ531" s="15"/>
      <c r="AK531" s="15"/>
      <c r="AL531" s="15"/>
    </row>
    <row r="532" spans="2:38" x14ac:dyDescent="0.75"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  <c r="AB532" s="15"/>
      <c r="AC532" s="15"/>
      <c r="AD532" s="15"/>
      <c r="AE532" s="15"/>
      <c r="AF532" s="15"/>
      <c r="AG532" s="15"/>
      <c r="AH532" s="15"/>
      <c r="AI532" s="15"/>
      <c r="AJ532" s="15"/>
      <c r="AK532" s="15"/>
      <c r="AL532" s="15"/>
    </row>
    <row r="533" spans="2:38" x14ac:dyDescent="0.75"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  <c r="AB533" s="15"/>
      <c r="AC533" s="15"/>
      <c r="AD533" s="15"/>
      <c r="AE533" s="15"/>
      <c r="AF533" s="15"/>
      <c r="AG533" s="15"/>
      <c r="AH533" s="15"/>
      <c r="AI533" s="15"/>
      <c r="AJ533" s="15"/>
      <c r="AK533" s="15"/>
      <c r="AL533" s="15"/>
    </row>
    <row r="534" spans="2:38" x14ac:dyDescent="0.75"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  <c r="AB534" s="15"/>
      <c r="AC534" s="15"/>
      <c r="AD534" s="15"/>
      <c r="AE534" s="15"/>
      <c r="AF534" s="15"/>
      <c r="AG534" s="15"/>
      <c r="AH534" s="15"/>
      <c r="AI534" s="15"/>
      <c r="AJ534" s="15"/>
      <c r="AK534" s="15"/>
      <c r="AL534" s="15"/>
    </row>
    <row r="535" spans="2:38" x14ac:dyDescent="0.75"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  <c r="AB535" s="15"/>
      <c r="AC535" s="15"/>
      <c r="AD535" s="15"/>
      <c r="AE535" s="15"/>
      <c r="AF535" s="15"/>
      <c r="AG535" s="15"/>
      <c r="AH535" s="15"/>
      <c r="AI535" s="15"/>
      <c r="AJ535" s="15"/>
      <c r="AK535" s="15"/>
      <c r="AL535" s="15"/>
    </row>
    <row r="536" spans="2:38" x14ac:dyDescent="0.75"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  <c r="AB536" s="15"/>
      <c r="AC536" s="15"/>
      <c r="AD536" s="15"/>
      <c r="AE536" s="15"/>
      <c r="AF536" s="15"/>
      <c r="AG536" s="15"/>
      <c r="AH536" s="15"/>
      <c r="AI536" s="15"/>
      <c r="AJ536" s="15"/>
      <c r="AK536" s="15"/>
      <c r="AL536" s="15"/>
    </row>
    <row r="537" spans="2:38" x14ac:dyDescent="0.75"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  <c r="AB537" s="15"/>
      <c r="AC537" s="15"/>
      <c r="AD537" s="15"/>
      <c r="AE537" s="15"/>
      <c r="AF537" s="15"/>
      <c r="AG537" s="15"/>
      <c r="AH537" s="15"/>
      <c r="AI537" s="15"/>
      <c r="AJ537" s="15"/>
      <c r="AK537" s="15"/>
      <c r="AL537" s="15"/>
    </row>
    <row r="538" spans="2:38" x14ac:dyDescent="0.75"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  <c r="AB538" s="15"/>
      <c r="AC538" s="15"/>
      <c r="AD538" s="15"/>
      <c r="AE538" s="15"/>
      <c r="AF538" s="15"/>
      <c r="AG538" s="15"/>
      <c r="AH538" s="15"/>
      <c r="AI538" s="15"/>
      <c r="AJ538" s="15"/>
      <c r="AK538" s="15"/>
      <c r="AL538" s="15"/>
    </row>
    <row r="539" spans="2:38" x14ac:dyDescent="0.75"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  <c r="AB539" s="15"/>
      <c r="AC539" s="15"/>
      <c r="AD539" s="15"/>
      <c r="AE539" s="15"/>
      <c r="AF539" s="15"/>
      <c r="AG539" s="15"/>
      <c r="AH539" s="15"/>
      <c r="AI539" s="15"/>
      <c r="AJ539" s="15"/>
      <c r="AK539" s="15"/>
      <c r="AL539" s="15"/>
    </row>
    <row r="540" spans="2:38" x14ac:dyDescent="0.75"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  <c r="AB540" s="15"/>
      <c r="AC540" s="15"/>
      <c r="AD540" s="15"/>
      <c r="AE540" s="15"/>
      <c r="AF540" s="15"/>
      <c r="AG540" s="15"/>
      <c r="AH540" s="15"/>
      <c r="AI540" s="15"/>
      <c r="AJ540" s="15"/>
      <c r="AK540" s="15"/>
      <c r="AL540" s="15"/>
    </row>
    <row r="541" spans="2:38" x14ac:dyDescent="0.75"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  <c r="AB541" s="15"/>
      <c r="AC541" s="15"/>
      <c r="AD541" s="15"/>
      <c r="AE541" s="15"/>
      <c r="AF541" s="15"/>
      <c r="AG541" s="15"/>
      <c r="AH541" s="15"/>
      <c r="AI541" s="15"/>
      <c r="AJ541" s="15"/>
      <c r="AK541" s="15"/>
      <c r="AL541" s="15"/>
    </row>
    <row r="542" spans="2:38" x14ac:dyDescent="0.75"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  <c r="AB542" s="15"/>
      <c r="AC542" s="15"/>
      <c r="AD542" s="15"/>
      <c r="AE542" s="15"/>
      <c r="AF542" s="15"/>
      <c r="AG542" s="15"/>
      <c r="AH542" s="15"/>
      <c r="AI542" s="15"/>
      <c r="AJ542" s="15"/>
      <c r="AK542" s="15"/>
      <c r="AL542" s="15"/>
    </row>
    <row r="543" spans="2:38" x14ac:dyDescent="0.75"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  <c r="AB543" s="15"/>
      <c r="AC543" s="15"/>
      <c r="AD543" s="15"/>
      <c r="AE543" s="15"/>
      <c r="AF543" s="15"/>
      <c r="AG543" s="15"/>
      <c r="AH543" s="15"/>
      <c r="AI543" s="15"/>
      <c r="AJ543" s="15"/>
      <c r="AK543" s="15"/>
      <c r="AL543" s="15"/>
    </row>
    <row r="544" spans="2:38" x14ac:dyDescent="0.75"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  <c r="AB544" s="15"/>
      <c r="AC544" s="15"/>
      <c r="AD544" s="15"/>
      <c r="AE544" s="15"/>
      <c r="AF544" s="15"/>
      <c r="AG544" s="15"/>
      <c r="AH544" s="15"/>
      <c r="AI544" s="15"/>
      <c r="AJ544" s="15"/>
      <c r="AK544" s="15"/>
      <c r="AL544" s="15"/>
    </row>
    <row r="545" spans="2:38" x14ac:dyDescent="0.75"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  <c r="AB545" s="15"/>
      <c r="AC545" s="15"/>
      <c r="AD545" s="15"/>
      <c r="AE545" s="15"/>
      <c r="AF545" s="15"/>
      <c r="AG545" s="15"/>
      <c r="AH545" s="15"/>
      <c r="AI545" s="15"/>
      <c r="AJ545" s="15"/>
      <c r="AK545" s="15"/>
      <c r="AL545" s="15"/>
    </row>
    <row r="546" spans="2:38" x14ac:dyDescent="0.75"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  <c r="AB546" s="15"/>
      <c r="AC546" s="15"/>
      <c r="AD546" s="15"/>
      <c r="AE546" s="15"/>
      <c r="AF546" s="15"/>
      <c r="AG546" s="15"/>
      <c r="AH546" s="15"/>
      <c r="AI546" s="15"/>
      <c r="AJ546" s="15"/>
      <c r="AK546" s="15"/>
      <c r="AL546" s="15"/>
    </row>
    <row r="547" spans="2:38" x14ac:dyDescent="0.75"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  <c r="AB547" s="15"/>
      <c r="AC547" s="15"/>
      <c r="AD547" s="15"/>
      <c r="AE547" s="15"/>
      <c r="AF547" s="15"/>
      <c r="AG547" s="15"/>
      <c r="AH547" s="15"/>
      <c r="AI547" s="15"/>
      <c r="AJ547" s="15"/>
      <c r="AK547" s="15"/>
      <c r="AL547" s="15"/>
    </row>
    <row r="548" spans="2:38" x14ac:dyDescent="0.75"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  <c r="AB548" s="15"/>
      <c r="AC548" s="15"/>
      <c r="AD548" s="15"/>
      <c r="AE548" s="15"/>
      <c r="AF548" s="15"/>
      <c r="AG548" s="15"/>
      <c r="AH548" s="15"/>
      <c r="AI548" s="15"/>
      <c r="AJ548" s="15"/>
      <c r="AK548" s="15"/>
      <c r="AL548" s="15"/>
    </row>
    <row r="549" spans="2:38" x14ac:dyDescent="0.75"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  <c r="AB549" s="15"/>
      <c r="AC549" s="15"/>
      <c r="AD549" s="15"/>
      <c r="AE549" s="15"/>
      <c r="AF549" s="15"/>
      <c r="AG549" s="15"/>
      <c r="AH549" s="15"/>
      <c r="AI549" s="15"/>
      <c r="AJ549" s="15"/>
      <c r="AK549" s="15"/>
      <c r="AL549" s="15"/>
    </row>
    <row r="550" spans="2:38" x14ac:dyDescent="0.75"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  <c r="AB550" s="15"/>
      <c r="AC550" s="15"/>
      <c r="AD550" s="15"/>
      <c r="AE550" s="15"/>
      <c r="AF550" s="15"/>
      <c r="AG550" s="15"/>
      <c r="AH550" s="15"/>
      <c r="AI550" s="15"/>
      <c r="AJ550" s="15"/>
      <c r="AK550" s="15"/>
      <c r="AL550" s="15"/>
    </row>
    <row r="551" spans="2:38" x14ac:dyDescent="0.75"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  <c r="AB551" s="15"/>
      <c r="AC551" s="15"/>
      <c r="AD551" s="15"/>
      <c r="AE551" s="15"/>
      <c r="AF551" s="15"/>
      <c r="AG551" s="15"/>
      <c r="AH551" s="15"/>
      <c r="AI551" s="15"/>
      <c r="AJ551" s="15"/>
      <c r="AK551" s="15"/>
      <c r="AL551" s="15"/>
    </row>
    <row r="552" spans="2:38" x14ac:dyDescent="0.75"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  <c r="AB552" s="15"/>
      <c r="AC552" s="15"/>
      <c r="AD552" s="15"/>
      <c r="AE552" s="15"/>
      <c r="AF552" s="15"/>
      <c r="AG552" s="15"/>
      <c r="AH552" s="15"/>
      <c r="AI552" s="15"/>
      <c r="AJ552" s="15"/>
      <c r="AK552" s="15"/>
      <c r="AL552" s="15"/>
    </row>
    <row r="553" spans="2:38" x14ac:dyDescent="0.75"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  <c r="AB553" s="15"/>
      <c r="AC553" s="15"/>
      <c r="AD553" s="15"/>
      <c r="AE553" s="15"/>
      <c r="AF553" s="15"/>
      <c r="AG553" s="15"/>
      <c r="AH553" s="15"/>
      <c r="AI553" s="15"/>
      <c r="AJ553" s="15"/>
      <c r="AK553" s="15"/>
      <c r="AL553" s="15"/>
    </row>
    <row r="554" spans="2:38" x14ac:dyDescent="0.75"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  <c r="AC554" s="15"/>
      <c r="AD554" s="15"/>
      <c r="AE554" s="15"/>
      <c r="AF554" s="15"/>
      <c r="AG554" s="15"/>
      <c r="AH554" s="15"/>
      <c r="AI554" s="15"/>
      <c r="AJ554" s="15"/>
      <c r="AK554" s="15"/>
      <c r="AL554" s="15"/>
    </row>
    <row r="555" spans="2:38" x14ac:dyDescent="0.75"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  <c r="AB555" s="15"/>
      <c r="AC555" s="15"/>
      <c r="AD555" s="15"/>
      <c r="AE555" s="15"/>
      <c r="AF555" s="15"/>
      <c r="AG555" s="15"/>
      <c r="AH555" s="15"/>
      <c r="AI555" s="15"/>
      <c r="AJ555" s="15"/>
      <c r="AK555" s="15"/>
      <c r="AL555" s="15"/>
    </row>
    <row r="556" spans="2:38" x14ac:dyDescent="0.75"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  <c r="AB556" s="15"/>
      <c r="AC556" s="15"/>
      <c r="AD556" s="15"/>
      <c r="AE556" s="15"/>
      <c r="AF556" s="15"/>
      <c r="AG556" s="15"/>
      <c r="AH556" s="15"/>
      <c r="AI556" s="15"/>
      <c r="AJ556" s="15"/>
      <c r="AK556" s="15"/>
      <c r="AL556" s="15"/>
    </row>
    <row r="557" spans="2:38" x14ac:dyDescent="0.75"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  <c r="AC557" s="15"/>
      <c r="AD557" s="15"/>
      <c r="AE557" s="15"/>
      <c r="AF557" s="15"/>
      <c r="AG557" s="15"/>
      <c r="AH557" s="15"/>
      <c r="AI557" s="15"/>
      <c r="AJ557" s="15"/>
      <c r="AK557" s="15"/>
      <c r="AL557" s="15"/>
    </row>
    <row r="558" spans="2:38" x14ac:dyDescent="0.75"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  <c r="AC558" s="15"/>
      <c r="AD558" s="15"/>
      <c r="AE558" s="15"/>
      <c r="AF558" s="15"/>
      <c r="AG558" s="15"/>
      <c r="AH558" s="15"/>
      <c r="AI558" s="15"/>
      <c r="AJ558" s="15"/>
      <c r="AK558" s="15"/>
      <c r="AL558" s="15"/>
    </row>
    <row r="559" spans="2:38" x14ac:dyDescent="0.75"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  <c r="AC559" s="15"/>
      <c r="AD559" s="15"/>
      <c r="AE559" s="15"/>
      <c r="AF559" s="15"/>
      <c r="AG559" s="15"/>
      <c r="AH559" s="15"/>
      <c r="AI559" s="15"/>
      <c r="AJ559" s="15"/>
      <c r="AK559" s="15"/>
      <c r="AL559" s="15"/>
    </row>
    <row r="560" spans="2:38" x14ac:dyDescent="0.75"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  <c r="AC560" s="15"/>
      <c r="AD560" s="15"/>
      <c r="AE560" s="15"/>
      <c r="AF560" s="15"/>
      <c r="AG560" s="15"/>
      <c r="AH560" s="15"/>
      <c r="AI560" s="15"/>
      <c r="AJ560" s="15"/>
      <c r="AK560" s="15"/>
      <c r="AL560" s="15"/>
    </row>
    <row r="561" spans="2:38" x14ac:dyDescent="0.75"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  <c r="AC561" s="15"/>
      <c r="AD561" s="15"/>
      <c r="AE561" s="15"/>
      <c r="AF561" s="15"/>
      <c r="AG561" s="15"/>
      <c r="AH561" s="15"/>
      <c r="AI561" s="15"/>
      <c r="AJ561" s="15"/>
      <c r="AK561" s="15"/>
      <c r="AL561" s="15"/>
    </row>
    <row r="562" spans="2:38" x14ac:dyDescent="0.75"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  <c r="AC562" s="15"/>
      <c r="AD562" s="15"/>
      <c r="AE562" s="15"/>
      <c r="AF562" s="15"/>
      <c r="AG562" s="15"/>
      <c r="AH562" s="15"/>
      <c r="AI562" s="15"/>
      <c r="AJ562" s="15"/>
      <c r="AK562" s="15"/>
      <c r="AL562" s="15"/>
    </row>
    <row r="563" spans="2:38" x14ac:dyDescent="0.75"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  <c r="AC563" s="15"/>
      <c r="AD563" s="15"/>
      <c r="AE563" s="15"/>
      <c r="AF563" s="15"/>
      <c r="AG563" s="15"/>
      <c r="AH563" s="15"/>
      <c r="AI563" s="15"/>
      <c r="AJ563" s="15"/>
      <c r="AK563" s="15"/>
      <c r="AL563" s="15"/>
    </row>
    <row r="564" spans="2:38" x14ac:dyDescent="0.75"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  <c r="AB564" s="15"/>
      <c r="AC564" s="15"/>
      <c r="AD564" s="15"/>
      <c r="AE564" s="15"/>
      <c r="AF564" s="15"/>
      <c r="AG564" s="15"/>
      <c r="AH564" s="15"/>
      <c r="AI564" s="15"/>
      <c r="AJ564" s="15"/>
      <c r="AK564" s="15"/>
      <c r="AL564" s="15"/>
    </row>
    <row r="565" spans="2:38" x14ac:dyDescent="0.75"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  <c r="AB565" s="15"/>
      <c r="AC565" s="15"/>
      <c r="AD565" s="15"/>
      <c r="AE565" s="15"/>
      <c r="AF565" s="15"/>
      <c r="AG565" s="15"/>
      <c r="AH565" s="15"/>
      <c r="AI565" s="15"/>
      <c r="AJ565" s="15"/>
      <c r="AK565" s="15"/>
      <c r="AL565" s="15"/>
    </row>
    <row r="566" spans="2:38" x14ac:dyDescent="0.75"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  <c r="AB566" s="15"/>
      <c r="AC566" s="15"/>
      <c r="AD566" s="15"/>
      <c r="AE566" s="15"/>
      <c r="AF566" s="15"/>
      <c r="AG566" s="15"/>
      <c r="AH566" s="15"/>
      <c r="AI566" s="15"/>
      <c r="AJ566" s="15"/>
      <c r="AK566" s="15"/>
      <c r="AL566" s="15"/>
    </row>
    <row r="567" spans="2:38" x14ac:dyDescent="0.75"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  <c r="AC567" s="15"/>
      <c r="AD567" s="15"/>
      <c r="AE567" s="15"/>
      <c r="AF567" s="15"/>
      <c r="AG567" s="15"/>
      <c r="AH567" s="15"/>
      <c r="AI567" s="15"/>
      <c r="AJ567" s="15"/>
      <c r="AK567" s="15"/>
      <c r="AL567" s="15"/>
    </row>
    <row r="568" spans="2:38" x14ac:dyDescent="0.75"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  <c r="AC568" s="15"/>
      <c r="AD568" s="15"/>
      <c r="AE568" s="15"/>
      <c r="AF568" s="15"/>
      <c r="AG568" s="15"/>
      <c r="AH568" s="15"/>
      <c r="AI568" s="15"/>
      <c r="AJ568" s="15"/>
      <c r="AK568" s="15"/>
      <c r="AL568" s="15"/>
    </row>
    <row r="569" spans="2:38" x14ac:dyDescent="0.75"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  <c r="AB569" s="15"/>
      <c r="AC569" s="15"/>
      <c r="AD569" s="15"/>
      <c r="AE569" s="15"/>
      <c r="AF569" s="15"/>
      <c r="AG569" s="15"/>
      <c r="AH569" s="15"/>
      <c r="AI569" s="15"/>
      <c r="AJ569" s="15"/>
      <c r="AK569" s="15"/>
      <c r="AL569" s="15"/>
    </row>
    <row r="570" spans="2:38" x14ac:dyDescent="0.75"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  <c r="AC570" s="15"/>
      <c r="AD570" s="15"/>
      <c r="AE570" s="15"/>
      <c r="AF570" s="15"/>
      <c r="AG570" s="15"/>
      <c r="AH570" s="15"/>
      <c r="AI570" s="15"/>
      <c r="AJ570" s="15"/>
      <c r="AK570" s="15"/>
      <c r="AL570" s="15"/>
    </row>
    <row r="571" spans="2:38" x14ac:dyDescent="0.75"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  <c r="AC571" s="15"/>
      <c r="AD571" s="15"/>
      <c r="AE571" s="15"/>
      <c r="AF571" s="15"/>
      <c r="AG571" s="15"/>
      <c r="AH571" s="15"/>
      <c r="AI571" s="15"/>
      <c r="AJ571" s="15"/>
      <c r="AK571" s="15"/>
      <c r="AL571" s="15"/>
    </row>
    <row r="572" spans="2:38" x14ac:dyDescent="0.75"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  <c r="AB572" s="15"/>
      <c r="AC572" s="15"/>
      <c r="AD572" s="15"/>
      <c r="AE572" s="15"/>
      <c r="AF572" s="15"/>
      <c r="AG572" s="15"/>
      <c r="AH572" s="15"/>
      <c r="AI572" s="15"/>
      <c r="AJ572" s="15"/>
      <c r="AK572" s="15"/>
      <c r="AL572" s="15"/>
    </row>
    <row r="573" spans="2:38" x14ac:dyDescent="0.75"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  <c r="AB573" s="15"/>
      <c r="AC573" s="15"/>
      <c r="AD573" s="15"/>
      <c r="AE573" s="15"/>
      <c r="AF573" s="15"/>
      <c r="AG573" s="15"/>
      <c r="AH573" s="15"/>
      <c r="AI573" s="15"/>
      <c r="AJ573" s="15"/>
      <c r="AK573" s="15"/>
      <c r="AL573" s="15"/>
    </row>
    <row r="574" spans="2:38" x14ac:dyDescent="0.75"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  <c r="AB574" s="15"/>
      <c r="AC574" s="15"/>
      <c r="AD574" s="15"/>
      <c r="AE574" s="15"/>
      <c r="AF574" s="15"/>
      <c r="AG574" s="15"/>
      <c r="AH574" s="15"/>
      <c r="AI574" s="15"/>
      <c r="AJ574" s="15"/>
      <c r="AK574" s="15"/>
      <c r="AL574" s="15"/>
    </row>
    <row r="575" spans="2:38" x14ac:dyDescent="0.75"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  <c r="AC575" s="15"/>
      <c r="AD575" s="15"/>
      <c r="AE575" s="15"/>
      <c r="AF575" s="15"/>
      <c r="AG575" s="15"/>
      <c r="AH575" s="15"/>
      <c r="AI575" s="15"/>
      <c r="AJ575" s="15"/>
      <c r="AK575" s="15"/>
      <c r="AL575" s="15"/>
    </row>
    <row r="576" spans="2:38" x14ac:dyDescent="0.75"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  <c r="AB576" s="15"/>
      <c r="AC576" s="15"/>
      <c r="AD576" s="15"/>
      <c r="AE576" s="15"/>
      <c r="AF576" s="15"/>
      <c r="AG576" s="15"/>
      <c r="AH576" s="15"/>
      <c r="AI576" s="15"/>
      <c r="AJ576" s="15"/>
      <c r="AK576" s="15"/>
      <c r="AL576" s="15"/>
    </row>
    <row r="577" spans="2:38" x14ac:dyDescent="0.75"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  <c r="AB577" s="15"/>
      <c r="AC577" s="15"/>
      <c r="AD577" s="15"/>
      <c r="AE577" s="15"/>
      <c r="AF577" s="15"/>
      <c r="AG577" s="15"/>
      <c r="AH577" s="15"/>
      <c r="AI577" s="15"/>
      <c r="AJ577" s="15"/>
      <c r="AK577" s="15"/>
      <c r="AL577" s="15"/>
    </row>
    <row r="578" spans="2:38" x14ac:dyDescent="0.75"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  <c r="AB578" s="15"/>
      <c r="AC578" s="15"/>
      <c r="AD578" s="15"/>
      <c r="AE578" s="15"/>
      <c r="AF578" s="15"/>
      <c r="AG578" s="15"/>
      <c r="AH578" s="15"/>
      <c r="AI578" s="15"/>
      <c r="AJ578" s="15"/>
      <c r="AK578" s="15"/>
      <c r="AL578" s="15"/>
    </row>
    <row r="579" spans="2:38" x14ac:dyDescent="0.75"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  <c r="AC579" s="15"/>
      <c r="AD579" s="15"/>
      <c r="AE579" s="15"/>
      <c r="AF579" s="15"/>
      <c r="AG579" s="15"/>
      <c r="AH579" s="15"/>
      <c r="AI579" s="15"/>
      <c r="AJ579" s="15"/>
      <c r="AK579" s="15"/>
      <c r="AL579" s="15"/>
    </row>
    <row r="580" spans="2:38" x14ac:dyDescent="0.75"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  <c r="AB580" s="15"/>
      <c r="AC580" s="15"/>
      <c r="AD580" s="15"/>
      <c r="AE580" s="15"/>
      <c r="AF580" s="15"/>
      <c r="AG580" s="15"/>
      <c r="AH580" s="15"/>
      <c r="AI580" s="15"/>
      <c r="AJ580" s="15"/>
      <c r="AK580" s="15"/>
      <c r="AL580" s="15"/>
    </row>
    <row r="581" spans="2:38" x14ac:dyDescent="0.75"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  <c r="AB581" s="15"/>
      <c r="AC581" s="15"/>
      <c r="AD581" s="15"/>
      <c r="AE581" s="15"/>
      <c r="AF581" s="15"/>
      <c r="AG581" s="15"/>
      <c r="AH581" s="15"/>
      <c r="AI581" s="15"/>
      <c r="AJ581" s="15"/>
      <c r="AK581" s="15"/>
      <c r="AL581" s="15"/>
    </row>
    <row r="582" spans="2:38" x14ac:dyDescent="0.75"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  <c r="AB582" s="15"/>
      <c r="AC582" s="15"/>
      <c r="AD582" s="15"/>
      <c r="AE582" s="15"/>
      <c r="AF582" s="15"/>
      <c r="AG582" s="15"/>
      <c r="AH582" s="15"/>
      <c r="AI582" s="15"/>
      <c r="AJ582" s="15"/>
      <c r="AK582" s="15"/>
      <c r="AL582" s="15"/>
    </row>
    <row r="583" spans="2:38" x14ac:dyDescent="0.75"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  <c r="AC583" s="15"/>
      <c r="AD583" s="15"/>
      <c r="AE583" s="15"/>
      <c r="AF583" s="15"/>
      <c r="AG583" s="15"/>
      <c r="AH583" s="15"/>
      <c r="AI583" s="15"/>
      <c r="AJ583" s="15"/>
      <c r="AK583" s="15"/>
      <c r="AL583" s="15"/>
    </row>
    <row r="584" spans="2:38" x14ac:dyDescent="0.75"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  <c r="AB584" s="15"/>
      <c r="AC584" s="15"/>
      <c r="AD584" s="15"/>
      <c r="AE584" s="15"/>
      <c r="AF584" s="15"/>
      <c r="AG584" s="15"/>
      <c r="AH584" s="15"/>
      <c r="AI584" s="15"/>
      <c r="AJ584" s="15"/>
      <c r="AK584" s="15"/>
      <c r="AL584" s="15"/>
    </row>
    <row r="585" spans="2:38" x14ac:dyDescent="0.75"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  <c r="AC585" s="15"/>
      <c r="AD585" s="15"/>
      <c r="AE585" s="15"/>
      <c r="AF585" s="15"/>
      <c r="AG585" s="15"/>
      <c r="AH585" s="15"/>
      <c r="AI585" s="15"/>
      <c r="AJ585" s="15"/>
      <c r="AK585" s="15"/>
      <c r="AL585" s="15"/>
    </row>
    <row r="586" spans="2:38" x14ac:dyDescent="0.75"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  <c r="AB586" s="15"/>
      <c r="AC586" s="15"/>
      <c r="AD586" s="15"/>
      <c r="AE586" s="15"/>
      <c r="AF586" s="15"/>
      <c r="AG586" s="15"/>
      <c r="AH586" s="15"/>
      <c r="AI586" s="15"/>
      <c r="AJ586" s="15"/>
      <c r="AK586" s="15"/>
      <c r="AL586" s="15"/>
    </row>
    <row r="587" spans="2:38" x14ac:dyDescent="0.75"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  <c r="AC587" s="15"/>
      <c r="AD587" s="15"/>
      <c r="AE587" s="15"/>
      <c r="AF587" s="15"/>
      <c r="AG587" s="15"/>
      <c r="AH587" s="15"/>
      <c r="AI587" s="15"/>
      <c r="AJ587" s="15"/>
      <c r="AK587" s="15"/>
      <c r="AL587" s="15"/>
    </row>
    <row r="588" spans="2:38" x14ac:dyDescent="0.75"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  <c r="AB588" s="15"/>
      <c r="AC588" s="15"/>
      <c r="AD588" s="15"/>
      <c r="AE588" s="15"/>
      <c r="AF588" s="15"/>
      <c r="AG588" s="15"/>
      <c r="AH588" s="15"/>
      <c r="AI588" s="15"/>
      <c r="AJ588" s="15"/>
      <c r="AK588" s="15"/>
      <c r="AL588" s="15"/>
    </row>
    <row r="589" spans="2:38" x14ac:dyDescent="0.75"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  <c r="AB589" s="15"/>
      <c r="AC589" s="15"/>
      <c r="AD589" s="15"/>
      <c r="AE589" s="15"/>
      <c r="AF589" s="15"/>
      <c r="AG589" s="15"/>
      <c r="AH589" s="15"/>
      <c r="AI589" s="15"/>
      <c r="AJ589" s="15"/>
      <c r="AK589" s="15"/>
      <c r="AL589" s="15"/>
    </row>
    <row r="590" spans="2:38" x14ac:dyDescent="0.75"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  <c r="AB590" s="15"/>
      <c r="AC590" s="15"/>
      <c r="AD590" s="15"/>
      <c r="AE590" s="15"/>
      <c r="AF590" s="15"/>
      <c r="AG590" s="15"/>
      <c r="AH590" s="15"/>
      <c r="AI590" s="15"/>
      <c r="AJ590" s="15"/>
      <c r="AK590" s="15"/>
      <c r="AL590" s="15"/>
    </row>
    <row r="591" spans="2:38" x14ac:dyDescent="0.75"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  <c r="AC591" s="15"/>
      <c r="AD591" s="15"/>
      <c r="AE591" s="15"/>
      <c r="AF591" s="15"/>
      <c r="AG591" s="15"/>
      <c r="AH591" s="15"/>
      <c r="AI591" s="15"/>
      <c r="AJ591" s="15"/>
      <c r="AK591" s="15"/>
      <c r="AL591" s="15"/>
    </row>
    <row r="592" spans="2:38" x14ac:dyDescent="0.75"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  <c r="AB592" s="15"/>
      <c r="AC592" s="15"/>
      <c r="AD592" s="15"/>
      <c r="AE592" s="15"/>
      <c r="AF592" s="15"/>
      <c r="AG592" s="15"/>
      <c r="AH592" s="15"/>
      <c r="AI592" s="15"/>
      <c r="AJ592" s="15"/>
      <c r="AK592" s="15"/>
      <c r="AL592" s="15"/>
    </row>
    <row r="593" spans="2:38" x14ac:dyDescent="0.75"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  <c r="AB593" s="15"/>
      <c r="AC593" s="15"/>
      <c r="AD593" s="15"/>
      <c r="AE593" s="15"/>
      <c r="AF593" s="15"/>
      <c r="AG593" s="15"/>
      <c r="AH593" s="15"/>
      <c r="AI593" s="15"/>
      <c r="AJ593" s="15"/>
      <c r="AK593" s="15"/>
      <c r="AL593" s="15"/>
    </row>
    <row r="594" spans="2:38" x14ac:dyDescent="0.75"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  <c r="AB594" s="15"/>
      <c r="AC594" s="15"/>
      <c r="AD594" s="15"/>
      <c r="AE594" s="15"/>
      <c r="AF594" s="15"/>
      <c r="AG594" s="15"/>
      <c r="AH594" s="15"/>
      <c r="AI594" s="15"/>
      <c r="AJ594" s="15"/>
      <c r="AK594" s="15"/>
      <c r="AL594" s="15"/>
    </row>
    <row r="595" spans="2:38" x14ac:dyDescent="0.75"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  <c r="AB595" s="15"/>
      <c r="AC595" s="15"/>
      <c r="AD595" s="15"/>
      <c r="AE595" s="15"/>
      <c r="AF595" s="15"/>
      <c r="AG595" s="15"/>
      <c r="AH595" s="15"/>
      <c r="AI595" s="15"/>
      <c r="AJ595" s="15"/>
      <c r="AK595" s="15"/>
      <c r="AL595" s="15"/>
    </row>
    <row r="596" spans="2:38" x14ac:dyDescent="0.75"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  <c r="AB596" s="15"/>
      <c r="AC596" s="15"/>
      <c r="AD596" s="15"/>
      <c r="AE596" s="15"/>
      <c r="AF596" s="15"/>
      <c r="AG596" s="15"/>
      <c r="AH596" s="15"/>
      <c r="AI596" s="15"/>
      <c r="AJ596" s="15"/>
      <c r="AK596" s="15"/>
      <c r="AL596" s="15"/>
    </row>
    <row r="597" spans="2:38" x14ac:dyDescent="0.75"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  <c r="AB597" s="15"/>
      <c r="AC597" s="15"/>
      <c r="AD597" s="15"/>
      <c r="AE597" s="15"/>
      <c r="AF597" s="15"/>
      <c r="AG597" s="15"/>
      <c r="AH597" s="15"/>
      <c r="AI597" s="15"/>
      <c r="AJ597" s="15"/>
      <c r="AK597" s="15"/>
      <c r="AL597" s="15"/>
    </row>
    <row r="598" spans="2:38" x14ac:dyDescent="0.75"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  <c r="AB598" s="15"/>
      <c r="AC598" s="15"/>
      <c r="AD598" s="15"/>
      <c r="AE598" s="15"/>
      <c r="AF598" s="15"/>
      <c r="AG598" s="15"/>
      <c r="AH598" s="15"/>
      <c r="AI598" s="15"/>
      <c r="AJ598" s="15"/>
      <c r="AK598" s="15"/>
      <c r="AL598" s="15"/>
    </row>
    <row r="599" spans="2:38" x14ac:dyDescent="0.75"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  <c r="AB599" s="15"/>
      <c r="AC599" s="15"/>
      <c r="AD599" s="15"/>
      <c r="AE599" s="15"/>
      <c r="AF599" s="15"/>
      <c r="AG599" s="15"/>
      <c r="AH599" s="15"/>
      <c r="AI599" s="15"/>
      <c r="AJ599" s="15"/>
      <c r="AK599" s="15"/>
      <c r="AL599" s="15"/>
    </row>
    <row r="600" spans="2:38" x14ac:dyDescent="0.75"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  <c r="AB600" s="15"/>
      <c r="AC600" s="15"/>
      <c r="AD600" s="15"/>
      <c r="AE600" s="15"/>
      <c r="AF600" s="15"/>
      <c r="AG600" s="15"/>
      <c r="AH600" s="15"/>
      <c r="AI600" s="15"/>
      <c r="AJ600" s="15"/>
      <c r="AK600" s="15"/>
      <c r="AL600" s="15"/>
    </row>
    <row r="601" spans="2:38" x14ac:dyDescent="0.75"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  <c r="AB601" s="15"/>
      <c r="AC601" s="15"/>
      <c r="AD601" s="15"/>
      <c r="AE601" s="15"/>
      <c r="AF601" s="15"/>
      <c r="AG601" s="15"/>
      <c r="AH601" s="15"/>
      <c r="AI601" s="15"/>
      <c r="AJ601" s="15"/>
      <c r="AK601" s="15"/>
      <c r="AL601" s="15"/>
    </row>
    <row r="602" spans="2:38" x14ac:dyDescent="0.75"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  <c r="AB602" s="15"/>
      <c r="AC602" s="15"/>
      <c r="AD602" s="15"/>
      <c r="AE602" s="15"/>
      <c r="AF602" s="15"/>
      <c r="AG602" s="15"/>
      <c r="AH602" s="15"/>
      <c r="AI602" s="15"/>
      <c r="AJ602" s="15"/>
      <c r="AK602" s="15"/>
      <c r="AL602" s="15"/>
    </row>
    <row r="603" spans="2:38" x14ac:dyDescent="0.75"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  <c r="AB603" s="15"/>
      <c r="AC603" s="15"/>
      <c r="AD603" s="15"/>
      <c r="AE603" s="15"/>
      <c r="AF603" s="15"/>
      <c r="AG603" s="15"/>
      <c r="AH603" s="15"/>
      <c r="AI603" s="15"/>
      <c r="AJ603" s="15"/>
      <c r="AK603" s="15"/>
      <c r="AL603" s="15"/>
    </row>
    <row r="604" spans="2:38" x14ac:dyDescent="0.75"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  <c r="AB604" s="15"/>
      <c r="AC604" s="15"/>
      <c r="AD604" s="15"/>
      <c r="AE604" s="15"/>
      <c r="AF604" s="15"/>
      <c r="AG604" s="15"/>
      <c r="AH604" s="15"/>
      <c r="AI604" s="15"/>
      <c r="AJ604" s="15"/>
      <c r="AK604" s="15"/>
      <c r="AL604" s="15"/>
    </row>
    <row r="605" spans="2:38" x14ac:dyDescent="0.75"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  <c r="AB605" s="15"/>
      <c r="AC605" s="15"/>
      <c r="AD605" s="15"/>
      <c r="AE605" s="15"/>
      <c r="AF605" s="15"/>
      <c r="AG605" s="15"/>
      <c r="AH605" s="15"/>
      <c r="AI605" s="15"/>
      <c r="AJ605" s="15"/>
      <c r="AK605" s="15"/>
      <c r="AL605" s="15"/>
    </row>
    <row r="606" spans="2:38" x14ac:dyDescent="0.75"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  <c r="AB606" s="15"/>
      <c r="AC606" s="15"/>
      <c r="AD606" s="15"/>
      <c r="AE606" s="15"/>
      <c r="AF606" s="15"/>
      <c r="AG606" s="15"/>
      <c r="AH606" s="15"/>
      <c r="AI606" s="15"/>
      <c r="AJ606" s="15"/>
      <c r="AK606" s="15"/>
      <c r="AL606" s="15"/>
    </row>
    <row r="607" spans="2:38" x14ac:dyDescent="0.75"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  <c r="AB607" s="15"/>
      <c r="AC607" s="15"/>
      <c r="AD607" s="15"/>
      <c r="AE607" s="15"/>
      <c r="AF607" s="15"/>
      <c r="AG607" s="15"/>
      <c r="AH607" s="15"/>
      <c r="AI607" s="15"/>
      <c r="AJ607" s="15"/>
      <c r="AK607" s="15"/>
      <c r="AL607" s="15"/>
    </row>
    <row r="608" spans="2:38" x14ac:dyDescent="0.75"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  <c r="AB608" s="15"/>
      <c r="AC608" s="15"/>
      <c r="AD608" s="15"/>
      <c r="AE608" s="15"/>
      <c r="AF608" s="15"/>
      <c r="AG608" s="15"/>
      <c r="AH608" s="15"/>
      <c r="AI608" s="15"/>
      <c r="AJ608" s="15"/>
      <c r="AK608" s="15"/>
      <c r="AL608" s="15"/>
    </row>
    <row r="609" spans="2:38" x14ac:dyDescent="0.75"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  <c r="AB609" s="15"/>
      <c r="AC609" s="15"/>
      <c r="AD609" s="15"/>
      <c r="AE609" s="15"/>
      <c r="AF609" s="15"/>
      <c r="AG609" s="15"/>
      <c r="AH609" s="15"/>
      <c r="AI609" s="15"/>
      <c r="AJ609" s="15"/>
      <c r="AK609" s="15"/>
      <c r="AL609" s="15"/>
    </row>
    <row r="610" spans="2:38" x14ac:dyDescent="0.75"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  <c r="AB610" s="15"/>
      <c r="AC610" s="15"/>
      <c r="AD610" s="15"/>
      <c r="AE610" s="15"/>
      <c r="AF610" s="15"/>
      <c r="AG610" s="15"/>
      <c r="AH610" s="15"/>
      <c r="AI610" s="15"/>
      <c r="AJ610" s="15"/>
      <c r="AK610" s="15"/>
      <c r="AL610" s="15"/>
    </row>
    <row r="611" spans="2:38" x14ac:dyDescent="0.75"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  <c r="AB611" s="15"/>
      <c r="AC611" s="15"/>
      <c r="AD611" s="15"/>
      <c r="AE611" s="15"/>
      <c r="AF611" s="15"/>
      <c r="AG611" s="15"/>
      <c r="AH611" s="15"/>
      <c r="AI611" s="15"/>
      <c r="AJ611" s="15"/>
      <c r="AK611" s="15"/>
      <c r="AL611" s="15"/>
    </row>
    <row r="612" spans="2:38" x14ac:dyDescent="0.75"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  <c r="AB612" s="15"/>
      <c r="AC612" s="15"/>
      <c r="AD612" s="15"/>
      <c r="AE612" s="15"/>
      <c r="AF612" s="15"/>
      <c r="AG612" s="15"/>
      <c r="AH612" s="15"/>
      <c r="AI612" s="15"/>
      <c r="AJ612" s="15"/>
      <c r="AK612" s="15"/>
      <c r="AL612" s="15"/>
    </row>
    <row r="613" spans="2:38" x14ac:dyDescent="0.75"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  <c r="AB613" s="15"/>
      <c r="AC613" s="15"/>
      <c r="AD613" s="15"/>
      <c r="AE613" s="15"/>
      <c r="AF613" s="15"/>
      <c r="AG613" s="15"/>
      <c r="AH613" s="15"/>
      <c r="AI613" s="15"/>
      <c r="AJ613" s="15"/>
      <c r="AK613" s="15"/>
      <c r="AL613" s="15"/>
    </row>
    <row r="614" spans="2:38" x14ac:dyDescent="0.75"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  <c r="AB614" s="15"/>
      <c r="AC614" s="15"/>
      <c r="AD614" s="15"/>
      <c r="AE614" s="15"/>
      <c r="AF614" s="15"/>
      <c r="AG614" s="15"/>
      <c r="AH614" s="15"/>
      <c r="AI614" s="15"/>
      <c r="AJ614" s="15"/>
      <c r="AK614" s="15"/>
      <c r="AL614" s="15"/>
    </row>
    <row r="615" spans="2:38" x14ac:dyDescent="0.75"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  <c r="AB615" s="15"/>
      <c r="AC615" s="15"/>
      <c r="AD615" s="15"/>
      <c r="AE615" s="15"/>
      <c r="AF615" s="15"/>
      <c r="AG615" s="15"/>
      <c r="AH615" s="15"/>
      <c r="AI615" s="15"/>
      <c r="AJ615" s="15"/>
      <c r="AK615" s="15"/>
      <c r="AL615" s="15"/>
    </row>
    <row r="616" spans="2:38" x14ac:dyDescent="0.75"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  <c r="AB616" s="15"/>
      <c r="AC616" s="15"/>
      <c r="AD616" s="15"/>
      <c r="AE616" s="15"/>
      <c r="AF616" s="15"/>
      <c r="AG616" s="15"/>
      <c r="AH616" s="15"/>
      <c r="AI616" s="15"/>
      <c r="AJ616" s="15"/>
      <c r="AK616" s="15"/>
      <c r="AL616" s="15"/>
    </row>
    <row r="617" spans="2:38" x14ac:dyDescent="0.75"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  <c r="AB617" s="15"/>
      <c r="AC617" s="15"/>
      <c r="AD617" s="15"/>
      <c r="AE617" s="15"/>
      <c r="AF617" s="15"/>
      <c r="AG617" s="15"/>
      <c r="AH617" s="15"/>
      <c r="AI617" s="15"/>
      <c r="AJ617" s="15"/>
      <c r="AK617" s="15"/>
      <c r="AL617" s="15"/>
    </row>
    <row r="618" spans="2:38" x14ac:dyDescent="0.75"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  <c r="AB618" s="15"/>
      <c r="AC618" s="15"/>
      <c r="AD618" s="15"/>
      <c r="AE618" s="15"/>
      <c r="AF618" s="15"/>
      <c r="AG618" s="15"/>
      <c r="AH618" s="15"/>
      <c r="AI618" s="15"/>
      <c r="AJ618" s="15"/>
      <c r="AK618" s="15"/>
      <c r="AL618" s="15"/>
    </row>
    <row r="619" spans="2:38" x14ac:dyDescent="0.75"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  <c r="AB619" s="15"/>
      <c r="AC619" s="15"/>
      <c r="AD619" s="15"/>
      <c r="AE619" s="15"/>
      <c r="AF619" s="15"/>
      <c r="AG619" s="15"/>
      <c r="AH619" s="15"/>
      <c r="AI619" s="15"/>
      <c r="AJ619" s="15"/>
      <c r="AK619" s="15"/>
      <c r="AL619" s="15"/>
    </row>
    <row r="620" spans="2:38" x14ac:dyDescent="0.75"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  <c r="AB620" s="15"/>
      <c r="AC620" s="15"/>
      <c r="AD620" s="15"/>
      <c r="AE620" s="15"/>
      <c r="AF620" s="15"/>
      <c r="AG620" s="15"/>
      <c r="AH620" s="15"/>
      <c r="AI620" s="15"/>
      <c r="AJ620" s="15"/>
      <c r="AK620" s="15"/>
      <c r="AL620" s="15"/>
    </row>
    <row r="621" spans="2:38" x14ac:dyDescent="0.75"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  <c r="AB621" s="15"/>
      <c r="AC621" s="15"/>
      <c r="AD621" s="15"/>
      <c r="AE621" s="15"/>
      <c r="AF621" s="15"/>
      <c r="AG621" s="15"/>
      <c r="AH621" s="15"/>
      <c r="AI621" s="15"/>
      <c r="AJ621" s="15"/>
      <c r="AK621" s="15"/>
      <c r="AL621" s="15"/>
    </row>
    <row r="622" spans="2:38" x14ac:dyDescent="0.75"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  <c r="AB622" s="15"/>
      <c r="AC622" s="15"/>
      <c r="AD622" s="15"/>
      <c r="AE622" s="15"/>
      <c r="AF622" s="15"/>
      <c r="AG622" s="15"/>
      <c r="AH622" s="15"/>
      <c r="AI622" s="15"/>
      <c r="AJ622" s="15"/>
      <c r="AK622" s="15"/>
      <c r="AL622" s="15"/>
    </row>
    <row r="623" spans="2:38" x14ac:dyDescent="0.75"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  <c r="AB623" s="15"/>
      <c r="AC623" s="15"/>
      <c r="AD623" s="15"/>
      <c r="AE623" s="15"/>
      <c r="AF623" s="15"/>
      <c r="AG623" s="15"/>
      <c r="AH623" s="15"/>
      <c r="AI623" s="15"/>
      <c r="AJ623" s="15"/>
      <c r="AK623" s="15"/>
      <c r="AL623" s="15"/>
    </row>
    <row r="624" spans="2:38" x14ac:dyDescent="0.75"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  <c r="AB624" s="15"/>
      <c r="AC624" s="15"/>
      <c r="AD624" s="15"/>
      <c r="AE624" s="15"/>
      <c r="AF624" s="15"/>
      <c r="AG624" s="15"/>
      <c r="AH624" s="15"/>
      <c r="AI624" s="15"/>
      <c r="AJ624" s="15"/>
      <c r="AK624" s="15"/>
      <c r="AL624" s="15"/>
    </row>
    <row r="625" spans="2:38" x14ac:dyDescent="0.75"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  <c r="AB625" s="15"/>
      <c r="AC625" s="15"/>
      <c r="AD625" s="15"/>
      <c r="AE625" s="15"/>
      <c r="AF625" s="15"/>
      <c r="AG625" s="15"/>
      <c r="AH625" s="15"/>
      <c r="AI625" s="15"/>
      <c r="AJ625" s="15"/>
      <c r="AK625" s="15"/>
      <c r="AL625" s="15"/>
    </row>
    <row r="626" spans="2:38" x14ac:dyDescent="0.75"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  <c r="AB626" s="15"/>
      <c r="AC626" s="15"/>
      <c r="AD626" s="15"/>
      <c r="AE626" s="15"/>
      <c r="AF626" s="15"/>
      <c r="AG626" s="15"/>
      <c r="AH626" s="15"/>
      <c r="AI626" s="15"/>
      <c r="AJ626" s="15"/>
      <c r="AK626" s="15"/>
      <c r="AL626" s="15"/>
    </row>
    <row r="627" spans="2:38" x14ac:dyDescent="0.75"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  <c r="AB627" s="15"/>
      <c r="AC627" s="15"/>
      <c r="AD627" s="15"/>
      <c r="AE627" s="15"/>
      <c r="AF627" s="15"/>
      <c r="AG627" s="15"/>
      <c r="AH627" s="15"/>
      <c r="AI627" s="15"/>
      <c r="AJ627" s="15"/>
      <c r="AK627" s="15"/>
      <c r="AL627" s="15"/>
    </row>
    <row r="628" spans="2:38" x14ac:dyDescent="0.75"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  <c r="AB628" s="15"/>
      <c r="AC628" s="15"/>
      <c r="AD628" s="15"/>
      <c r="AE628" s="15"/>
      <c r="AF628" s="15"/>
      <c r="AG628" s="15"/>
      <c r="AH628" s="15"/>
      <c r="AI628" s="15"/>
      <c r="AJ628" s="15"/>
      <c r="AK628" s="15"/>
      <c r="AL628" s="15"/>
    </row>
    <row r="629" spans="2:38" x14ac:dyDescent="0.75"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  <c r="AB629" s="15"/>
      <c r="AC629" s="15"/>
      <c r="AD629" s="15"/>
      <c r="AE629" s="15"/>
      <c r="AF629" s="15"/>
      <c r="AG629" s="15"/>
      <c r="AH629" s="15"/>
      <c r="AI629" s="15"/>
      <c r="AJ629" s="15"/>
      <c r="AK629" s="15"/>
      <c r="AL629" s="15"/>
    </row>
    <row r="630" spans="2:38" x14ac:dyDescent="0.75"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  <c r="AB630" s="15"/>
      <c r="AC630" s="15"/>
      <c r="AD630" s="15"/>
      <c r="AE630" s="15"/>
      <c r="AF630" s="15"/>
      <c r="AG630" s="15"/>
      <c r="AH630" s="15"/>
      <c r="AI630" s="15"/>
      <c r="AJ630" s="15"/>
      <c r="AK630" s="15"/>
      <c r="AL630" s="15"/>
    </row>
    <row r="631" spans="2:38" x14ac:dyDescent="0.75"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  <c r="AB631" s="15"/>
      <c r="AC631" s="15"/>
      <c r="AD631" s="15"/>
      <c r="AE631" s="15"/>
      <c r="AF631" s="15"/>
      <c r="AG631" s="15"/>
      <c r="AH631" s="15"/>
      <c r="AI631" s="15"/>
      <c r="AJ631" s="15"/>
      <c r="AK631" s="15"/>
      <c r="AL631" s="15"/>
    </row>
    <row r="632" spans="2:38" x14ac:dyDescent="0.75"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  <c r="AB632" s="15"/>
      <c r="AC632" s="15"/>
      <c r="AD632" s="15"/>
      <c r="AE632" s="15"/>
      <c r="AF632" s="15"/>
      <c r="AG632" s="15"/>
      <c r="AH632" s="15"/>
      <c r="AI632" s="15"/>
      <c r="AJ632" s="15"/>
      <c r="AK632" s="15"/>
      <c r="AL632" s="15"/>
    </row>
    <row r="633" spans="2:38" x14ac:dyDescent="0.75"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  <c r="AB633" s="15"/>
      <c r="AC633" s="15"/>
      <c r="AD633" s="15"/>
      <c r="AE633" s="15"/>
      <c r="AF633" s="15"/>
      <c r="AG633" s="15"/>
      <c r="AH633" s="15"/>
      <c r="AI633" s="15"/>
      <c r="AJ633" s="15"/>
      <c r="AK633" s="15"/>
      <c r="AL633" s="15"/>
    </row>
    <row r="634" spans="2:38" x14ac:dyDescent="0.75"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  <c r="AB634" s="15"/>
      <c r="AC634" s="15"/>
      <c r="AD634" s="15"/>
      <c r="AE634" s="15"/>
      <c r="AF634" s="15"/>
      <c r="AG634" s="15"/>
      <c r="AH634" s="15"/>
      <c r="AI634" s="15"/>
      <c r="AJ634" s="15"/>
      <c r="AK634" s="15"/>
      <c r="AL634" s="15"/>
    </row>
    <row r="635" spans="2:38" x14ac:dyDescent="0.75"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  <c r="AB635" s="15"/>
      <c r="AC635" s="15"/>
      <c r="AD635" s="15"/>
      <c r="AE635" s="15"/>
      <c r="AF635" s="15"/>
      <c r="AG635" s="15"/>
      <c r="AH635" s="15"/>
      <c r="AI635" s="15"/>
      <c r="AJ635" s="15"/>
      <c r="AK635" s="15"/>
      <c r="AL635" s="15"/>
    </row>
    <row r="636" spans="2:38" x14ac:dyDescent="0.75"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  <c r="AB636" s="15"/>
      <c r="AC636" s="15"/>
      <c r="AD636" s="15"/>
      <c r="AE636" s="15"/>
      <c r="AF636" s="15"/>
      <c r="AG636" s="15"/>
      <c r="AH636" s="15"/>
      <c r="AI636" s="15"/>
      <c r="AJ636" s="15"/>
      <c r="AK636" s="15"/>
      <c r="AL636" s="15"/>
    </row>
    <row r="637" spans="2:38" x14ac:dyDescent="0.75"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  <c r="AB637" s="15"/>
      <c r="AC637" s="15"/>
      <c r="AD637" s="15"/>
      <c r="AE637" s="15"/>
      <c r="AF637" s="15"/>
      <c r="AG637" s="15"/>
      <c r="AH637" s="15"/>
      <c r="AI637" s="15"/>
      <c r="AJ637" s="15"/>
      <c r="AK637" s="15"/>
      <c r="AL637" s="15"/>
    </row>
    <row r="638" spans="2:38" x14ac:dyDescent="0.75"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  <c r="AB638" s="15"/>
      <c r="AC638" s="15"/>
      <c r="AD638" s="15"/>
      <c r="AE638" s="15"/>
      <c r="AF638" s="15"/>
      <c r="AG638" s="15"/>
      <c r="AH638" s="15"/>
      <c r="AI638" s="15"/>
      <c r="AJ638" s="15"/>
      <c r="AK638" s="15"/>
      <c r="AL638" s="15"/>
    </row>
    <row r="639" spans="2:38" x14ac:dyDescent="0.75"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  <c r="AB639" s="15"/>
      <c r="AC639" s="15"/>
      <c r="AD639" s="15"/>
      <c r="AE639" s="15"/>
      <c r="AF639" s="15"/>
      <c r="AG639" s="15"/>
      <c r="AH639" s="15"/>
      <c r="AI639" s="15"/>
      <c r="AJ639" s="15"/>
      <c r="AK639" s="15"/>
      <c r="AL639" s="15"/>
    </row>
    <row r="640" spans="2:38" x14ac:dyDescent="0.75"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  <c r="AB640" s="15"/>
      <c r="AC640" s="15"/>
      <c r="AD640" s="15"/>
      <c r="AE640" s="15"/>
      <c r="AF640" s="15"/>
      <c r="AG640" s="15"/>
      <c r="AH640" s="15"/>
      <c r="AI640" s="15"/>
      <c r="AJ640" s="15"/>
      <c r="AK640" s="15"/>
      <c r="AL640" s="15"/>
    </row>
    <row r="641" spans="2:38" x14ac:dyDescent="0.75"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  <c r="AB641" s="15"/>
      <c r="AC641" s="15"/>
      <c r="AD641" s="15"/>
      <c r="AE641" s="15"/>
      <c r="AF641" s="15"/>
      <c r="AG641" s="15"/>
      <c r="AH641" s="15"/>
      <c r="AI641" s="15"/>
      <c r="AJ641" s="15"/>
      <c r="AK641" s="15"/>
      <c r="AL641" s="15"/>
    </row>
    <row r="642" spans="2:38" x14ac:dyDescent="0.75"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  <c r="AB642" s="15"/>
      <c r="AC642" s="15"/>
      <c r="AD642" s="15"/>
      <c r="AE642" s="15"/>
      <c r="AF642" s="15"/>
      <c r="AG642" s="15"/>
      <c r="AH642" s="15"/>
      <c r="AI642" s="15"/>
      <c r="AJ642" s="15"/>
      <c r="AK642" s="15"/>
      <c r="AL642" s="15"/>
    </row>
    <row r="643" spans="2:38" x14ac:dyDescent="0.75"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  <c r="AB643" s="15"/>
      <c r="AC643" s="15"/>
      <c r="AD643" s="15"/>
      <c r="AE643" s="15"/>
      <c r="AF643" s="15"/>
      <c r="AG643" s="15"/>
      <c r="AH643" s="15"/>
      <c r="AI643" s="15"/>
      <c r="AJ643" s="15"/>
      <c r="AK643" s="15"/>
      <c r="AL643" s="15"/>
    </row>
    <row r="644" spans="2:38" x14ac:dyDescent="0.75"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  <c r="AB644" s="15"/>
      <c r="AC644" s="15"/>
      <c r="AD644" s="15"/>
      <c r="AE644" s="15"/>
      <c r="AF644" s="15"/>
      <c r="AG644" s="15"/>
      <c r="AH644" s="15"/>
      <c r="AI644" s="15"/>
      <c r="AJ644" s="15"/>
      <c r="AK644" s="15"/>
      <c r="AL644" s="15"/>
    </row>
    <row r="645" spans="2:38" x14ac:dyDescent="0.75"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  <c r="AB645" s="15"/>
      <c r="AC645" s="15"/>
      <c r="AD645" s="15"/>
      <c r="AE645" s="15"/>
      <c r="AF645" s="15"/>
      <c r="AG645" s="15"/>
      <c r="AH645" s="15"/>
      <c r="AI645" s="15"/>
      <c r="AJ645" s="15"/>
      <c r="AK645" s="15"/>
      <c r="AL645" s="15"/>
    </row>
    <row r="646" spans="2:38" x14ac:dyDescent="0.75"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  <c r="AB646" s="15"/>
      <c r="AC646" s="15"/>
      <c r="AD646" s="15"/>
      <c r="AE646" s="15"/>
      <c r="AF646" s="15"/>
      <c r="AG646" s="15"/>
      <c r="AH646" s="15"/>
      <c r="AI646" s="15"/>
      <c r="AJ646" s="15"/>
      <c r="AK646" s="15"/>
      <c r="AL646" s="15"/>
    </row>
    <row r="647" spans="2:38" x14ac:dyDescent="0.75"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  <c r="AB647" s="15"/>
      <c r="AC647" s="15"/>
      <c r="AD647" s="15"/>
      <c r="AE647" s="15"/>
      <c r="AF647" s="15"/>
      <c r="AG647" s="15"/>
      <c r="AH647" s="15"/>
      <c r="AI647" s="15"/>
      <c r="AJ647" s="15"/>
      <c r="AK647" s="15"/>
      <c r="AL647" s="15"/>
    </row>
    <row r="648" spans="2:38" x14ac:dyDescent="0.75"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  <c r="AB648" s="15"/>
      <c r="AC648" s="15"/>
      <c r="AD648" s="15"/>
      <c r="AE648" s="15"/>
      <c r="AF648" s="15"/>
      <c r="AG648" s="15"/>
      <c r="AH648" s="15"/>
      <c r="AI648" s="15"/>
      <c r="AJ648" s="15"/>
      <c r="AK648" s="15"/>
      <c r="AL648" s="15"/>
    </row>
    <row r="649" spans="2:38" x14ac:dyDescent="0.75"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  <c r="AB649" s="15"/>
      <c r="AC649" s="15"/>
      <c r="AD649" s="15"/>
      <c r="AE649" s="15"/>
      <c r="AF649" s="15"/>
      <c r="AG649" s="15"/>
      <c r="AH649" s="15"/>
      <c r="AI649" s="15"/>
      <c r="AJ649" s="15"/>
      <c r="AK649" s="15"/>
      <c r="AL649" s="15"/>
    </row>
    <row r="650" spans="2:38" x14ac:dyDescent="0.75"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  <c r="AB650" s="15"/>
      <c r="AC650" s="15"/>
      <c r="AD650" s="15"/>
      <c r="AE650" s="15"/>
      <c r="AF650" s="15"/>
      <c r="AG650" s="15"/>
      <c r="AH650" s="15"/>
      <c r="AI650" s="15"/>
      <c r="AJ650" s="15"/>
      <c r="AK650" s="15"/>
      <c r="AL650" s="15"/>
    </row>
    <row r="651" spans="2:38" x14ac:dyDescent="0.75"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  <c r="AB651" s="15"/>
      <c r="AC651" s="15"/>
      <c r="AD651" s="15"/>
      <c r="AE651" s="15"/>
      <c r="AF651" s="15"/>
      <c r="AG651" s="15"/>
      <c r="AH651" s="15"/>
      <c r="AI651" s="15"/>
      <c r="AJ651" s="15"/>
      <c r="AK651" s="15"/>
      <c r="AL651" s="15"/>
    </row>
    <row r="652" spans="2:38" x14ac:dyDescent="0.75"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  <c r="AB652" s="15"/>
      <c r="AC652" s="15"/>
      <c r="AD652" s="15"/>
      <c r="AE652" s="15"/>
      <c r="AF652" s="15"/>
      <c r="AG652" s="15"/>
      <c r="AH652" s="15"/>
      <c r="AI652" s="15"/>
      <c r="AJ652" s="15"/>
      <c r="AK652" s="15"/>
      <c r="AL652" s="15"/>
    </row>
    <row r="653" spans="2:38" x14ac:dyDescent="0.75"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  <c r="AB653" s="15"/>
      <c r="AC653" s="15"/>
      <c r="AD653" s="15"/>
      <c r="AE653" s="15"/>
      <c r="AF653" s="15"/>
      <c r="AG653" s="15"/>
      <c r="AH653" s="15"/>
      <c r="AI653" s="15"/>
      <c r="AJ653" s="15"/>
      <c r="AK653" s="15"/>
      <c r="AL653" s="15"/>
    </row>
    <row r="654" spans="2:38" x14ac:dyDescent="0.75"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  <c r="AB654" s="15"/>
      <c r="AC654" s="15"/>
      <c r="AD654" s="15"/>
      <c r="AE654" s="15"/>
      <c r="AF654" s="15"/>
      <c r="AG654" s="15"/>
      <c r="AH654" s="15"/>
      <c r="AI654" s="15"/>
      <c r="AJ654" s="15"/>
      <c r="AK654" s="15"/>
      <c r="AL654" s="15"/>
    </row>
    <row r="655" spans="2:38" x14ac:dyDescent="0.75"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  <c r="AB655" s="15"/>
      <c r="AC655" s="15"/>
      <c r="AD655" s="15"/>
      <c r="AE655" s="15"/>
      <c r="AF655" s="15"/>
      <c r="AG655" s="15"/>
      <c r="AH655" s="15"/>
      <c r="AI655" s="15"/>
      <c r="AJ655" s="15"/>
      <c r="AK655" s="15"/>
      <c r="AL655" s="15"/>
    </row>
    <row r="656" spans="2:38" x14ac:dyDescent="0.75"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  <c r="AB656" s="15"/>
      <c r="AC656" s="15"/>
      <c r="AD656" s="15"/>
      <c r="AE656" s="15"/>
      <c r="AF656" s="15"/>
      <c r="AG656" s="15"/>
      <c r="AH656" s="15"/>
      <c r="AI656" s="15"/>
      <c r="AJ656" s="15"/>
      <c r="AK656" s="15"/>
      <c r="AL656" s="15"/>
    </row>
    <row r="657" spans="2:38" x14ac:dyDescent="0.75"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  <c r="AB657" s="15"/>
      <c r="AC657" s="15"/>
      <c r="AD657" s="15"/>
      <c r="AE657" s="15"/>
      <c r="AF657" s="15"/>
      <c r="AG657" s="15"/>
      <c r="AH657" s="15"/>
      <c r="AI657" s="15"/>
      <c r="AJ657" s="15"/>
      <c r="AK657" s="15"/>
      <c r="AL657" s="15"/>
    </row>
    <row r="658" spans="2:38" x14ac:dyDescent="0.75"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  <c r="AB658" s="15"/>
      <c r="AC658" s="15"/>
      <c r="AD658" s="15"/>
      <c r="AE658" s="15"/>
      <c r="AF658" s="15"/>
      <c r="AG658" s="15"/>
      <c r="AH658" s="15"/>
      <c r="AI658" s="15"/>
      <c r="AJ658" s="15"/>
      <c r="AK658" s="15"/>
      <c r="AL658" s="15"/>
    </row>
    <row r="659" spans="2:38" x14ac:dyDescent="0.75"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  <c r="AB659" s="15"/>
      <c r="AC659" s="15"/>
      <c r="AD659" s="15"/>
      <c r="AE659" s="15"/>
      <c r="AF659" s="15"/>
      <c r="AG659" s="15"/>
      <c r="AH659" s="15"/>
      <c r="AI659" s="15"/>
      <c r="AJ659" s="15"/>
      <c r="AK659" s="15"/>
      <c r="AL659" s="15"/>
    </row>
    <row r="660" spans="2:38" x14ac:dyDescent="0.75"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  <c r="AB660" s="15"/>
      <c r="AC660" s="15"/>
      <c r="AD660" s="15"/>
      <c r="AE660" s="15"/>
      <c r="AF660" s="15"/>
      <c r="AG660" s="15"/>
      <c r="AH660" s="15"/>
      <c r="AI660" s="15"/>
      <c r="AJ660" s="15"/>
      <c r="AK660" s="15"/>
      <c r="AL660" s="15"/>
    </row>
    <row r="661" spans="2:38" x14ac:dyDescent="0.75"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  <c r="AB661" s="15"/>
      <c r="AC661" s="15"/>
      <c r="AD661" s="15"/>
      <c r="AE661" s="15"/>
      <c r="AF661" s="15"/>
      <c r="AG661" s="15"/>
      <c r="AH661" s="15"/>
      <c r="AI661" s="15"/>
      <c r="AJ661" s="15"/>
      <c r="AK661" s="15"/>
      <c r="AL661" s="15"/>
    </row>
    <row r="662" spans="2:38" x14ac:dyDescent="0.75"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  <c r="AB662" s="15"/>
      <c r="AC662" s="15"/>
      <c r="AD662" s="15"/>
      <c r="AE662" s="15"/>
      <c r="AF662" s="15"/>
      <c r="AG662" s="15"/>
      <c r="AH662" s="15"/>
      <c r="AI662" s="15"/>
      <c r="AJ662" s="15"/>
      <c r="AK662" s="15"/>
      <c r="AL662" s="15"/>
    </row>
    <row r="663" spans="2:38" x14ac:dyDescent="0.75"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  <c r="AB663" s="15"/>
      <c r="AC663" s="15"/>
      <c r="AD663" s="15"/>
      <c r="AE663" s="15"/>
      <c r="AF663" s="15"/>
      <c r="AG663" s="15"/>
      <c r="AH663" s="15"/>
      <c r="AI663" s="15"/>
      <c r="AJ663" s="15"/>
      <c r="AK663" s="15"/>
      <c r="AL663" s="15"/>
    </row>
    <row r="664" spans="2:38" x14ac:dyDescent="0.75"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  <c r="AB664" s="15"/>
      <c r="AC664" s="15"/>
      <c r="AD664" s="15"/>
      <c r="AE664" s="15"/>
      <c r="AF664" s="15"/>
      <c r="AG664" s="15"/>
      <c r="AH664" s="15"/>
      <c r="AI664" s="15"/>
      <c r="AJ664" s="15"/>
      <c r="AK664" s="15"/>
      <c r="AL664" s="15"/>
    </row>
    <row r="665" spans="2:38" x14ac:dyDescent="0.75"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  <c r="AB665" s="15"/>
      <c r="AC665" s="15"/>
      <c r="AD665" s="15"/>
      <c r="AE665" s="15"/>
      <c r="AF665" s="15"/>
      <c r="AG665" s="15"/>
      <c r="AH665" s="15"/>
      <c r="AI665" s="15"/>
      <c r="AJ665" s="15"/>
      <c r="AK665" s="15"/>
      <c r="AL665" s="15"/>
    </row>
    <row r="666" spans="2:38" x14ac:dyDescent="0.75"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  <c r="AB666" s="15"/>
      <c r="AC666" s="15"/>
      <c r="AD666" s="15"/>
      <c r="AE666" s="15"/>
      <c r="AF666" s="15"/>
      <c r="AG666" s="15"/>
      <c r="AH666" s="15"/>
      <c r="AI666" s="15"/>
      <c r="AJ666" s="15"/>
      <c r="AK666" s="15"/>
      <c r="AL666" s="15"/>
    </row>
    <row r="667" spans="2:38" x14ac:dyDescent="0.75"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  <c r="AB667" s="15"/>
      <c r="AC667" s="15"/>
      <c r="AD667" s="15"/>
      <c r="AE667" s="15"/>
      <c r="AF667" s="15"/>
      <c r="AG667" s="15"/>
      <c r="AH667" s="15"/>
      <c r="AI667" s="15"/>
      <c r="AJ667" s="15"/>
      <c r="AK667" s="15"/>
      <c r="AL667" s="15"/>
    </row>
    <row r="668" spans="2:38" x14ac:dyDescent="0.75"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  <c r="AB668" s="15"/>
      <c r="AC668" s="15"/>
      <c r="AD668" s="15"/>
      <c r="AE668" s="15"/>
      <c r="AF668" s="15"/>
      <c r="AG668" s="15"/>
      <c r="AH668" s="15"/>
      <c r="AI668" s="15"/>
      <c r="AJ668" s="15"/>
      <c r="AK668" s="15"/>
      <c r="AL668" s="15"/>
    </row>
    <row r="669" spans="2:38" x14ac:dyDescent="0.75"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  <c r="AB669" s="15"/>
      <c r="AC669" s="15"/>
      <c r="AD669" s="15"/>
      <c r="AE669" s="15"/>
      <c r="AF669" s="15"/>
      <c r="AG669" s="15"/>
      <c r="AH669" s="15"/>
      <c r="AI669" s="15"/>
      <c r="AJ669" s="15"/>
      <c r="AK669" s="15"/>
      <c r="AL669" s="15"/>
    </row>
    <row r="670" spans="2:38" x14ac:dyDescent="0.75"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  <c r="AB670" s="15"/>
      <c r="AC670" s="15"/>
      <c r="AD670" s="15"/>
      <c r="AE670" s="15"/>
      <c r="AF670" s="15"/>
      <c r="AG670" s="15"/>
      <c r="AH670" s="15"/>
      <c r="AI670" s="15"/>
      <c r="AJ670" s="15"/>
      <c r="AK670" s="15"/>
      <c r="AL670" s="15"/>
    </row>
    <row r="671" spans="2:38" x14ac:dyDescent="0.75"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  <c r="AB671" s="15"/>
      <c r="AC671" s="15"/>
      <c r="AD671" s="15"/>
      <c r="AE671" s="15"/>
      <c r="AF671" s="15"/>
      <c r="AG671" s="15"/>
      <c r="AH671" s="15"/>
      <c r="AI671" s="15"/>
      <c r="AJ671" s="15"/>
      <c r="AK671" s="15"/>
      <c r="AL671" s="15"/>
    </row>
    <row r="672" spans="2:38" x14ac:dyDescent="0.75"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  <c r="AB672" s="15"/>
      <c r="AC672" s="15"/>
      <c r="AD672" s="15"/>
      <c r="AE672" s="15"/>
      <c r="AF672" s="15"/>
      <c r="AG672" s="15"/>
      <c r="AH672" s="15"/>
      <c r="AI672" s="15"/>
      <c r="AJ672" s="15"/>
      <c r="AK672" s="15"/>
      <c r="AL672" s="15"/>
    </row>
    <row r="673" spans="2:38" x14ac:dyDescent="0.75"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  <c r="AB673" s="15"/>
      <c r="AC673" s="15"/>
      <c r="AD673" s="15"/>
      <c r="AE673" s="15"/>
      <c r="AF673" s="15"/>
      <c r="AG673" s="15"/>
      <c r="AH673" s="15"/>
      <c r="AI673" s="15"/>
      <c r="AJ673" s="15"/>
      <c r="AK673" s="15"/>
      <c r="AL673" s="15"/>
    </row>
    <row r="674" spans="2:38" x14ac:dyDescent="0.75"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  <c r="AB674" s="15"/>
      <c r="AC674" s="15"/>
      <c r="AD674" s="15"/>
      <c r="AE674" s="15"/>
      <c r="AF674" s="15"/>
      <c r="AG674" s="15"/>
      <c r="AH674" s="15"/>
      <c r="AI674" s="15"/>
      <c r="AJ674" s="15"/>
      <c r="AK674" s="15"/>
      <c r="AL674" s="15"/>
    </row>
    <row r="675" spans="2:38" x14ac:dyDescent="0.75"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  <c r="AB675" s="15"/>
      <c r="AC675" s="15"/>
      <c r="AD675" s="15"/>
      <c r="AE675" s="15"/>
      <c r="AF675" s="15"/>
      <c r="AG675" s="15"/>
      <c r="AH675" s="15"/>
      <c r="AI675" s="15"/>
      <c r="AJ675" s="15"/>
      <c r="AK675" s="15"/>
      <c r="AL675" s="15"/>
    </row>
    <row r="676" spans="2:38" x14ac:dyDescent="0.75"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  <c r="AB676" s="15"/>
      <c r="AC676" s="15"/>
      <c r="AD676" s="15"/>
      <c r="AE676" s="15"/>
      <c r="AF676" s="15"/>
      <c r="AG676" s="15"/>
      <c r="AH676" s="15"/>
      <c r="AI676" s="15"/>
      <c r="AJ676" s="15"/>
      <c r="AK676" s="15"/>
      <c r="AL676" s="15"/>
    </row>
    <row r="677" spans="2:38" x14ac:dyDescent="0.75"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  <c r="AB677" s="15"/>
      <c r="AC677" s="15"/>
      <c r="AD677" s="15"/>
      <c r="AE677" s="15"/>
      <c r="AF677" s="15"/>
      <c r="AG677" s="15"/>
      <c r="AH677" s="15"/>
      <c r="AI677" s="15"/>
      <c r="AJ677" s="15"/>
      <c r="AK677" s="15"/>
      <c r="AL677" s="15"/>
    </row>
    <row r="678" spans="2:38" x14ac:dyDescent="0.75"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  <c r="AB678" s="15"/>
      <c r="AC678" s="15"/>
      <c r="AD678" s="15"/>
      <c r="AE678" s="15"/>
      <c r="AF678" s="15"/>
      <c r="AG678" s="15"/>
      <c r="AH678" s="15"/>
      <c r="AI678" s="15"/>
      <c r="AJ678" s="15"/>
      <c r="AK678" s="15"/>
      <c r="AL678" s="15"/>
    </row>
    <row r="679" spans="2:38" x14ac:dyDescent="0.75"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  <c r="AB679" s="15"/>
      <c r="AC679" s="15"/>
      <c r="AD679" s="15"/>
      <c r="AE679" s="15"/>
      <c r="AF679" s="15"/>
      <c r="AG679" s="15"/>
      <c r="AH679" s="15"/>
      <c r="AI679" s="15"/>
      <c r="AJ679" s="15"/>
      <c r="AK679" s="15"/>
      <c r="AL679" s="15"/>
    </row>
    <row r="680" spans="2:38" x14ac:dyDescent="0.75"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  <c r="AB680" s="15"/>
      <c r="AC680" s="15"/>
      <c r="AD680" s="15"/>
      <c r="AE680" s="15"/>
      <c r="AF680" s="15"/>
      <c r="AG680" s="15"/>
      <c r="AH680" s="15"/>
      <c r="AI680" s="15"/>
      <c r="AJ680" s="15"/>
      <c r="AK680" s="15"/>
      <c r="AL680" s="15"/>
    </row>
    <row r="681" spans="2:38" x14ac:dyDescent="0.75"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  <c r="AB681" s="15"/>
      <c r="AC681" s="15"/>
      <c r="AD681" s="15"/>
      <c r="AE681" s="15"/>
      <c r="AF681" s="15"/>
      <c r="AG681" s="15"/>
      <c r="AH681" s="15"/>
      <c r="AI681" s="15"/>
      <c r="AJ681" s="15"/>
      <c r="AK681" s="15"/>
      <c r="AL681" s="15"/>
    </row>
    <row r="682" spans="2:38" x14ac:dyDescent="0.75"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  <c r="AB682" s="15"/>
      <c r="AC682" s="15"/>
      <c r="AD682" s="15"/>
      <c r="AE682" s="15"/>
      <c r="AF682" s="15"/>
      <c r="AG682" s="15"/>
      <c r="AH682" s="15"/>
      <c r="AI682" s="15"/>
      <c r="AJ682" s="15"/>
      <c r="AK682" s="15"/>
      <c r="AL682" s="15"/>
    </row>
  </sheetData>
  <mergeCells count="19">
    <mergeCell ref="A291:H291"/>
    <mergeCell ref="B294:E294"/>
    <mergeCell ref="F294:I294"/>
    <mergeCell ref="J294:M294"/>
    <mergeCell ref="N294:R294"/>
    <mergeCell ref="A1:H1"/>
    <mergeCell ref="A12:C12"/>
    <mergeCell ref="A35:B35"/>
    <mergeCell ref="A280:H280"/>
    <mergeCell ref="A37:A43"/>
    <mergeCell ref="A3:C3"/>
    <mergeCell ref="A21:C21"/>
    <mergeCell ref="A45:A48"/>
    <mergeCell ref="F45:F46"/>
    <mergeCell ref="A77:C77"/>
    <mergeCell ref="A13:C13"/>
    <mergeCell ref="H29:H30"/>
    <mergeCell ref="A31:A33"/>
    <mergeCell ref="A29:A30"/>
  </mergeCells>
  <hyperlinks>
    <hyperlink ref="E87" r:id="rId1" display="https://doi.org/10.1128/jb.148.1.58-63.1981" xr:uid="{00000000-0004-0000-0500-000000000000}"/>
    <hyperlink ref="S167" r:id="rId2" xr:uid="{00000000-0004-0000-0500-000001000000}"/>
  </hyperlinks>
  <pageMargins left="0.7" right="0.7" top="0.75" bottom="0.75" header="0.3" footer="0.3"/>
  <drawing r:id="rId3"/>
  <legacyDrawing r:id="rId4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autoPageBreaks="0"/>
  </sheetPr>
  <dimension ref="A1:AL214"/>
  <sheetViews>
    <sheetView topLeftCell="A159" zoomScale="70" zoomScaleNormal="70" workbookViewId="0">
      <selection activeCell="B170" sqref="B170"/>
    </sheetView>
  </sheetViews>
  <sheetFormatPr defaultRowHeight="14.75" x14ac:dyDescent="0.75"/>
  <cols>
    <col min="1" max="1" width="40.36328125" customWidth="1"/>
    <col min="2" max="2" width="29.90625" bestFit="1" customWidth="1"/>
    <col min="3" max="3" width="25.36328125" bestFit="1" customWidth="1"/>
    <col min="4" max="4" width="23.54296875" bestFit="1" customWidth="1"/>
    <col min="5" max="5" width="21.26953125" customWidth="1"/>
    <col min="6" max="6" width="20.90625" customWidth="1"/>
    <col min="7" max="7" width="21" customWidth="1"/>
    <col min="8" max="8" width="18.81640625" customWidth="1"/>
    <col min="9" max="14" width="8.7265625" customWidth="1"/>
    <col min="15" max="15" width="17.54296875" bestFit="1" customWidth="1"/>
    <col min="16" max="16" width="8.7265625" customWidth="1"/>
  </cols>
  <sheetData>
    <row r="1" spans="1:8" ht="26" customHeight="1" x14ac:dyDescent="1.2">
      <c r="A1" s="370" t="s">
        <v>106</v>
      </c>
      <c r="B1" s="363"/>
      <c r="C1" s="363"/>
      <c r="D1" s="363"/>
      <c r="E1" s="363"/>
      <c r="F1" s="363"/>
      <c r="G1" s="363"/>
      <c r="H1" s="363"/>
    </row>
    <row r="2" spans="1:8" ht="15" customHeight="1" x14ac:dyDescent="0.75">
      <c r="A2" s="92"/>
    </row>
    <row r="3" spans="1:8" ht="15" customHeight="1" thickBot="1" x14ac:dyDescent="0.9">
      <c r="A3" s="372" t="s">
        <v>1</v>
      </c>
      <c r="B3" s="363"/>
      <c r="C3" s="363"/>
    </row>
    <row r="4" spans="1:8" ht="15" customHeight="1" thickBot="1" x14ac:dyDescent="0.9">
      <c r="A4" s="96"/>
      <c r="B4" s="97">
        <f>Assumptions!B8</f>
        <v>5</v>
      </c>
      <c r="C4" s="98" t="s">
        <v>3</v>
      </c>
      <c r="E4" s="95" t="s">
        <v>4</v>
      </c>
    </row>
    <row r="5" spans="1:8" x14ac:dyDescent="0.75">
      <c r="A5" s="86" t="s">
        <v>5</v>
      </c>
      <c r="B5" s="2">
        <f>Assumptions!B8</f>
        <v>5</v>
      </c>
      <c r="C5" s="87" t="s">
        <v>580</v>
      </c>
      <c r="E5" s="4" t="s">
        <v>6</v>
      </c>
    </row>
    <row r="6" spans="1:8" ht="15" customHeight="1" thickBot="1" x14ac:dyDescent="0.9">
      <c r="A6" s="1" t="s">
        <v>5</v>
      </c>
      <c r="B6" s="124">
        <f>B5</f>
        <v>5</v>
      </c>
      <c r="C6" s="126" t="s">
        <v>580</v>
      </c>
      <c r="E6" s="8" t="s">
        <v>7</v>
      </c>
    </row>
    <row r="7" spans="1:8" ht="15" customHeight="1" thickBot="1" x14ac:dyDescent="0.9">
      <c r="A7" s="5" t="s">
        <v>8</v>
      </c>
      <c r="B7" s="6">
        <f>Assumptions!C21</f>
        <v>300</v>
      </c>
      <c r="C7" s="7" t="s">
        <v>145</v>
      </c>
    </row>
    <row r="8" spans="1:8" ht="15" customHeight="1" x14ac:dyDescent="0.75"/>
    <row r="9" spans="1:8" s="89" customFormat="1" ht="15" customHeight="1" thickBot="1" x14ac:dyDescent="0.9"/>
    <row r="10" spans="1:8" ht="19" customHeight="1" thickBot="1" x14ac:dyDescent="1.05">
      <c r="A10" s="153" t="s">
        <v>9</v>
      </c>
      <c r="B10" s="154"/>
      <c r="C10" s="154"/>
      <c r="D10" s="154"/>
      <c r="E10" s="154"/>
      <c r="F10" s="154"/>
      <c r="G10" s="155"/>
    </row>
    <row r="11" spans="1:8" ht="15" customHeight="1" thickBot="1" x14ac:dyDescent="0.9">
      <c r="A11" s="47"/>
    </row>
    <row r="12" spans="1:8" ht="15" customHeight="1" x14ac:dyDescent="0.75">
      <c r="A12" s="383" t="s">
        <v>136</v>
      </c>
      <c r="B12" s="384"/>
      <c r="C12" s="385"/>
    </row>
    <row r="13" spans="1:8" x14ac:dyDescent="0.75">
      <c r="A13" s="378" t="s">
        <v>11</v>
      </c>
      <c r="B13" s="379"/>
      <c r="C13" s="380"/>
      <c r="D13" s="9"/>
    </row>
    <row r="14" spans="1:8" ht="16.5" customHeight="1" thickBot="1" x14ac:dyDescent="0.9">
      <c r="A14" s="156"/>
      <c r="B14" s="150" t="s">
        <v>2</v>
      </c>
      <c r="C14" s="151" t="s">
        <v>3</v>
      </c>
      <c r="D14" s="9"/>
    </row>
    <row r="15" spans="1:8" x14ac:dyDescent="0.75">
      <c r="A15" s="12" t="s">
        <v>12</v>
      </c>
      <c r="B15" s="15">
        <v>5</v>
      </c>
      <c r="C15" s="11" t="s">
        <v>13</v>
      </c>
      <c r="D15" s="9"/>
    </row>
    <row r="16" spans="1:8" ht="16.75" x14ac:dyDescent="0.75">
      <c r="A16" s="12" t="s">
        <v>137</v>
      </c>
      <c r="B16" s="13">
        <f>(320/16)*(1/0.0929)*(9830000/982000)*(1/1000)</f>
        <v>2.1550448437866532</v>
      </c>
      <c r="C16" s="11" t="s">
        <v>509</v>
      </c>
      <c r="D16" s="9"/>
    </row>
    <row r="17" spans="1:8" x14ac:dyDescent="0.75">
      <c r="A17" s="12" t="s">
        <v>16</v>
      </c>
      <c r="B17" s="13">
        <f>(9830000/982000)*(1/1000)</f>
        <v>1.0010183299389002E-2</v>
      </c>
      <c r="C17" s="11" t="s">
        <v>17</v>
      </c>
      <c r="D17" s="9"/>
    </row>
    <row r="18" spans="1:8" ht="17" customHeight="1" x14ac:dyDescent="0.75">
      <c r="A18" s="12" t="s">
        <v>18</v>
      </c>
      <c r="B18" s="13">
        <f>B6*(1/B7)</f>
        <v>1.6666666666666666E-2</v>
      </c>
      <c r="C18" s="11" t="s">
        <v>19</v>
      </c>
      <c r="D18" s="9"/>
    </row>
    <row r="19" spans="1:8" ht="15" customHeight="1" x14ac:dyDescent="0.75">
      <c r="A19" s="12" t="s">
        <v>20</v>
      </c>
      <c r="B19" s="15">
        <f>ROUNDUP(B18/B17,0)</f>
        <v>2</v>
      </c>
      <c r="C19" s="11" t="s">
        <v>21</v>
      </c>
      <c r="D19" s="9"/>
    </row>
    <row r="20" spans="1:8" ht="15" customHeight="1" thickBot="1" x14ac:dyDescent="0.9">
      <c r="A20" s="12" t="s">
        <v>23</v>
      </c>
      <c r="B20" s="13">
        <f>B18/B16</f>
        <v>7.7337911156324162E-3</v>
      </c>
      <c r="C20" s="11" t="s">
        <v>511</v>
      </c>
      <c r="D20" s="19"/>
      <c r="E20" s="20"/>
      <c r="F20" s="20"/>
    </row>
    <row r="21" spans="1:8" x14ac:dyDescent="0.75">
      <c r="A21" s="364" t="s">
        <v>138</v>
      </c>
      <c r="B21" s="365"/>
      <c r="C21" s="366"/>
      <c r="D21" s="9"/>
    </row>
    <row r="22" spans="1:8" ht="15" customHeight="1" thickBot="1" x14ac:dyDescent="0.9">
      <c r="A22" s="174"/>
      <c r="B22" s="150" t="s">
        <v>2</v>
      </c>
      <c r="C22" s="151" t="s">
        <v>3</v>
      </c>
      <c r="D22" s="9"/>
      <c r="G22" s="20"/>
      <c r="H22" s="20"/>
    </row>
    <row r="23" spans="1:8" ht="17" customHeight="1" x14ac:dyDescent="0.75">
      <c r="A23" s="12" t="s">
        <v>25</v>
      </c>
      <c r="B23" s="21">
        <f>B19*B15</f>
        <v>10</v>
      </c>
      <c r="C23" s="11" t="s">
        <v>26</v>
      </c>
      <c r="D23" s="9"/>
      <c r="G23" s="20"/>
      <c r="H23" s="20"/>
    </row>
    <row r="24" spans="1:8" x14ac:dyDescent="0.75">
      <c r="A24" s="12" t="s">
        <v>27</v>
      </c>
      <c r="B24" s="22">
        <f>B17*B23</f>
        <v>0.10010183299389003</v>
      </c>
      <c r="C24" s="11" t="s">
        <v>28</v>
      </c>
      <c r="D24" s="9"/>
      <c r="G24" s="20"/>
      <c r="H24" s="20"/>
    </row>
    <row r="25" spans="1:8" ht="15" customHeight="1" thickBot="1" x14ac:dyDescent="0.9">
      <c r="A25" s="5" t="s">
        <v>23</v>
      </c>
      <c r="B25" s="23">
        <f>B24/B16</f>
        <v>4.6449999999999991E-2</v>
      </c>
      <c r="C25" s="24" t="s">
        <v>511</v>
      </c>
      <c r="D25" s="9"/>
      <c r="G25" s="20"/>
      <c r="H25" s="20"/>
    </row>
    <row r="26" spans="1:8" ht="17" customHeight="1" thickBot="1" x14ac:dyDescent="0.9">
      <c r="B26" s="15"/>
      <c r="C26" s="15"/>
    </row>
    <row r="27" spans="1:8" x14ac:dyDescent="0.75">
      <c r="A27" s="158" t="s">
        <v>29</v>
      </c>
      <c r="B27" s="159"/>
      <c r="C27" s="159"/>
      <c r="D27" s="159"/>
      <c r="E27" s="159"/>
      <c r="F27" s="159"/>
      <c r="G27" s="160"/>
    </row>
    <row r="28" spans="1:8" ht="17" customHeight="1" thickBot="1" x14ac:dyDescent="0.9">
      <c r="A28" s="157" t="s">
        <v>30</v>
      </c>
      <c r="B28" s="150" t="s">
        <v>31</v>
      </c>
      <c r="C28" s="150" t="s">
        <v>32</v>
      </c>
      <c r="D28" s="150" t="s">
        <v>33</v>
      </c>
      <c r="E28" s="232" t="s">
        <v>499</v>
      </c>
      <c r="F28" s="232" t="s">
        <v>500</v>
      </c>
      <c r="G28" s="151" t="s">
        <v>34</v>
      </c>
    </row>
    <row r="29" spans="1:8" x14ac:dyDescent="0.75">
      <c r="A29" s="386" t="s">
        <v>35</v>
      </c>
      <c r="B29" t="s">
        <v>36</v>
      </c>
      <c r="C29" s="15">
        <v>1</v>
      </c>
      <c r="D29" s="25">
        <f>(101.5-22.9-8.4)*B25</f>
        <v>3.2607899999999987</v>
      </c>
      <c r="E29" s="25">
        <f>(1.03-0.25)*B25</f>
        <v>3.6230999999999992E-2</v>
      </c>
      <c r="F29" s="26">
        <f>(2.6-2.1-0.075)*B25</f>
        <v>1.9741249999999995E-2</v>
      </c>
      <c r="G29" s="27"/>
      <c r="H29" s="381"/>
    </row>
    <row r="30" spans="1:8" x14ac:dyDescent="0.75">
      <c r="A30" s="387"/>
      <c r="B30" s="28" t="s">
        <v>37</v>
      </c>
      <c r="C30" s="29">
        <f>ROUNDUP(B25*9,0)</f>
        <v>1</v>
      </c>
      <c r="D30" s="30">
        <f>0.243*C30</f>
        <v>0.24299999999999999</v>
      </c>
      <c r="E30" s="31">
        <f>(0.3*0.3*0.001)*C30</f>
        <v>8.9999999999999992E-5</v>
      </c>
      <c r="F30" s="31">
        <f>50.7*C30*(1/1000)</f>
        <v>5.0700000000000002E-2</v>
      </c>
      <c r="G30" s="32"/>
      <c r="H30" s="382"/>
    </row>
    <row r="31" spans="1:8" ht="15" customHeight="1" thickBot="1" x14ac:dyDescent="0.9">
      <c r="A31" s="371" t="s">
        <v>38</v>
      </c>
      <c r="B31" s="38" t="s">
        <v>547</v>
      </c>
      <c r="C31" s="34">
        <f>IF((0.003785*C33*2) &lt;= 0.0187, 1, CEILING((0.003785*C33*2)/0.0187, 1))</f>
        <v>1</v>
      </c>
      <c r="D31" s="35">
        <f>0.75*B18*C31</f>
        <v>1.2500000000000001E-2</v>
      </c>
      <c r="E31" s="36">
        <f>0.00393*B18*C31</f>
        <v>6.5500000000000006E-5</v>
      </c>
      <c r="F31" s="35">
        <f>0.00033*B18*C31</f>
        <v>5.4999999999999999E-6</v>
      </c>
      <c r="G31" s="37"/>
      <c r="H31" s="79"/>
    </row>
    <row r="32" spans="1:8" x14ac:dyDescent="0.75">
      <c r="A32" s="368"/>
      <c r="B32" s="38" t="s">
        <v>39</v>
      </c>
      <c r="C32" s="39">
        <f>IF(F45 &lt;= 2, 1, CEILING(F45 / 2, 1))</f>
        <v>1</v>
      </c>
      <c r="D32" s="26">
        <f>0.20411*C32/Assumptions!$B$5</f>
        <v>3.4018333333333338E-2</v>
      </c>
      <c r="E32" s="26">
        <f>0.00064416*C32/Assumptions!$B$5</f>
        <v>1.0735999999999999E-4</v>
      </c>
      <c r="F32" s="40"/>
      <c r="G32" s="41"/>
      <c r="H32" t="s">
        <v>526</v>
      </c>
    </row>
    <row r="33" spans="1:8" ht="15" customHeight="1" thickBot="1" x14ac:dyDescent="0.9">
      <c r="A33" s="369"/>
      <c r="B33" s="42" t="s">
        <v>40</v>
      </c>
      <c r="C33" s="43">
        <f>ROUNDUP(B18/(85*0.003785),0)</f>
        <v>1</v>
      </c>
      <c r="D33" s="44">
        <f>(7.62/250)*(0.45359/1)*C33</f>
        <v>1.3825423199999999E-2</v>
      </c>
      <c r="E33" s="44">
        <f>(10.5*11*0.00394)*0.00001639*C33</f>
        <v>7.4585973E-6</v>
      </c>
      <c r="F33" s="45"/>
      <c r="G33" s="46"/>
      <c r="H33" s="80"/>
    </row>
    <row r="34" spans="1:8" ht="17" customHeight="1" thickBot="1" x14ac:dyDescent="0.9"/>
    <row r="35" spans="1:8" x14ac:dyDescent="0.75">
      <c r="A35" s="373" t="s">
        <v>41</v>
      </c>
      <c r="B35" s="365"/>
      <c r="C35" s="162"/>
      <c r="D35" s="162"/>
      <c r="E35" s="161"/>
      <c r="F35" s="163"/>
    </row>
    <row r="36" spans="1:8" ht="17" customHeight="1" thickBot="1" x14ac:dyDescent="0.9">
      <c r="A36" s="169" t="s">
        <v>30</v>
      </c>
      <c r="B36" s="170" t="s">
        <v>42</v>
      </c>
      <c r="C36" s="170" t="s">
        <v>33</v>
      </c>
      <c r="D36" s="232" t="s">
        <v>499</v>
      </c>
      <c r="E36" s="232" t="s">
        <v>500</v>
      </c>
      <c r="F36" s="171" t="s">
        <v>34</v>
      </c>
    </row>
    <row r="37" spans="1:8" ht="15" customHeight="1" thickBot="1" x14ac:dyDescent="0.9">
      <c r="A37" s="388" t="s">
        <v>35</v>
      </c>
      <c r="B37" t="s">
        <v>237</v>
      </c>
      <c r="C37" s="25">
        <f>0.0004288*B19*2</f>
        <v>1.7152000000000001E-3</v>
      </c>
      <c r="D37" s="25">
        <f>(4/3)*PI()*((0.45/2)^3)*(1/1000^3)</f>
        <v>4.771293842639499E-11</v>
      </c>
      <c r="E37" s="49"/>
      <c r="F37" s="63">
        <f>((1/10)*(B19*2)*(1/60)*1.5)+(4.6*(1/(215*2))*1.5)</f>
        <v>2.6046511627906978E-2</v>
      </c>
    </row>
    <row r="38" spans="1:8" x14ac:dyDescent="0.75">
      <c r="A38" s="368"/>
      <c r="B38" t="s">
        <v>44</v>
      </c>
      <c r="C38" s="26">
        <f>D38*1000</f>
        <v>0.67183443421498812</v>
      </c>
      <c r="D38" s="26">
        <f>(7.3*B20*35)*0.34*0.001</f>
        <v>6.7183443421498814E-4</v>
      </c>
      <c r="E38" s="49"/>
      <c r="F38" s="50">
        <f>90*4*(1/60)*(1/12.5)*(1/365)*35*B20*1.5</f>
        <v>5.3394941401078597E-4</v>
      </c>
    </row>
    <row r="39" spans="1:8" ht="16.5" customHeight="1" x14ac:dyDescent="0.75">
      <c r="A39" s="368"/>
      <c r="B39" t="s">
        <v>45</v>
      </c>
      <c r="C39" s="26">
        <f>((1.166+(12.406*3))*(D38*1000))/1000</f>
        <v>2.5787692922908105E-2</v>
      </c>
      <c r="D39" s="52"/>
      <c r="E39" s="49"/>
      <c r="F39" s="50">
        <f>(20.17/10)*(1/60)*(1/12.5)*B20*35*1.5</f>
        <v>1.0919339676161409E-3</v>
      </c>
    </row>
    <row r="40" spans="1:8" x14ac:dyDescent="0.75">
      <c r="A40" s="368"/>
      <c r="B40" t="s">
        <v>46</v>
      </c>
      <c r="C40" s="26">
        <f>(10.7*B20*35)/1000</f>
        <v>2.8963047728043398E-3</v>
      </c>
      <c r="D40" s="26">
        <f>C40/1.82</f>
        <v>1.5913762487935932E-3</v>
      </c>
      <c r="E40" s="49"/>
      <c r="F40" s="53">
        <f>2.13*365*(1/60)*(1/365)*35*1.5</f>
        <v>1.86375</v>
      </c>
    </row>
    <row r="41" spans="1:8" ht="15" customHeight="1" x14ac:dyDescent="0.75">
      <c r="A41" s="368"/>
      <c r="B41" s="164" t="s">
        <v>47</v>
      </c>
      <c r="C41" s="165" t="s">
        <v>33</v>
      </c>
      <c r="D41" s="231" t="s">
        <v>499</v>
      </c>
      <c r="E41" s="231" t="s">
        <v>500</v>
      </c>
      <c r="F41" s="166" t="s">
        <v>34</v>
      </c>
    </row>
    <row r="42" spans="1:8" ht="17" customHeight="1" x14ac:dyDescent="0.75">
      <c r="A42" s="368"/>
      <c r="B42" s="38" t="s">
        <v>48</v>
      </c>
      <c r="C42" s="26">
        <f>(7.78*B20*35)/1000</f>
        <v>2.1059113207867073E-3</v>
      </c>
      <c r="D42" s="26">
        <f>C42/1.3</f>
        <v>1.619931785220544E-3</v>
      </c>
      <c r="E42" s="49"/>
      <c r="F42" s="54"/>
    </row>
    <row r="43" spans="1:8" ht="15.5" thickBot="1" x14ac:dyDescent="0.9">
      <c r="A43" s="369"/>
      <c r="B43" s="38" t="s">
        <v>49</v>
      </c>
      <c r="C43" s="26">
        <f>2.1*B20*35</f>
        <v>0.56843364699898258</v>
      </c>
      <c r="D43" s="26">
        <f>C43/1000</f>
        <v>5.6843364699898263E-4</v>
      </c>
      <c r="E43" s="49"/>
      <c r="F43" s="54"/>
    </row>
    <row r="44" spans="1:8" ht="16.5" customHeight="1" x14ac:dyDescent="0.75">
      <c r="A44" s="152" t="s">
        <v>30</v>
      </c>
      <c r="B44" s="165" t="s">
        <v>47</v>
      </c>
      <c r="C44" s="165" t="s">
        <v>33</v>
      </c>
      <c r="D44" s="231" t="s">
        <v>499</v>
      </c>
      <c r="E44" s="231" t="s">
        <v>500</v>
      </c>
      <c r="F44" s="166" t="s">
        <v>34</v>
      </c>
    </row>
    <row r="45" spans="1:8" ht="15" customHeight="1" thickBot="1" x14ac:dyDescent="0.9">
      <c r="A45" s="367" t="s">
        <v>38</v>
      </c>
      <c r="B45" s="38" t="s">
        <v>50</v>
      </c>
      <c r="C45" s="26">
        <f>B6/1000000</f>
        <v>5.0000000000000004E-6</v>
      </c>
      <c r="D45" s="49"/>
      <c r="E45" s="49"/>
      <c r="F45" s="374">
        <f>(3.97*B20)/60*1.5</f>
        <v>7.6757876822651733E-4</v>
      </c>
    </row>
    <row r="46" spans="1:8" x14ac:dyDescent="0.75">
      <c r="A46" s="368"/>
      <c r="B46" s="38" t="s">
        <v>140</v>
      </c>
      <c r="C46" s="26">
        <f>B16*B20</f>
        <v>1.6666666666666666E-2</v>
      </c>
      <c r="D46" s="26">
        <f>C46*(1/60)</f>
        <v>2.7777777777777778E-4</v>
      </c>
      <c r="E46" s="49"/>
      <c r="F46" s="375"/>
    </row>
    <row r="47" spans="1:8" ht="16.5" customHeight="1" x14ac:dyDescent="0.75">
      <c r="A47" s="368"/>
      <c r="B47" s="164" t="s">
        <v>56</v>
      </c>
      <c r="C47" s="165" t="s">
        <v>33</v>
      </c>
      <c r="D47" s="231" t="s">
        <v>499</v>
      </c>
      <c r="E47" s="231" t="s">
        <v>500</v>
      </c>
      <c r="F47" s="166" t="s">
        <v>34</v>
      </c>
    </row>
    <row r="48" spans="1:8" ht="15" customHeight="1" thickBot="1" x14ac:dyDescent="0.9">
      <c r="A48" s="369"/>
      <c r="B48" s="42" t="s">
        <v>57</v>
      </c>
      <c r="C48" s="44">
        <f>(7.3/1000)*B20*35</f>
        <v>1.9759836300440826E-3</v>
      </c>
      <c r="D48" s="44">
        <f>C48*(1/60)</f>
        <v>3.293306050073471E-5</v>
      </c>
      <c r="E48" s="55"/>
      <c r="F48" s="57"/>
    </row>
    <row r="49" spans="1:8" ht="15" customHeight="1" thickBot="1" x14ac:dyDescent="0.9"/>
    <row r="50" spans="1:8" x14ac:dyDescent="0.75">
      <c r="A50" s="173" t="s">
        <v>58</v>
      </c>
      <c r="B50" s="161"/>
      <c r="C50" s="161"/>
      <c r="D50" s="161"/>
      <c r="E50" s="161"/>
      <c r="F50" s="233"/>
    </row>
    <row r="51" spans="1:8" ht="15" customHeight="1" thickBot="1" x14ac:dyDescent="0.9">
      <c r="A51" s="157" t="s">
        <v>59</v>
      </c>
      <c r="B51" s="150" t="s">
        <v>60</v>
      </c>
      <c r="C51" s="150" t="s">
        <v>61</v>
      </c>
      <c r="D51" s="150" t="s">
        <v>62</v>
      </c>
      <c r="E51" s="150" t="s">
        <v>63</v>
      </c>
      <c r="F51" s="166" t="s">
        <v>516</v>
      </c>
    </row>
    <row r="52" spans="1:8" x14ac:dyDescent="0.75">
      <c r="A52" s="58" t="s">
        <v>33</v>
      </c>
      <c r="B52" s="26">
        <f>SUM(D29:D33)</f>
        <v>3.5641337565333324</v>
      </c>
      <c r="C52" s="26">
        <f>C37+(C39/5*5)+(C40/5*5)</f>
        <v>3.0399197695712445E-2</v>
      </c>
      <c r="D52" s="59"/>
      <c r="E52" s="26">
        <f>SUM((C42/5*5),C45,C46)</f>
        <v>1.8777577987453373E-2</v>
      </c>
      <c r="F52" s="61"/>
      <c r="H52" s="15"/>
    </row>
    <row r="53" spans="1:8" ht="16.75" x14ac:dyDescent="0.75">
      <c r="A53" s="58" t="s">
        <v>499</v>
      </c>
      <c r="B53" s="26">
        <f>SUM(E29:E33)</f>
        <v>3.6501318597299999E-2</v>
      </c>
      <c r="C53" s="26">
        <f>D37+(D40/5*5)</f>
        <v>1.5913762965065316E-3</v>
      </c>
      <c r="D53" s="52"/>
      <c r="E53" s="26">
        <f>SUM((D42/4*4),(D43/4*4),D46)</f>
        <v>2.4661432099973043E-3</v>
      </c>
      <c r="F53" s="61"/>
      <c r="H53" s="15"/>
    </row>
    <row r="54" spans="1:8" ht="16.75" x14ac:dyDescent="0.95">
      <c r="A54" s="58" t="s">
        <v>500</v>
      </c>
      <c r="B54" s="26">
        <f>SUM(F29:F31)</f>
        <v>7.0446750000000002E-2</v>
      </c>
      <c r="C54" s="60"/>
      <c r="D54" s="49"/>
      <c r="E54" s="217">
        <v>0</v>
      </c>
      <c r="F54" s="54"/>
      <c r="H54" s="15"/>
    </row>
    <row r="55" spans="1:8" ht="16.75" x14ac:dyDescent="0.95">
      <c r="A55" s="58" t="s">
        <v>501</v>
      </c>
      <c r="B55" s="26">
        <f>SUM(F29:F31)</f>
        <v>7.0446750000000002E-2</v>
      </c>
      <c r="C55" s="49"/>
      <c r="D55" s="59"/>
      <c r="E55" s="49"/>
      <c r="F55" s="54"/>
      <c r="H55" s="39"/>
    </row>
    <row r="56" spans="1:8" x14ac:dyDescent="0.75">
      <c r="A56" s="58" t="s">
        <v>512</v>
      </c>
      <c r="B56" s="217">
        <f>SUM(G29:G33)</f>
        <v>0</v>
      </c>
      <c r="C56" s="62"/>
      <c r="D56" s="62"/>
      <c r="E56" s="62"/>
      <c r="F56" s="234">
        <f>SUM(F37,(F38/5*5),(F39/5*5),(F40/5))+F45</f>
        <v>0.40118997377776044</v>
      </c>
      <c r="H56" s="39"/>
    </row>
    <row r="57" spans="1:8" ht="15" customHeight="1" x14ac:dyDescent="0.75">
      <c r="A57" s="64" t="s">
        <v>65</v>
      </c>
      <c r="B57" s="65"/>
      <c r="C57" s="228">
        <v>0</v>
      </c>
      <c r="D57" s="49"/>
      <c r="E57" s="26">
        <f>B18</f>
        <v>1.6666666666666666E-2</v>
      </c>
      <c r="F57" s="54"/>
      <c r="H57" s="15"/>
    </row>
    <row r="58" spans="1:8" x14ac:dyDescent="0.75">
      <c r="A58" s="58" t="s">
        <v>66</v>
      </c>
      <c r="B58" s="26">
        <f>C58-C43</f>
        <v>0.10340078721600554</v>
      </c>
      <c r="C58" s="26">
        <f>(C38/4*4)</f>
        <v>0.67183443421498812</v>
      </c>
      <c r="D58" s="49"/>
      <c r="E58" s="26">
        <f>C43/4*4</f>
        <v>0.56843364699898258</v>
      </c>
      <c r="F58" s="54"/>
      <c r="H58" s="15"/>
    </row>
    <row r="59" spans="1:8" ht="15" customHeight="1" thickBot="1" x14ac:dyDescent="0.9">
      <c r="A59" s="66" t="s">
        <v>67</v>
      </c>
      <c r="B59" s="67"/>
      <c r="C59" s="67"/>
      <c r="D59" s="44">
        <f>C48</f>
        <v>1.9759836300440826E-3</v>
      </c>
      <c r="E59" s="67"/>
      <c r="F59" s="216"/>
      <c r="H59" s="15"/>
    </row>
    <row r="60" spans="1:8" ht="15" customHeight="1" thickBot="1" x14ac:dyDescent="0.9"/>
    <row r="61" spans="1:8" ht="15" customHeight="1" x14ac:dyDescent="0.75">
      <c r="A61" s="173" t="s">
        <v>68</v>
      </c>
      <c r="B61" s="162"/>
      <c r="C61" s="162"/>
      <c r="D61" s="162"/>
      <c r="E61" s="162"/>
      <c r="F61" s="162"/>
      <c r="G61" s="161"/>
      <c r="H61" s="163"/>
    </row>
    <row r="62" spans="1:8" ht="17" customHeight="1" thickBot="1" x14ac:dyDescent="1.1000000000000001">
      <c r="A62" s="157" t="s">
        <v>69</v>
      </c>
      <c r="B62" s="150" t="s">
        <v>503</v>
      </c>
      <c r="C62" s="150" t="s">
        <v>504</v>
      </c>
      <c r="D62" s="150" t="s">
        <v>505</v>
      </c>
      <c r="E62" s="150" t="s">
        <v>506</v>
      </c>
      <c r="F62" s="150" t="s">
        <v>507</v>
      </c>
      <c r="G62" s="150" t="s">
        <v>508</v>
      </c>
      <c r="H62" s="151" t="s">
        <v>76</v>
      </c>
    </row>
    <row r="63" spans="1:8" ht="15" customHeight="1" thickBot="1" x14ac:dyDescent="0.9">
      <c r="A63" s="211" t="s">
        <v>485</v>
      </c>
      <c r="B63" s="70">
        <f>Assumptions!B13</f>
        <v>79.3</v>
      </c>
      <c r="C63" s="70">
        <f>Assumptions!C13</f>
        <v>162</v>
      </c>
      <c r="D63" s="70">
        <f>Assumptions!D13</f>
        <v>96</v>
      </c>
      <c r="E63" s="70">
        <f>Assumptions!E13</f>
        <v>0.21</v>
      </c>
      <c r="F63" s="70">
        <f>Assumptions!F13</f>
        <v>0.93</v>
      </c>
      <c r="G63" s="70">
        <f>Assumptions!G13</f>
        <v>0.3</v>
      </c>
      <c r="H63" s="74">
        <f>Assumptions!H13</f>
        <v>0.94</v>
      </c>
    </row>
    <row r="64" spans="1:8" ht="15" customHeight="1" thickBot="1" x14ac:dyDescent="0.9">
      <c r="B64" s="15"/>
      <c r="C64" s="15"/>
      <c r="D64" s="15"/>
      <c r="E64" s="15"/>
      <c r="F64" s="15"/>
    </row>
    <row r="65" spans="1:8" ht="15" customHeight="1" x14ac:dyDescent="0.75">
      <c r="A65" s="190" t="s">
        <v>78</v>
      </c>
      <c r="B65" s="72">
        <v>1</v>
      </c>
      <c r="C65" s="15"/>
      <c r="D65" s="26"/>
      <c r="E65" s="26"/>
      <c r="F65" s="26"/>
    </row>
    <row r="66" spans="1:8" ht="17" customHeight="1" thickBot="1" x14ac:dyDescent="0.9">
      <c r="A66" s="191" t="s">
        <v>79</v>
      </c>
      <c r="B66" s="74">
        <f>B65*86</f>
        <v>86</v>
      </c>
      <c r="C66" s="15"/>
      <c r="D66" s="15"/>
      <c r="E66" s="15"/>
      <c r="F66" s="15"/>
    </row>
    <row r="67" spans="1:8" ht="15" customHeight="1" thickBot="1" x14ac:dyDescent="0.9">
      <c r="B67" s="15"/>
      <c r="C67" s="15"/>
      <c r="D67" s="15"/>
      <c r="E67" s="15"/>
      <c r="F67" s="15"/>
    </row>
    <row r="68" spans="1:8" ht="17" customHeight="1" thickBot="1" x14ac:dyDescent="1.1000000000000001">
      <c r="A68" s="167" t="s">
        <v>80</v>
      </c>
      <c r="B68" s="148" t="s">
        <v>502</v>
      </c>
    </row>
    <row r="69" spans="1:8" x14ac:dyDescent="0.75">
      <c r="A69" s="83" t="s">
        <v>60</v>
      </c>
      <c r="B69" s="235">
        <f>B52+(B53*B63)+(B54*C63)+(B55*D63)+(B56*H63)+(B58*G63)</f>
        <v>24.664970057464025</v>
      </c>
    </row>
    <row r="70" spans="1:8" x14ac:dyDescent="0.75">
      <c r="A70" s="83" t="s">
        <v>516</v>
      </c>
      <c r="B70" s="235">
        <f>+B66*F56*H63</f>
        <v>32.432197480194155</v>
      </c>
    </row>
    <row r="71" spans="1:8" x14ac:dyDescent="0.75">
      <c r="A71" s="83" t="s">
        <v>82</v>
      </c>
      <c r="B71" s="236">
        <f>B66*(C52+(C53*B63)+(C57*E63)+(C58*G63))</f>
        <v>30.800527471493208</v>
      </c>
    </row>
    <row r="72" spans="1:8" ht="17" customHeight="1" x14ac:dyDescent="0.75">
      <c r="A72" s="83" t="s">
        <v>83</v>
      </c>
      <c r="B72" s="236">
        <f>B66*((D59*F63))</f>
        <v>0.15803917073092574</v>
      </c>
    </row>
    <row r="73" spans="1:8" x14ac:dyDescent="0.75">
      <c r="A73" s="84" t="s">
        <v>84</v>
      </c>
      <c r="B73" s="237">
        <f>B66*(E52+(E53*B63)+(E54*C63)-(E57*E63)+(E58*G63))</f>
        <v>32.798063263034358</v>
      </c>
    </row>
    <row r="74" spans="1:8" ht="15" customHeight="1" thickBot="1" x14ac:dyDescent="1.1000000000000001">
      <c r="A74" s="85" t="s">
        <v>531</v>
      </c>
      <c r="B74" s="238">
        <f>B69+B70+B71+B72-B73</f>
        <v>55.25767091684795</v>
      </c>
    </row>
    <row r="76" spans="1:8" s="89" customFormat="1" ht="15" customHeight="1" thickBot="1" x14ac:dyDescent="0.9">
      <c r="A76" s="188"/>
      <c r="B76" s="189"/>
    </row>
    <row r="77" spans="1:8" ht="19" customHeight="1" thickBot="1" x14ac:dyDescent="1.05">
      <c r="A77" s="376" t="s">
        <v>429</v>
      </c>
      <c r="B77" s="377"/>
      <c r="C77" s="377"/>
      <c r="D77" s="261"/>
      <c r="E77" s="261"/>
      <c r="F77" s="261"/>
      <c r="G77" s="261"/>
      <c r="H77" s="262"/>
    </row>
    <row r="78" spans="1:8" ht="15" customHeight="1" thickBot="1" x14ac:dyDescent="0.9">
      <c r="A78" s="9"/>
      <c r="B78" s="9"/>
      <c r="C78" s="9"/>
    </row>
    <row r="79" spans="1:8" x14ac:dyDescent="0.75">
      <c r="A79" s="263" t="s">
        <v>430</v>
      </c>
      <c r="B79" s="264"/>
      <c r="C79" s="264"/>
      <c r="D79" s="267"/>
      <c r="E79" s="268"/>
    </row>
    <row r="80" spans="1:8" ht="15" customHeight="1" thickBot="1" x14ac:dyDescent="0.9">
      <c r="A80" s="277" t="s">
        <v>143</v>
      </c>
      <c r="B80" s="278" t="s">
        <v>87</v>
      </c>
      <c r="C80" s="278" t="s">
        <v>3</v>
      </c>
      <c r="D80" s="278" t="s">
        <v>114</v>
      </c>
      <c r="E80" s="279" t="s">
        <v>240</v>
      </c>
    </row>
    <row r="81" spans="1:5" x14ac:dyDescent="0.75">
      <c r="A81" s="115" t="s">
        <v>431</v>
      </c>
      <c r="B81" s="105">
        <f>Assumptions!B7</f>
        <v>86</v>
      </c>
      <c r="C81" s="116" t="s">
        <v>242</v>
      </c>
      <c r="D81" s="116"/>
      <c r="E81" s="87"/>
    </row>
    <row r="82" spans="1:5" x14ac:dyDescent="0.75">
      <c r="A82" s="175" t="s">
        <v>432</v>
      </c>
      <c r="B82" s="39">
        <v>2</v>
      </c>
      <c r="C82" s="123" t="s">
        <v>433</v>
      </c>
      <c r="E82" s="3"/>
    </row>
    <row r="83" spans="1:5" x14ac:dyDescent="0.75">
      <c r="A83" s="175" t="s">
        <v>434</v>
      </c>
      <c r="B83" s="39">
        <v>1</v>
      </c>
      <c r="C83" s="123" t="s">
        <v>435</v>
      </c>
      <c r="E83" s="3"/>
    </row>
    <row r="84" spans="1:5" x14ac:dyDescent="0.75">
      <c r="A84" s="175" t="s">
        <v>436</v>
      </c>
      <c r="B84" s="39">
        <v>0.04</v>
      </c>
      <c r="C84" s="123" t="s">
        <v>437</v>
      </c>
      <c r="D84" t="s">
        <v>438</v>
      </c>
      <c r="E84" s="3"/>
    </row>
    <row r="85" spans="1:5" x14ac:dyDescent="0.75">
      <c r="A85" s="175" t="s">
        <v>439</v>
      </c>
      <c r="B85" s="15">
        <v>0.5</v>
      </c>
      <c r="C85" s="123" t="s">
        <v>435</v>
      </c>
      <c r="E85" s="3"/>
    </row>
    <row r="86" spans="1:5" x14ac:dyDescent="0.75">
      <c r="A86" s="175" t="s">
        <v>440</v>
      </c>
      <c r="B86" s="15">
        <f>B85*B84</f>
        <v>0.02</v>
      </c>
      <c r="C86" s="123" t="s">
        <v>441</v>
      </c>
      <c r="E86" s="3"/>
    </row>
    <row r="87" spans="1:5" x14ac:dyDescent="0.75">
      <c r="A87" s="175" t="s">
        <v>442</v>
      </c>
      <c r="B87" s="15">
        <f>B85/5</f>
        <v>0.1</v>
      </c>
      <c r="C87" s="123" t="s">
        <v>435</v>
      </c>
      <c r="E87" s="3"/>
    </row>
    <row r="88" spans="1:5" x14ac:dyDescent="0.75">
      <c r="A88" s="175" t="s">
        <v>443</v>
      </c>
      <c r="B88" s="15">
        <f>B87*B84</f>
        <v>4.0000000000000001E-3</v>
      </c>
      <c r="C88" s="123" t="s">
        <v>441</v>
      </c>
      <c r="E88" s="3"/>
    </row>
    <row r="89" spans="1:5" x14ac:dyDescent="0.75">
      <c r="A89" s="175" t="s">
        <v>444</v>
      </c>
      <c r="B89" s="15">
        <f>(B87*B84)/B83</f>
        <v>4.0000000000000001E-3</v>
      </c>
      <c r="C89" s="123" t="s">
        <v>437</v>
      </c>
      <c r="E89" s="3"/>
    </row>
    <row r="90" spans="1:5" x14ac:dyDescent="0.75">
      <c r="A90" s="175" t="s">
        <v>445</v>
      </c>
      <c r="B90" s="15">
        <f>B84-B89</f>
        <v>3.6000000000000004E-2</v>
      </c>
      <c r="C90" s="123" t="s">
        <v>446</v>
      </c>
      <c r="E90" s="3"/>
    </row>
    <row r="91" spans="1:5" x14ac:dyDescent="0.75">
      <c r="A91" s="175" t="s">
        <v>447</v>
      </c>
      <c r="B91" s="15">
        <f>(B83*B82)/B88</f>
        <v>500</v>
      </c>
      <c r="C91" t="s">
        <v>448</v>
      </c>
      <c r="E91" s="3"/>
    </row>
    <row r="92" spans="1:5" x14ac:dyDescent="0.75">
      <c r="A92" s="175" t="s">
        <v>449</v>
      </c>
      <c r="B92" s="15">
        <v>1</v>
      </c>
      <c r="C92" s="123" t="s">
        <v>450</v>
      </c>
      <c r="E92" s="3"/>
    </row>
    <row r="93" spans="1:5" ht="16.75" x14ac:dyDescent="0.75">
      <c r="A93" s="175" t="s">
        <v>451</v>
      </c>
      <c r="B93" s="39">
        <v>1000</v>
      </c>
      <c r="C93" s="123" t="s">
        <v>532</v>
      </c>
      <c r="E93" s="3"/>
    </row>
    <row r="94" spans="1:5" ht="16.75" x14ac:dyDescent="0.75">
      <c r="A94" s="175" t="s">
        <v>246</v>
      </c>
      <c r="B94" s="15">
        <v>1000</v>
      </c>
      <c r="C94" s="123" t="s">
        <v>533</v>
      </c>
      <c r="E94" s="3"/>
    </row>
    <row r="95" spans="1:5" x14ac:dyDescent="0.75">
      <c r="A95" s="175" t="s">
        <v>452</v>
      </c>
      <c r="B95" s="15">
        <f>F122</f>
        <v>0.1605</v>
      </c>
      <c r="C95" t="s">
        <v>163</v>
      </c>
      <c r="E95" s="3"/>
    </row>
    <row r="96" spans="1:5" x14ac:dyDescent="0.75">
      <c r="A96" s="83" t="s">
        <v>280</v>
      </c>
      <c r="B96" s="15">
        <v>1.5</v>
      </c>
      <c r="E96" s="3" t="s">
        <v>281</v>
      </c>
    </row>
    <row r="97" spans="1:7" x14ac:dyDescent="0.75">
      <c r="A97" s="175" t="s">
        <v>453</v>
      </c>
      <c r="B97" s="15">
        <v>3</v>
      </c>
      <c r="C97" s="123" t="s">
        <v>155</v>
      </c>
      <c r="E97" s="3"/>
    </row>
    <row r="98" spans="1:7" x14ac:dyDescent="0.75">
      <c r="A98" s="175" t="s">
        <v>454</v>
      </c>
      <c r="B98" s="15">
        <f>B97/60</f>
        <v>0.05</v>
      </c>
      <c r="C98" s="123" t="s">
        <v>156</v>
      </c>
      <c r="E98" s="3"/>
    </row>
    <row r="99" spans="1:7" x14ac:dyDescent="0.75">
      <c r="A99" s="175" t="s">
        <v>455</v>
      </c>
      <c r="B99" s="15">
        <v>30</v>
      </c>
      <c r="C99" s="123" t="s">
        <v>456</v>
      </c>
      <c r="E99" s="3"/>
    </row>
    <row r="100" spans="1:7" x14ac:dyDescent="0.75">
      <c r="A100" s="175" t="s">
        <v>455</v>
      </c>
      <c r="B100" s="15">
        <f>B99/60/60</f>
        <v>8.3333333333333332E-3</v>
      </c>
      <c r="C100" s="123" t="s">
        <v>296</v>
      </c>
      <c r="E100" s="3"/>
    </row>
    <row r="101" spans="1:7" x14ac:dyDescent="0.75">
      <c r="A101" s="175" t="s">
        <v>548</v>
      </c>
      <c r="B101" s="25">
        <f>321+91</f>
        <v>412</v>
      </c>
      <c r="C101" s="123" t="s">
        <v>163</v>
      </c>
      <c r="D101" s="123"/>
      <c r="E101" s="193"/>
    </row>
    <row r="102" spans="1:7" ht="16.75" x14ac:dyDescent="0.75">
      <c r="A102" s="175" t="s">
        <v>549</v>
      </c>
      <c r="B102" s="25">
        <v>2</v>
      </c>
      <c r="C102" s="123" t="s">
        <v>518</v>
      </c>
      <c r="D102" s="123"/>
      <c r="E102" s="193"/>
    </row>
    <row r="103" spans="1:7" ht="16.75" x14ac:dyDescent="0.75">
      <c r="A103" s="175" t="s">
        <v>550</v>
      </c>
      <c r="B103" s="25">
        <v>0.61399999999999999</v>
      </c>
      <c r="C103" s="123" t="s">
        <v>518</v>
      </c>
      <c r="D103" s="123"/>
      <c r="E103" s="193"/>
    </row>
    <row r="104" spans="1:7" x14ac:dyDescent="0.75">
      <c r="A104" s="175" t="s">
        <v>551</v>
      </c>
      <c r="B104" s="25">
        <v>0.20499999999999999</v>
      </c>
      <c r="C104" s="123" t="s">
        <v>164</v>
      </c>
      <c r="D104" s="123"/>
      <c r="E104" s="193"/>
    </row>
    <row r="105" spans="1:7" x14ac:dyDescent="0.75">
      <c r="A105" s="175" t="s">
        <v>457</v>
      </c>
      <c r="B105" s="39">
        <v>2.2000000000000002</v>
      </c>
      <c r="C105" s="123" t="s">
        <v>302</v>
      </c>
      <c r="E105" s="193" t="s">
        <v>458</v>
      </c>
    </row>
    <row r="106" spans="1:7" x14ac:dyDescent="0.75">
      <c r="A106" s="175" t="s">
        <v>459</v>
      </c>
      <c r="B106" s="39">
        <v>7.5</v>
      </c>
      <c r="C106" s="123" t="s">
        <v>163</v>
      </c>
      <c r="E106" s="193" t="s">
        <v>458</v>
      </c>
    </row>
    <row r="107" spans="1:7" ht="16.75" x14ac:dyDescent="0.75">
      <c r="A107" s="175" t="s">
        <v>460</v>
      </c>
      <c r="B107" s="15">
        <f>Q125</f>
        <v>2.9700714E-2</v>
      </c>
      <c r="C107" s="123" t="s">
        <v>518</v>
      </c>
      <c r="E107" s="193" t="s">
        <v>458</v>
      </c>
      <c r="G107" s="143"/>
    </row>
    <row r="108" spans="1:7" x14ac:dyDescent="0.75">
      <c r="A108" s="175" t="s">
        <v>461</v>
      </c>
      <c r="B108" s="15">
        <f>B89*B19</f>
        <v>8.0000000000000002E-3</v>
      </c>
      <c r="C108" s="123" t="s">
        <v>261</v>
      </c>
      <c r="E108" s="193"/>
      <c r="G108" s="143"/>
    </row>
    <row r="109" spans="1:7" x14ac:dyDescent="0.75">
      <c r="A109" s="175" t="s">
        <v>462</v>
      </c>
      <c r="B109" s="15">
        <f>B81*B108</f>
        <v>0.68800000000000006</v>
      </c>
      <c r="C109" s="123" t="s">
        <v>261</v>
      </c>
      <c r="E109" s="193"/>
      <c r="G109" s="143"/>
    </row>
    <row r="110" spans="1:7" x14ac:dyDescent="0.75">
      <c r="A110" s="175" t="s">
        <v>463</v>
      </c>
      <c r="B110" s="15">
        <f>ROUNDUP((B109/B82),)</f>
        <v>1</v>
      </c>
      <c r="C110" s="123" t="s">
        <v>117</v>
      </c>
      <c r="E110" s="193"/>
      <c r="G110" s="143"/>
    </row>
    <row r="111" spans="1:7" x14ac:dyDescent="0.75">
      <c r="A111" s="38" t="s">
        <v>553</v>
      </c>
      <c r="B111" s="15">
        <f>ROUNDUP(((B110*D131)/B103),)</f>
        <v>1</v>
      </c>
      <c r="C111" s="123" t="s">
        <v>117</v>
      </c>
      <c r="E111" s="193"/>
      <c r="G111" s="143"/>
    </row>
    <row r="112" spans="1:7" x14ac:dyDescent="0.75">
      <c r="A112" s="175" t="s">
        <v>464</v>
      </c>
      <c r="B112" s="15">
        <f>(B19*B86)/1000</f>
        <v>4.0000000000000003E-5</v>
      </c>
      <c r="C112" s="123" t="s">
        <v>163</v>
      </c>
      <c r="E112" s="193"/>
      <c r="G112" s="143"/>
    </row>
    <row r="113" spans="1:22" x14ac:dyDescent="0.75">
      <c r="A113" s="175" t="s">
        <v>465</v>
      </c>
      <c r="B113" s="15">
        <f>B112*B81</f>
        <v>3.4400000000000003E-3</v>
      </c>
      <c r="C113" s="123" t="s">
        <v>163</v>
      </c>
      <c r="E113" s="193"/>
      <c r="G113" s="143"/>
    </row>
    <row r="114" spans="1:22" x14ac:dyDescent="0.75">
      <c r="A114" s="175" t="s">
        <v>466</v>
      </c>
      <c r="B114" s="15">
        <f>ROUNDUP((B113/B95),)</f>
        <v>1</v>
      </c>
      <c r="C114" s="123" t="s">
        <v>117</v>
      </c>
      <c r="E114" s="193"/>
      <c r="G114" s="143"/>
    </row>
    <row r="115" spans="1:22" x14ac:dyDescent="0.75">
      <c r="A115" s="175" t="s">
        <v>467</v>
      </c>
      <c r="B115" s="15">
        <f>B19*B90</f>
        <v>7.2000000000000008E-2</v>
      </c>
      <c r="C115" s="123" t="s">
        <v>261</v>
      </c>
      <c r="E115" s="193"/>
      <c r="G115" s="143"/>
    </row>
    <row r="116" spans="1:22" ht="15" customHeight="1" thickBot="1" x14ac:dyDescent="0.9">
      <c r="A116" s="194" t="s">
        <v>468</v>
      </c>
      <c r="B116" s="70">
        <f>(B115*B81)/1000</f>
        <v>6.1920000000000013E-3</v>
      </c>
      <c r="C116" s="185" t="s">
        <v>249</v>
      </c>
      <c r="D116" s="48"/>
      <c r="E116" s="196"/>
      <c r="G116" s="143"/>
    </row>
    <row r="117" spans="1:22" ht="15" customHeight="1" thickBot="1" x14ac:dyDescent="0.9">
      <c r="A117" s="123"/>
      <c r="B117" s="15"/>
      <c r="C117" s="123"/>
      <c r="E117" s="123"/>
      <c r="G117" s="143"/>
    </row>
    <row r="118" spans="1:22" x14ac:dyDescent="0.75">
      <c r="A118" s="263" t="s">
        <v>168</v>
      </c>
      <c r="B118" s="266"/>
      <c r="C118" s="266"/>
      <c r="D118" s="267"/>
      <c r="E118" s="267"/>
      <c r="F118" s="267"/>
      <c r="G118" s="267"/>
      <c r="H118" s="267"/>
      <c r="I118" s="267"/>
      <c r="J118" s="267"/>
      <c r="K118" s="267"/>
      <c r="L118" s="267"/>
      <c r="M118" s="267"/>
      <c r="N118" s="267"/>
      <c r="O118" s="267"/>
      <c r="P118" s="270"/>
      <c r="Q118" s="267"/>
      <c r="R118" s="267"/>
      <c r="S118" s="267"/>
      <c r="T118" s="267"/>
      <c r="U118" s="267"/>
      <c r="V118" s="268"/>
    </row>
    <row r="119" spans="1:22" s="15" customFormat="1" ht="15" customHeight="1" thickBot="1" x14ac:dyDescent="0.9">
      <c r="A119" s="277" t="s">
        <v>212</v>
      </c>
      <c r="B119" s="278" t="s">
        <v>343</v>
      </c>
      <c r="C119" s="278" t="s">
        <v>117</v>
      </c>
      <c r="D119" s="278" t="s">
        <v>344</v>
      </c>
      <c r="E119" s="278" t="s">
        <v>117</v>
      </c>
      <c r="F119" s="278" t="s">
        <v>469</v>
      </c>
      <c r="G119" s="278"/>
      <c r="H119" s="278" t="s">
        <v>171</v>
      </c>
      <c r="I119" s="278" t="s">
        <v>249</v>
      </c>
      <c r="J119" s="278" t="s">
        <v>345</v>
      </c>
      <c r="K119" s="278" t="s">
        <v>346</v>
      </c>
      <c r="L119" s="278" t="s">
        <v>117</v>
      </c>
      <c r="M119" s="278" t="s">
        <v>535</v>
      </c>
      <c r="N119" s="278" t="s">
        <v>175</v>
      </c>
      <c r="O119" s="278" t="s">
        <v>176</v>
      </c>
      <c r="P119" s="278" t="s">
        <v>177</v>
      </c>
      <c r="Q119" s="278" t="s">
        <v>520</v>
      </c>
      <c r="R119" s="278"/>
      <c r="S119" s="278" t="s">
        <v>114</v>
      </c>
      <c r="T119" s="307"/>
      <c r="U119" s="278" t="s">
        <v>178</v>
      </c>
      <c r="V119" s="279" t="s">
        <v>348</v>
      </c>
    </row>
    <row r="120" spans="1:22" x14ac:dyDescent="0.75">
      <c r="A120" s="115" t="s">
        <v>349</v>
      </c>
      <c r="B120" s="105"/>
      <c r="C120" s="105"/>
      <c r="D120" s="105">
        <v>1.121</v>
      </c>
      <c r="E120" s="105" t="s">
        <v>278</v>
      </c>
      <c r="F120" s="105">
        <f>D120/1000</f>
        <v>1.121E-3</v>
      </c>
      <c r="G120" s="105"/>
      <c r="H120" s="105" t="s">
        <v>350</v>
      </c>
      <c r="I120" s="105"/>
      <c r="J120" s="105">
        <v>1.2</v>
      </c>
      <c r="K120" s="105">
        <v>4.2</v>
      </c>
      <c r="L120" s="105" t="s">
        <v>351</v>
      </c>
      <c r="M120" s="105">
        <f>PI()*((J120/2)^2)*K120</f>
        <v>4.7500880922277675</v>
      </c>
      <c r="N120" s="105"/>
      <c r="O120" s="105">
        <f>J120/100</f>
        <v>1.2E-2</v>
      </c>
      <c r="P120" s="105">
        <f>K120/100</f>
        <v>4.2000000000000003E-2</v>
      </c>
      <c r="Q120" s="105">
        <f>PI()*((O120/2)^2)*P120</f>
        <v>4.7500880922277672E-6</v>
      </c>
      <c r="R120" s="105"/>
      <c r="S120" s="116"/>
      <c r="T120" s="116"/>
      <c r="U120" s="116">
        <v>2.54</v>
      </c>
      <c r="V120" s="87">
        <v>2.2050000000000001</v>
      </c>
    </row>
    <row r="121" spans="1:22" ht="16.75" x14ac:dyDescent="0.75">
      <c r="A121" s="83" t="s">
        <v>470</v>
      </c>
      <c r="B121" s="15">
        <v>1.0009999999999999</v>
      </c>
      <c r="C121" s="15" t="s">
        <v>534</v>
      </c>
      <c r="D121" s="15">
        <f>B121*2</f>
        <v>2.0019999999999998</v>
      </c>
      <c r="E121" s="15" t="s">
        <v>278</v>
      </c>
      <c r="F121" s="15">
        <f>D121/1000</f>
        <v>2.0019999999999999E-3</v>
      </c>
      <c r="G121" s="15"/>
      <c r="H121" s="195" t="s">
        <v>360</v>
      </c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V121" s="197"/>
    </row>
    <row r="122" spans="1:22" ht="16.75" x14ac:dyDescent="0.75">
      <c r="A122" s="83" t="s">
        <v>471</v>
      </c>
      <c r="B122" s="15">
        <v>3.21</v>
      </c>
      <c r="C122" s="15" t="s">
        <v>534</v>
      </c>
      <c r="D122" s="15">
        <f>B122*50</f>
        <v>160.5</v>
      </c>
      <c r="E122" s="15" t="s">
        <v>278</v>
      </c>
      <c r="F122" s="15">
        <f>D122/1000</f>
        <v>0.1605</v>
      </c>
      <c r="G122" s="15"/>
      <c r="H122" s="195" t="s">
        <v>360</v>
      </c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V122" s="197"/>
    </row>
    <row r="123" spans="1:22" x14ac:dyDescent="0.75">
      <c r="A123" s="83" t="s">
        <v>355</v>
      </c>
      <c r="B123" s="15"/>
      <c r="C123" s="15"/>
      <c r="D123" s="15">
        <v>13.041</v>
      </c>
      <c r="E123" s="15" t="s">
        <v>278</v>
      </c>
      <c r="F123" s="15">
        <f>D123/1000</f>
        <v>1.3041000000000001E-2</v>
      </c>
      <c r="G123" s="15"/>
      <c r="H123" s="15" t="s">
        <v>350</v>
      </c>
      <c r="I123" s="15"/>
      <c r="J123" s="15">
        <v>3.4</v>
      </c>
      <c r="K123" s="15">
        <v>11.6</v>
      </c>
      <c r="L123" s="15" t="s">
        <v>351</v>
      </c>
      <c r="M123" s="15">
        <f>PI()*((J123/2)^2)*K123</f>
        <v>105.3187521189442</v>
      </c>
      <c r="N123" s="15"/>
      <c r="O123" s="15">
        <f t="shared" ref="O123:P125" si="0">J123/100</f>
        <v>3.4000000000000002E-2</v>
      </c>
      <c r="P123" s="15">
        <f t="shared" si="0"/>
        <v>0.11599999999999999</v>
      </c>
      <c r="Q123" s="15">
        <f>PI()*((O123/2)^2)*P123</f>
        <v>1.0531875211894423E-4</v>
      </c>
      <c r="R123" s="15"/>
      <c r="V123" s="197"/>
    </row>
    <row r="124" spans="1:22" x14ac:dyDescent="0.75">
      <c r="A124" s="83" t="s">
        <v>352</v>
      </c>
      <c r="B124" s="15"/>
      <c r="C124" s="15"/>
      <c r="D124" s="15">
        <v>6.1769999999999996</v>
      </c>
      <c r="E124" s="15" t="s">
        <v>278</v>
      </c>
      <c r="F124" s="15">
        <f>D124/1000</f>
        <v>6.1769999999999993E-3</v>
      </c>
      <c r="G124" s="15"/>
      <c r="H124" s="15" t="s">
        <v>350</v>
      </c>
      <c r="I124" s="15"/>
      <c r="J124" s="15">
        <v>2.1</v>
      </c>
      <c r="K124" s="15">
        <v>12</v>
      </c>
      <c r="L124" s="15" t="s">
        <v>351</v>
      </c>
      <c r="M124" s="15">
        <f>PI()*((J124/2)^2)*K124</f>
        <v>41.563270806992961</v>
      </c>
      <c r="N124" s="15"/>
      <c r="O124" s="15">
        <f t="shared" si="0"/>
        <v>2.1000000000000001E-2</v>
      </c>
      <c r="P124" s="15">
        <f t="shared" si="0"/>
        <v>0.12</v>
      </c>
      <c r="Q124" s="15">
        <f>PI()*((O124/2)^2)*P124</f>
        <v>4.1563270806992968E-5</v>
      </c>
      <c r="R124" s="15"/>
      <c r="V124" s="197"/>
    </row>
    <row r="125" spans="1:22" ht="15" customHeight="1" thickBot="1" x14ac:dyDescent="0.9">
      <c r="A125" s="108" t="s">
        <v>472</v>
      </c>
      <c r="B125" s="70"/>
      <c r="C125" s="70"/>
      <c r="D125" s="70"/>
      <c r="E125" s="70"/>
      <c r="F125" s="70">
        <v>7.5</v>
      </c>
      <c r="G125" s="70"/>
      <c r="H125" s="70" t="s">
        <v>354</v>
      </c>
      <c r="I125" s="70">
        <v>37.9</v>
      </c>
      <c r="J125" s="70">
        <v>35.299999999999997</v>
      </c>
      <c r="K125" s="70">
        <v>22.2</v>
      </c>
      <c r="L125" s="70" t="s">
        <v>351</v>
      </c>
      <c r="M125" s="70"/>
      <c r="N125" s="70">
        <f>I125/100</f>
        <v>0.379</v>
      </c>
      <c r="O125" s="70">
        <f t="shared" si="0"/>
        <v>0.35299999999999998</v>
      </c>
      <c r="P125" s="70">
        <f t="shared" si="0"/>
        <v>0.222</v>
      </c>
      <c r="Q125" s="70">
        <f>N125*O125*P125</f>
        <v>2.9700714E-2</v>
      </c>
      <c r="R125" s="70"/>
      <c r="S125" s="48" t="s">
        <v>473</v>
      </c>
      <c r="T125" s="48"/>
      <c r="U125" s="48"/>
      <c r="V125" s="144"/>
    </row>
    <row r="126" spans="1:22" ht="15" customHeight="1" thickBot="1" x14ac:dyDescent="0.9"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</row>
    <row r="127" spans="1:22" x14ac:dyDescent="0.75">
      <c r="A127" s="263" t="s">
        <v>211</v>
      </c>
      <c r="B127" s="267"/>
      <c r="C127" s="267"/>
      <c r="D127" s="267"/>
      <c r="E127" s="267"/>
      <c r="F127" s="267"/>
      <c r="G127" s="267"/>
      <c r="H127" s="267"/>
      <c r="I127" s="133"/>
    </row>
    <row r="128" spans="1:22" ht="15" customHeight="1" thickBot="1" x14ac:dyDescent="1.1000000000000001">
      <c r="A128" s="277" t="s">
        <v>212</v>
      </c>
      <c r="B128" s="278" t="s">
        <v>474</v>
      </c>
      <c r="C128" s="278" t="s">
        <v>33</v>
      </c>
      <c r="D128" s="290" t="s">
        <v>499</v>
      </c>
      <c r="E128" s="278" t="s">
        <v>500</v>
      </c>
      <c r="F128" s="278" t="s">
        <v>34</v>
      </c>
      <c r="G128" s="278" t="s">
        <v>213</v>
      </c>
      <c r="H128" s="278"/>
      <c r="I128" s="279" t="s">
        <v>392</v>
      </c>
      <c r="J128" s="47"/>
      <c r="K128" s="47"/>
    </row>
    <row r="129" spans="1:9" x14ac:dyDescent="0.75">
      <c r="A129" s="83" t="s">
        <v>547</v>
      </c>
      <c r="B129" s="105" t="s">
        <v>60</v>
      </c>
      <c r="C129" s="355">
        <f>B101</f>
        <v>412</v>
      </c>
      <c r="D129" s="105">
        <f>B102</f>
        <v>2</v>
      </c>
      <c r="E129" s="105">
        <f>B104</f>
        <v>0.20499999999999999</v>
      </c>
      <c r="F129" s="105"/>
      <c r="G129" s="105"/>
      <c r="H129" s="105"/>
      <c r="I129" s="87" t="s">
        <v>393</v>
      </c>
    </row>
    <row r="130" spans="1:9" x14ac:dyDescent="0.75">
      <c r="A130" s="83" t="s">
        <v>472</v>
      </c>
      <c r="B130" s="15" t="s">
        <v>60</v>
      </c>
      <c r="C130" s="15">
        <f>B106</f>
        <v>7.5</v>
      </c>
      <c r="D130" s="15">
        <f>Q125</f>
        <v>2.9700714E-2</v>
      </c>
      <c r="E130" s="15">
        <f>B105/1000</f>
        <v>2.2000000000000001E-3</v>
      </c>
      <c r="F130" s="15"/>
      <c r="G130" s="15"/>
      <c r="H130" s="15"/>
      <c r="I130" s="193" t="s">
        <v>458</v>
      </c>
    </row>
    <row r="131" spans="1:9" x14ac:dyDescent="0.75">
      <c r="A131" s="83" t="s">
        <v>475</v>
      </c>
      <c r="B131" s="15" t="s">
        <v>42</v>
      </c>
      <c r="C131" s="15">
        <f>F120</f>
        <v>1.121E-3</v>
      </c>
      <c r="D131" s="15">
        <f>Q120</f>
        <v>4.7500880922277672E-6</v>
      </c>
      <c r="E131" s="15"/>
      <c r="F131" s="15"/>
      <c r="G131" s="15"/>
      <c r="H131" s="15"/>
      <c r="I131" s="3"/>
    </row>
    <row r="132" spans="1:9" x14ac:dyDescent="0.75">
      <c r="A132" s="83" t="s">
        <v>476</v>
      </c>
      <c r="B132" s="15" t="s">
        <v>42</v>
      </c>
      <c r="C132" s="15">
        <f>F123</f>
        <v>1.3041000000000001E-2</v>
      </c>
      <c r="D132" s="15">
        <f>Q123</f>
        <v>1.0531875211894423E-4</v>
      </c>
      <c r="E132" s="15"/>
      <c r="F132" s="15"/>
      <c r="G132" s="15"/>
      <c r="H132" s="15"/>
      <c r="I132" s="3"/>
    </row>
    <row r="133" spans="1:9" x14ac:dyDescent="0.75">
      <c r="A133" s="83" t="s">
        <v>477</v>
      </c>
      <c r="B133" s="15" t="s">
        <v>42</v>
      </c>
      <c r="C133" s="15">
        <f>F120</f>
        <v>1.121E-3</v>
      </c>
      <c r="D133" s="15">
        <f>Q120</f>
        <v>4.7500880922277672E-6</v>
      </c>
      <c r="E133" s="15"/>
      <c r="F133" s="15"/>
      <c r="G133" s="15"/>
      <c r="H133" s="15"/>
      <c r="I133" s="3"/>
    </row>
    <row r="134" spans="1:9" ht="15" customHeight="1" thickBot="1" x14ac:dyDescent="0.9">
      <c r="A134" s="108" t="s">
        <v>478</v>
      </c>
      <c r="B134" s="70" t="s">
        <v>56</v>
      </c>
      <c r="C134" s="70">
        <f>C133</f>
        <v>1.121E-3</v>
      </c>
      <c r="D134" s="70">
        <f>D133</f>
        <v>4.7500880922277672E-6</v>
      </c>
      <c r="E134" s="70"/>
      <c r="F134" s="70"/>
      <c r="G134" s="70"/>
      <c r="H134" s="70"/>
      <c r="I134" s="7"/>
    </row>
    <row r="135" spans="1:9" ht="15" customHeight="1" thickBot="1" x14ac:dyDescent="0.9">
      <c r="A135" s="15"/>
      <c r="B135" s="15"/>
      <c r="C135" s="15"/>
      <c r="D135" s="15"/>
      <c r="E135" s="15"/>
      <c r="F135" s="15"/>
      <c r="G135" s="15"/>
      <c r="H135" s="15"/>
    </row>
    <row r="136" spans="1:9" x14ac:dyDescent="0.75">
      <c r="A136" s="272" t="s">
        <v>229</v>
      </c>
      <c r="B136" s="267"/>
      <c r="C136" s="267"/>
      <c r="D136" s="267"/>
      <c r="E136" s="267"/>
      <c r="F136" s="267"/>
      <c r="G136" s="268"/>
      <c r="H136" s="15"/>
    </row>
    <row r="137" spans="1:9" ht="15" customHeight="1" thickBot="1" x14ac:dyDescent="1.1000000000000001">
      <c r="A137" s="333" t="s">
        <v>212</v>
      </c>
      <c r="B137" s="308" t="s">
        <v>80</v>
      </c>
      <c r="C137" s="308" t="s">
        <v>32</v>
      </c>
      <c r="D137" s="309" t="s">
        <v>33</v>
      </c>
      <c r="E137" s="310" t="s">
        <v>499</v>
      </c>
      <c r="F137" s="309" t="s">
        <v>500</v>
      </c>
      <c r="G137" s="311" t="s">
        <v>34</v>
      </c>
      <c r="H137" s="15"/>
    </row>
    <row r="138" spans="1:9" x14ac:dyDescent="0.75">
      <c r="A138" s="83" t="s">
        <v>547</v>
      </c>
      <c r="B138" s="105" t="s">
        <v>60</v>
      </c>
      <c r="C138" s="105">
        <f>B111</f>
        <v>1</v>
      </c>
      <c r="D138" s="355">
        <f>$C$138*C129</f>
        <v>412</v>
      </c>
      <c r="E138" s="105">
        <f>$C$138*D129</f>
        <v>2</v>
      </c>
      <c r="F138" s="105">
        <f>$C$138*E129</f>
        <v>0.20499999999999999</v>
      </c>
      <c r="G138" s="87"/>
      <c r="H138" s="15"/>
    </row>
    <row r="139" spans="1:9" x14ac:dyDescent="0.75">
      <c r="A139" s="175" t="s">
        <v>423</v>
      </c>
      <c r="B139" s="15" t="s">
        <v>60</v>
      </c>
      <c r="C139" s="15">
        <v>1</v>
      </c>
      <c r="D139" s="15">
        <f>C130/Assumptions!$B$5</f>
        <v>1.25</v>
      </c>
      <c r="E139" s="15">
        <f>D130/Assumptions!$B$5</f>
        <v>4.9501190000000002E-3</v>
      </c>
      <c r="F139" s="15">
        <f>E130/Assumptions!$B$5</f>
        <v>3.6666666666666667E-4</v>
      </c>
      <c r="G139" s="106"/>
      <c r="H139" t="s">
        <v>526</v>
      </c>
    </row>
    <row r="140" spans="1:9" x14ac:dyDescent="0.75">
      <c r="A140" s="172" t="s">
        <v>479</v>
      </c>
      <c r="B140" s="15" t="s">
        <v>42</v>
      </c>
      <c r="C140" s="15">
        <f>B110</f>
        <v>1</v>
      </c>
      <c r="D140" s="15">
        <f>($C$140*C131)+((B109*B121)/1000)</f>
        <v>1.8096880000000001E-3</v>
      </c>
      <c r="E140" s="15">
        <f>$C$140*D131</f>
        <v>4.7500880922277672E-6</v>
      </c>
      <c r="F140" s="15"/>
      <c r="G140" s="106">
        <f>((B98+(B19*B100))*B96)*B81</f>
        <v>8.6</v>
      </c>
      <c r="H140" s="15"/>
    </row>
    <row r="141" spans="1:9" x14ac:dyDescent="0.75">
      <c r="A141" s="172" t="s">
        <v>480</v>
      </c>
      <c r="B141" s="15" t="s">
        <v>42</v>
      </c>
      <c r="C141" s="15">
        <f>B114</f>
        <v>1</v>
      </c>
      <c r="D141" s="15">
        <f>(C141*C132)+B113</f>
        <v>1.6481000000000003E-2</v>
      </c>
      <c r="E141" s="15">
        <f>C141*D132</f>
        <v>1.0531875211894423E-4</v>
      </c>
      <c r="F141" s="15"/>
      <c r="G141" s="106"/>
      <c r="H141" s="15"/>
    </row>
    <row r="142" spans="1:9" x14ac:dyDescent="0.75">
      <c r="A142" s="172" t="s">
        <v>44</v>
      </c>
      <c r="B142" s="15" t="s">
        <v>42</v>
      </c>
      <c r="C142" s="15"/>
      <c r="D142" s="15">
        <f>(B116/B94)*B93</f>
        <v>6.1920000000000013E-3</v>
      </c>
      <c r="E142" s="15">
        <f>D142/B93</f>
        <v>6.192000000000001E-6</v>
      </c>
      <c r="F142" s="15"/>
      <c r="G142" s="106"/>
      <c r="H142" s="15"/>
    </row>
    <row r="143" spans="1:9" x14ac:dyDescent="0.75">
      <c r="A143" s="172" t="s">
        <v>477</v>
      </c>
      <c r="B143" s="15" t="s">
        <v>42</v>
      </c>
      <c r="C143" s="15">
        <f>B92*B81</f>
        <v>86</v>
      </c>
      <c r="D143" s="15">
        <f>$C$143*C133</f>
        <v>9.6406000000000006E-2</v>
      </c>
      <c r="E143" s="15">
        <f>$C$143*D133</f>
        <v>4.0850757593158797E-4</v>
      </c>
      <c r="F143" s="15"/>
      <c r="G143" s="106"/>
      <c r="H143" s="15"/>
    </row>
    <row r="144" spans="1:9" ht="15" customHeight="1" thickBot="1" x14ac:dyDescent="0.9">
      <c r="A144" s="177" t="s">
        <v>477</v>
      </c>
      <c r="B144" s="70" t="s">
        <v>56</v>
      </c>
      <c r="C144" s="70">
        <f>B92*B81</f>
        <v>86</v>
      </c>
      <c r="D144" s="70">
        <f>$C$144*C134</f>
        <v>9.6406000000000006E-2</v>
      </c>
      <c r="E144" s="70">
        <f>$C$144*D134</f>
        <v>4.0850757593158797E-4</v>
      </c>
      <c r="F144" s="70"/>
      <c r="G144" s="74"/>
      <c r="H144" s="15"/>
    </row>
    <row r="145" spans="1:38" ht="15" customHeight="1" thickBot="1" x14ac:dyDescent="0.9">
      <c r="A145" s="15"/>
      <c r="B145" s="15"/>
      <c r="C145" s="15"/>
      <c r="D145" s="15"/>
      <c r="E145" s="15"/>
      <c r="F145" s="15"/>
      <c r="G145" s="15"/>
      <c r="H145" s="15"/>
    </row>
    <row r="146" spans="1:38" x14ac:dyDescent="0.75">
      <c r="A146" s="273" t="s">
        <v>538</v>
      </c>
      <c r="B146" s="274"/>
      <c r="C146" s="267"/>
      <c r="D146" s="267"/>
      <c r="E146" s="267"/>
      <c r="F146" s="302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5"/>
      <c r="AH146" s="15"/>
      <c r="AI146" s="15"/>
      <c r="AJ146" s="15"/>
      <c r="AK146" s="15"/>
      <c r="AL146" s="15"/>
    </row>
    <row r="147" spans="1:38" ht="15" customHeight="1" thickBot="1" x14ac:dyDescent="0.9">
      <c r="A147" s="284" t="s">
        <v>59</v>
      </c>
      <c r="B147" s="285" t="s">
        <v>60</v>
      </c>
      <c r="C147" s="285" t="s">
        <v>61</v>
      </c>
      <c r="D147" s="285" t="s">
        <v>62</v>
      </c>
      <c r="E147" s="285" t="s">
        <v>63</v>
      </c>
      <c r="F147" s="283" t="s">
        <v>516</v>
      </c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5"/>
      <c r="AH147" s="15"/>
      <c r="AI147" s="15"/>
      <c r="AJ147" s="15"/>
      <c r="AK147" s="15"/>
      <c r="AL147" s="15"/>
    </row>
    <row r="148" spans="1:38" x14ac:dyDescent="0.75">
      <c r="A148" s="58" t="s">
        <v>33</v>
      </c>
      <c r="B148" s="26">
        <f>SUM(D138:D139)</f>
        <v>413.25</v>
      </c>
      <c r="C148" s="26">
        <f>SUM(D141,D143)</f>
        <v>0.11288700000000002</v>
      </c>
      <c r="D148" s="52"/>
      <c r="E148" s="217">
        <v>0</v>
      </c>
      <c r="F148" s="61"/>
      <c r="H148" s="15"/>
    </row>
    <row r="149" spans="1:38" ht="16.5" customHeight="1" x14ac:dyDescent="0.75">
      <c r="A149" s="58" t="s">
        <v>499</v>
      </c>
      <c r="B149" s="26">
        <f>SUM(E138:E139)</f>
        <v>2.0049501190000001</v>
      </c>
      <c r="C149" s="26">
        <f>SUM(E140:E143)</f>
        <v>5.247684161427599E-4</v>
      </c>
      <c r="D149" s="52"/>
      <c r="E149" s="217">
        <v>0</v>
      </c>
      <c r="F149" s="61"/>
      <c r="H149" s="15"/>
    </row>
    <row r="150" spans="1:38" ht="16.75" x14ac:dyDescent="0.95">
      <c r="A150" s="58" t="s">
        <v>500</v>
      </c>
      <c r="B150" s="26">
        <f>SUM(F138:F139)</f>
        <v>0.20536666666666664</v>
      </c>
      <c r="C150" s="52"/>
      <c r="D150" s="52"/>
      <c r="E150" s="217">
        <v>0</v>
      </c>
      <c r="F150" s="54"/>
      <c r="H150" s="15"/>
    </row>
    <row r="151" spans="1:38" ht="16.75" x14ac:dyDescent="0.95">
      <c r="A151" s="58" t="s">
        <v>501</v>
      </c>
      <c r="B151" s="217">
        <f>+B150</f>
        <v>0.20536666666666664</v>
      </c>
      <c r="C151" s="52"/>
      <c r="D151" s="52"/>
      <c r="E151" s="52"/>
      <c r="F151" s="54"/>
      <c r="H151" s="39"/>
    </row>
    <row r="152" spans="1:38" x14ac:dyDescent="0.75">
      <c r="A152" s="58" t="s">
        <v>512</v>
      </c>
      <c r="B152" s="52"/>
      <c r="C152" s="62"/>
      <c r="D152" s="62"/>
      <c r="E152" s="62"/>
      <c r="F152" s="234">
        <f>+G140</f>
        <v>8.6</v>
      </c>
      <c r="H152" s="39"/>
    </row>
    <row r="153" spans="1:38" x14ac:dyDescent="0.75">
      <c r="A153" s="64" t="s">
        <v>65</v>
      </c>
      <c r="B153" s="145"/>
      <c r="C153" s="36">
        <f>D140</f>
        <v>1.8096880000000001E-3</v>
      </c>
      <c r="D153" s="52"/>
      <c r="E153" s="217">
        <v>0</v>
      </c>
      <c r="F153" s="54"/>
      <c r="H153" s="15"/>
    </row>
    <row r="154" spans="1:38" x14ac:dyDescent="0.75">
      <c r="A154" s="58" t="s">
        <v>66</v>
      </c>
      <c r="B154" s="217">
        <v>0</v>
      </c>
      <c r="C154" s="25">
        <f>D142</f>
        <v>6.1920000000000013E-3</v>
      </c>
      <c r="D154" s="52"/>
      <c r="E154" s="240">
        <v>0</v>
      </c>
      <c r="F154" s="54"/>
      <c r="H154" s="15"/>
    </row>
    <row r="155" spans="1:38" ht="15" customHeight="1" thickBot="1" x14ac:dyDescent="0.9">
      <c r="A155" s="66" t="s">
        <v>67</v>
      </c>
      <c r="B155" s="146"/>
      <c r="C155" s="146"/>
      <c r="D155" s="44">
        <f>D144</f>
        <v>9.6406000000000006E-2</v>
      </c>
      <c r="E155" s="146"/>
      <c r="F155" s="216"/>
      <c r="H155" s="15"/>
    </row>
    <row r="156" spans="1:38" ht="15" customHeight="1" thickBot="1" x14ac:dyDescent="0.9">
      <c r="A156" s="15"/>
      <c r="B156" s="15"/>
      <c r="C156" s="15"/>
      <c r="D156" s="15"/>
      <c r="E156" s="15"/>
      <c r="F156" s="15"/>
      <c r="G156" s="15"/>
      <c r="H156" s="15"/>
    </row>
    <row r="157" spans="1:38" x14ac:dyDescent="0.75">
      <c r="A157" s="276" t="s">
        <v>68</v>
      </c>
      <c r="B157" s="267"/>
      <c r="C157" s="267"/>
      <c r="D157" s="267"/>
      <c r="E157" s="267"/>
      <c r="F157" s="267"/>
      <c r="G157" s="267"/>
      <c r="H157" s="268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  <c r="AH157" s="15"/>
      <c r="AI157" s="15"/>
      <c r="AJ157" s="15"/>
      <c r="AK157" s="15"/>
      <c r="AL157" s="15"/>
    </row>
    <row r="158" spans="1:38" ht="15.5" customHeight="1" thickBot="1" x14ac:dyDescent="0.9">
      <c r="A158" s="289" t="s">
        <v>69</v>
      </c>
      <c r="B158" s="290" t="s">
        <v>503</v>
      </c>
      <c r="C158" s="290" t="s">
        <v>504</v>
      </c>
      <c r="D158" s="290" t="s">
        <v>505</v>
      </c>
      <c r="E158" s="290" t="s">
        <v>506</v>
      </c>
      <c r="F158" s="290" t="s">
        <v>507</v>
      </c>
      <c r="G158" s="290" t="s">
        <v>508</v>
      </c>
      <c r="H158" s="291" t="s">
        <v>76</v>
      </c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5"/>
      <c r="AH158" s="15"/>
      <c r="AI158" s="15"/>
      <c r="AJ158" s="15"/>
      <c r="AK158" s="15"/>
      <c r="AL158" s="15"/>
    </row>
    <row r="159" spans="1:38" ht="15" customHeight="1" thickBot="1" x14ac:dyDescent="0.9">
      <c r="A159" s="109" t="s">
        <v>77</v>
      </c>
      <c r="B159" s="70">
        <f>Assumptions!B13</f>
        <v>79.3</v>
      </c>
      <c r="C159" s="70">
        <f>Assumptions!C13</f>
        <v>162</v>
      </c>
      <c r="D159" s="70">
        <f>Assumptions!D13</f>
        <v>96</v>
      </c>
      <c r="E159" s="70">
        <f>Assumptions!E13</f>
        <v>0.21</v>
      </c>
      <c r="F159" s="70">
        <f>Assumptions!F13</f>
        <v>0.93</v>
      </c>
      <c r="G159" s="70">
        <f>Assumptions!G13</f>
        <v>0.3</v>
      </c>
      <c r="H159" s="210">
        <f>Assumptions!H13</f>
        <v>0.94</v>
      </c>
    </row>
    <row r="160" spans="1:38" ht="15" customHeight="1" thickBot="1" x14ac:dyDescent="0.9">
      <c r="A160" s="15"/>
      <c r="B160" s="15"/>
      <c r="C160" s="15"/>
      <c r="D160" s="15"/>
      <c r="E160" s="15"/>
      <c r="F160" s="15"/>
      <c r="G160" s="15"/>
      <c r="H160" s="15"/>
    </row>
    <row r="161" spans="1:38" x14ac:dyDescent="0.75">
      <c r="A161" s="81" t="s">
        <v>78</v>
      </c>
      <c r="B161" s="72">
        <v>1</v>
      </c>
      <c r="C161" s="15"/>
      <c r="D161" s="15"/>
      <c r="E161" s="15"/>
      <c r="F161" s="15"/>
      <c r="G161" s="15"/>
      <c r="H161" s="15"/>
    </row>
    <row r="162" spans="1:38" ht="15" customHeight="1" thickBot="1" x14ac:dyDescent="0.9">
      <c r="A162" s="82" t="s">
        <v>481</v>
      </c>
      <c r="B162" s="74">
        <f>B161*86</f>
        <v>86</v>
      </c>
      <c r="C162" s="15"/>
      <c r="D162" s="15"/>
      <c r="E162" s="15"/>
      <c r="F162" s="15"/>
      <c r="G162" s="15"/>
      <c r="H162" s="15"/>
    </row>
    <row r="163" spans="1:38" ht="15" customHeight="1" thickBot="1" x14ac:dyDescent="0.9">
      <c r="B163" s="15"/>
      <c r="C163" s="15"/>
      <c r="D163" s="15"/>
      <c r="E163" s="15"/>
      <c r="F163" s="15"/>
      <c r="G163" s="15"/>
      <c r="H163" s="15"/>
    </row>
    <row r="164" spans="1:38" ht="17" customHeight="1" thickBot="1" x14ac:dyDescent="1.1000000000000001">
      <c r="A164" s="292" t="s">
        <v>80</v>
      </c>
      <c r="B164" s="293" t="s">
        <v>502</v>
      </c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5"/>
      <c r="AH164" s="15"/>
      <c r="AI164" s="15"/>
      <c r="AJ164" s="15"/>
      <c r="AK164" s="15"/>
      <c r="AL164" s="15"/>
    </row>
    <row r="165" spans="1:38" x14ac:dyDescent="0.75">
      <c r="A165" s="83" t="s">
        <v>60</v>
      </c>
      <c r="B165" s="235">
        <f>B148+(B149*B159)+(B150*C159)+(B151*D159)+(B154*G159)</f>
        <v>625.22714443669997</v>
      </c>
      <c r="C165" s="15"/>
      <c r="D165" s="15"/>
      <c r="E165" s="15"/>
      <c r="F165" s="15"/>
      <c r="G165" s="15"/>
      <c r="H165" s="15"/>
    </row>
    <row r="166" spans="1:38" x14ac:dyDescent="0.75">
      <c r="A166" s="83" t="s">
        <v>516</v>
      </c>
      <c r="B166" s="235">
        <f>+F152*H159</f>
        <v>8.0839999999999996</v>
      </c>
      <c r="C166" s="15"/>
      <c r="D166" s="15"/>
      <c r="E166" s="15"/>
      <c r="F166" s="15"/>
      <c r="G166" s="15"/>
      <c r="H166" s="15"/>
    </row>
    <row r="167" spans="1:38" x14ac:dyDescent="0.75">
      <c r="A167" s="83" t="s">
        <v>82</v>
      </c>
      <c r="B167" s="236">
        <f>C148+(C149*B159)+(C153*E159)+(C154*G159)</f>
        <v>0.15673876988012087</v>
      </c>
      <c r="C167" s="15"/>
      <c r="D167" s="15"/>
      <c r="E167" s="15"/>
      <c r="F167" s="15"/>
      <c r="G167" s="15"/>
      <c r="H167" s="15"/>
    </row>
    <row r="168" spans="1:38" x14ac:dyDescent="0.75">
      <c r="A168" s="83" t="s">
        <v>83</v>
      </c>
      <c r="B168" s="236">
        <f>(D155*F159)</f>
        <v>8.9657580000000014E-2</v>
      </c>
      <c r="C168" s="15"/>
      <c r="D168" s="15"/>
      <c r="E168" s="15"/>
      <c r="F168" s="15"/>
      <c r="G168" s="15"/>
      <c r="H168" s="15"/>
    </row>
    <row r="169" spans="1:38" x14ac:dyDescent="0.75">
      <c r="A169" s="84" t="s">
        <v>84</v>
      </c>
      <c r="B169" s="237">
        <f>+E148+E149*B159+E150*C159-E153*E159+E154*G159</f>
        <v>0</v>
      </c>
      <c r="C169" s="15"/>
      <c r="D169" s="15"/>
      <c r="E169" s="15"/>
      <c r="F169" s="15"/>
      <c r="G169" s="15"/>
      <c r="H169" s="15"/>
    </row>
    <row r="170" spans="1:38" ht="17" customHeight="1" thickBot="1" x14ac:dyDescent="1.1000000000000001">
      <c r="A170" s="85" t="s">
        <v>537</v>
      </c>
      <c r="B170" s="238">
        <f>B165+B166+B167+B168-B169</f>
        <v>633.55754078658003</v>
      </c>
      <c r="C170" s="15"/>
      <c r="D170" s="15"/>
      <c r="E170" s="15"/>
      <c r="F170" s="15"/>
      <c r="G170" s="15"/>
      <c r="H170" s="15"/>
    </row>
    <row r="171" spans="1:38" x14ac:dyDescent="0.75">
      <c r="A171" s="15"/>
      <c r="B171" s="15"/>
      <c r="C171" s="15"/>
      <c r="D171" s="15"/>
      <c r="E171" s="15"/>
      <c r="F171" s="15"/>
      <c r="G171" s="15"/>
      <c r="H171" s="15"/>
    </row>
    <row r="172" spans="1:38" x14ac:dyDescent="0.75">
      <c r="A172" s="362"/>
      <c r="B172" s="363"/>
      <c r="C172" s="363"/>
      <c r="D172" s="363"/>
      <c r="E172" s="363"/>
      <c r="F172" s="363"/>
      <c r="G172" s="363"/>
      <c r="H172" s="363"/>
    </row>
    <row r="173" spans="1:38" ht="15" customHeight="1" thickBot="1" x14ac:dyDescent="0.9"/>
    <row r="174" spans="1:38" x14ac:dyDescent="0.75">
      <c r="A174" s="294" t="s">
        <v>236</v>
      </c>
      <c r="B174" s="29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5"/>
      <c r="AH174" s="15"/>
      <c r="AI174" s="15"/>
      <c r="AJ174" s="15"/>
      <c r="AK174" s="15"/>
      <c r="AL174" s="15"/>
    </row>
    <row r="175" spans="1:38" ht="17" customHeight="1" thickBot="1" x14ac:dyDescent="0.9">
      <c r="A175" s="296" t="s">
        <v>80</v>
      </c>
      <c r="B175" s="244" t="s">
        <v>81</v>
      </c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5"/>
      <c r="AH175" s="15"/>
      <c r="AI175" s="15"/>
      <c r="AJ175" s="15"/>
      <c r="AK175" s="15"/>
      <c r="AL175" s="15"/>
    </row>
    <row r="176" spans="1:38" x14ac:dyDescent="0.75">
      <c r="A176" s="83" t="s">
        <v>60</v>
      </c>
      <c r="B176" s="235">
        <f>B69+B165</f>
        <v>649.89211449416405</v>
      </c>
    </row>
    <row r="177" spans="1:18" x14ac:dyDescent="0.75">
      <c r="A177" s="83" t="s">
        <v>516</v>
      </c>
      <c r="B177" s="235">
        <f>B70+B166</f>
        <v>40.516197480194151</v>
      </c>
    </row>
    <row r="178" spans="1:18" x14ac:dyDescent="0.75">
      <c r="A178" s="83" t="s">
        <v>82</v>
      </c>
      <c r="B178" s="235">
        <f>B71+B167</f>
        <v>30.957266241373329</v>
      </c>
    </row>
    <row r="179" spans="1:18" x14ac:dyDescent="0.75">
      <c r="A179" s="83" t="s">
        <v>83</v>
      </c>
      <c r="B179" s="235">
        <f>B72+B168</f>
        <v>0.24769675073092576</v>
      </c>
    </row>
    <row r="180" spans="1:18" x14ac:dyDescent="0.75">
      <c r="A180" s="84" t="s">
        <v>84</v>
      </c>
      <c r="B180" s="239">
        <f>B73+B169</f>
        <v>32.798063263034358</v>
      </c>
    </row>
    <row r="181" spans="1:18" ht="17" customHeight="1" thickBot="1" x14ac:dyDescent="1.1000000000000001">
      <c r="A181" s="85" t="s">
        <v>536</v>
      </c>
      <c r="B181" s="238">
        <f>B176+B177+B178+B179-B180</f>
        <v>688.81521170342808</v>
      </c>
    </row>
    <row r="182" spans="1:18" x14ac:dyDescent="0.75">
      <c r="A182" s="15"/>
      <c r="B182" s="15"/>
      <c r="C182" s="15"/>
      <c r="D182" s="15"/>
      <c r="E182" s="15"/>
      <c r="F182" s="15"/>
      <c r="G182" s="15"/>
      <c r="H182" s="15"/>
    </row>
    <row r="183" spans="1:18" x14ac:dyDescent="0.75">
      <c r="A183" s="362"/>
      <c r="B183" s="363"/>
      <c r="C183" s="363"/>
      <c r="D183" s="363"/>
      <c r="E183" s="363"/>
      <c r="F183" s="363"/>
      <c r="G183" s="363"/>
      <c r="H183" s="363"/>
    </row>
    <row r="184" spans="1:18" ht="15" customHeight="1" thickBot="1" x14ac:dyDescent="0.9"/>
    <row r="185" spans="1:18" x14ac:dyDescent="0.75">
      <c r="A185" s="312" t="s">
        <v>546</v>
      </c>
      <c r="B185" s="313"/>
      <c r="C185" s="313"/>
      <c r="D185" s="313"/>
      <c r="E185" s="313"/>
      <c r="F185" s="313"/>
      <c r="G185" s="313"/>
      <c r="H185" s="313"/>
      <c r="I185" s="313"/>
      <c r="J185" s="313"/>
      <c r="K185" s="313"/>
      <c r="L185" s="313"/>
      <c r="M185" s="313"/>
      <c r="N185" s="313"/>
      <c r="O185" s="313"/>
      <c r="P185" s="313"/>
      <c r="Q185" s="313"/>
      <c r="R185" s="295"/>
    </row>
    <row r="186" spans="1:18" x14ac:dyDescent="0.75">
      <c r="A186" s="314"/>
      <c r="B186" s="389" t="s">
        <v>344</v>
      </c>
      <c r="C186" s="389"/>
      <c r="D186" s="389"/>
      <c r="E186" s="390"/>
      <c r="F186" s="391" t="s">
        <v>543</v>
      </c>
      <c r="G186" s="389"/>
      <c r="H186" s="389"/>
      <c r="I186" s="389"/>
      <c r="J186" s="391" t="s">
        <v>544</v>
      </c>
      <c r="K186" s="389"/>
      <c r="L186" s="389"/>
      <c r="M186" s="389"/>
      <c r="N186" s="391" t="s">
        <v>545</v>
      </c>
      <c r="O186" s="389"/>
      <c r="P186" s="389"/>
      <c r="Q186" s="389"/>
      <c r="R186" s="392"/>
    </row>
    <row r="187" spans="1:18" ht="15.5" thickBot="1" x14ac:dyDescent="0.9">
      <c r="A187" s="315"/>
      <c r="B187" s="246" t="s">
        <v>60</v>
      </c>
      <c r="C187" s="243" t="s">
        <v>42</v>
      </c>
      <c r="D187" s="243" t="s">
        <v>47</v>
      </c>
      <c r="E187" s="243" t="s">
        <v>56</v>
      </c>
      <c r="F187" s="242" t="s">
        <v>60</v>
      </c>
      <c r="G187" s="243" t="s">
        <v>42</v>
      </c>
      <c r="H187" s="243" t="s">
        <v>47</v>
      </c>
      <c r="I187" s="243" t="s">
        <v>56</v>
      </c>
      <c r="J187" s="242" t="s">
        <v>60</v>
      </c>
      <c r="K187" s="243" t="s">
        <v>42</v>
      </c>
      <c r="L187" s="243" t="s">
        <v>47</v>
      </c>
      <c r="M187" s="243" t="s">
        <v>56</v>
      </c>
      <c r="N187" s="242" t="s">
        <v>60</v>
      </c>
      <c r="O187" s="246" t="s">
        <v>516</v>
      </c>
      <c r="P187" s="243" t="s">
        <v>42</v>
      </c>
      <c r="Q187" s="243" t="s">
        <v>47</v>
      </c>
      <c r="R187" s="244" t="s">
        <v>56</v>
      </c>
    </row>
    <row r="188" spans="1:18" x14ac:dyDescent="0.75">
      <c r="A188" s="336" t="s">
        <v>554</v>
      </c>
      <c r="B188" s="26">
        <f>D33</f>
        <v>1.3825423199999999E-2</v>
      </c>
      <c r="C188" s="15"/>
      <c r="D188" s="15"/>
      <c r="E188" s="341"/>
      <c r="F188" s="348">
        <f>E33</f>
        <v>7.4585973E-6</v>
      </c>
      <c r="G188" s="105"/>
      <c r="H188" s="105"/>
      <c r="I188" s="338"/>
      <c r="J188" s="339"/>
      <c r="K188" s="116"/>
      <c r="L188" s="116"/>
      <c r="M188" s="338"/>
      <c r="N188" s="339"/>
      <c r="O188" s="116"/>
      <c r="P188" s="116"/>
      <c r="Q188" s="116"/>
      <c r="R188" s="87"/>
    </row>
    <row r="189" spans="1:18" x14ac:dyDescent="0.75">
      <c r="A189" s="336" t="s">
        <v>541</v>
      </c>
      <c r="B189" s="26">
        <f>D32</f>
        <v>3.4018333333333338E-2</v>
      </c>
      <c r="C189" s="15"/>
      <c r="D189" s="15"/>
      <c r="E189" s="343"/>
      <c r="F189" s="350">
        <f>E32</f>
        <v>1.0735999999999999E-4</v>
      </c>
      <c r="G189" s="15"/>
      <c r="H189" s="15"/>
      <c r="I189" s="227"/>
      <c r="J189" s="241"/>
      <c r="M189" s="227"/>
      <c r="N189" s="241"/>
      <c r="R189" s="3"/>
    </row>
    <row r="190" spans="1:18" x14ac:dyDescent="0.75">
      <c r="A190" s="336" t="s">
        <v>547</v>
      </c>
      <c r="B190" s="26">
        <f>D31+D138</f>
        <v>412.01249999999999</v>
      </c>
      <c r="C190" s="15"/>
      <c r="D190" s="15"/>
      <c r="E190" s="343"/>
      <c r="F190" s="350">
        <f>E31+E138</f>
        <v>2.0000654999999998</v>
      </c>
      <c r="G190" s="15"/>
      <c r="H190" s="15"/>
      <c r="I190" s="227"/>
      <c r="J190" s="245">
        <f>F31+F138</f>
        <v>0.20500549999999998</v>
      </c>
      <c r="M190" s="227"/>
      <c r="N190" s="241"/>
      <c r="R190" s="3"/>
    </row>
    <row r="191" spans="1:18" x14ac:dyDescent="0.75">
      <c r="A191" s="336" t="s">
        <v>37</v>
      </c>
      <c r="B191" s="26">
        <f>D30</f>
        <v>0.24299999999999999</v>
      </c>
      <c r="C191" s="15"/>
      <c r="D191" s="15"/>
      <c r="E191" s="343"/>
      <c r="F191" s="350">
        <f>E30</f>
        <v>8.9999999999999992E-5</v>
      </c>
      <c r="G191" s="15"/>
      <c r="H191" s="15"/>
      <c r="I191" s="227"/>
      <c r="J191" s="245">
        <f>F30</f>
        <v>5.0700000000000002E-2</v>
      </c>
      <c r="M191" s="227"/>
      <c r="N191" s="241"/>
      <c r="R191" s="3"/>
    </row>
    <row r="192" spans="1:18" x14ac:dyDescent="0.75">
      <c r="A192" s="336" t="s">
        <v>36</v>
      </c>
      <c r="B192" s="26">
        <f>D29</f>
        <v>3.2607899999999987</v>
      </c>
      <c r="C192" s="15"/>
      <c r="D192" s="15"/>
      <c r="E192" s="343"/>
      <c r="F192" s="350">
        <f>E29</f>
        <v>3.6230999999999992E-2</v>
      </c>
      <c r="G192" s="15"/>
      <c r="H192" s="15"/>
      <c r="I192" s="227"/>
      <c r="J192" s="245">
        <f>F29</f>
        <v>1.9741249999999995E-2</v>
      </c>
      <c r="M192" s="227"/>
      <c r="N192" s="241"/>
      <c r="R192" s="3"/>
    </row>
    <row r="193" spans="1:18" x14ac:dyDescent="0.75">
      <c r="A193" s="336" t="s">
        <v>571</v>
      </c>
      <c r="B193" s="15"/>
      <c r="C193" s="26">
        <f>C37*Assumptions!B7</f>
        <v>0.1475072</v>
      </c>
      <c r="D193" s="15"/>
      <c r="E193" s="343"/>
      <c r="F193" s="149"/>
      <c r="G193" s="26">
        <f>D37*Assumptions!B7</f>
        <v>4.1033127046699689E-9</v>
      </c>
      <c r="H193" s="15"/>
      <c r="I193" s="227"/>
      <c r="J193" s="241"/>
      <c r="M193" s="227"/>
      <c r="N193" s="241"/>
      <c r="O193" s="51">
        <f>F37*Assumptions!B7</f>
        <v>2.2400000000000002</v>
      </c>
      <c r="R193" s="3"/>
    </row>
    <row r="194" spans="1:18" x14ac:dyDescent="0.75">
      <c r="A194" s="336" t="s">
        <v>44</v>
      </c>
      <c r="B194" s="26"/>
      <c r="C194" s="26">
        <f>C38*Assumptions!B7</f>
        <v>57.777761342488979</v>
      </c>
      <c r="D194" s="26">
        <f>(C43*Assumptions!B7)+D142</f>
        <v>48.891485641912503</v>
      </c>
      <c r="E194" s="344"/>
      <c r="F194" s="350"/>
      <c r="G194" s="26">
        <f>(D38*Assumptions!B7)+E142</f>
        <v>5.7783953342488981E-2</v>
      </c>
      <c r="H194" s="26">
        <f>D43*Assumptions!B7</f>
        <v>4.8885293641912506E-2</v>
      </c>
      <c r="I194" s="221"/>
      <c r="J194" s="245"/>
      <c r="K194" s="51"/>
      <c r="L194" s="51"/>
      <c r="M194" s="221"/>
      <c r="N194" s="245"/>
      <c r="O194" s="51">
        <f>F38*Assumptions!B7</f>
        <v>4.5919649604927594E-2</v>
      </c>
      <c r="P194" s="51"/>
      <c r="Q194" s="51"/>
      <c r="R194" s="234"/>
    </row>
    <row r="195" spans="1:18" x14ac:dyDescent="0.75">
      <c r="A195" s="336" t="s">
        <v>557</v>
      </c>
      <c r="B195" s="26"/>
      <c r="C195" s="26">
        <f>C39*Assumptions!B7</f>
        <v>2.2177415913700971</v>
      </c>
      <c r="D195" s="26"/>
      <c r="E195" s="344"/>
      <c r="F195" s="350"/>
      <c r="G195" s="26"/>
      <c r="H195" s="26"/>
      <c r="I195" s="221"/>
      <c r="J195" s="245"/>
      <c r="K195" s="51"/>
      <c r="L195" s="51"/>
      <c r="M195" s="221"/>
      <c r="N195" s="245"/>
      <c r="O195" s="51">
        <f>F39*Assumptions!B7</f>
        <v>9.3906321214988112E-2</v>
      </c>
      <c r="P195" s="51"/>
      <c r="Q195" s="51"/>
      <c r="R195" s="234"/>
    </row>
    <row r="196" spans="1:18" x14ac:dyDescent="0.75">
      <c r="A196" s="336" t="s">
        <v>46</v>
      </c>
      <c r="B196" s="26"/>
      <c r="C196" s="26">
        <f>C40*Assumptions!B7</f>
        <v>0.24908221046117321</v>
      </c>
      <c r="D196" s="26"/>
      <c r="E196" s="344"/>
      <c r="F196" s="350"/>
      <c r="G196" s="26">
        <f>D40*Assumptions!B7</f>
        <v>0.13685835739624902</v>
      </c>
      <c r="H196" s="26"/>
      <c r="I196" s="221"/>
      <c r="J196" s="245"/>
      <c r="K196" s="51"/>
      <c r="L196" s="51"/>
      <c r="M196" s="221"/>
      <c r="N196" s="245"/>
      <c r="O196" s="51">
        <f>(F40/5)*Assumptions!B7</f>
        <v>32.0565</v>
      </c>
      <c r="P196" s="51"/>
      <c r="Q196" s="51"/>
      <c r="R196" s="234"/>
    </row>
    <row r="197" spans="1:18" x14ac:dyDescent="0.75">
      <c r="A197" s="336" t="s">
        <v>48</v>
      </c>
      <c r="B197" s="26"/>
      <c r="C197" s="26"/>
      <c r="D197" s="26">
        <f>C42*Assumptions!B7</f>
        <v>0.18110837358765683</v>
      </c>
      <c r="E197" s="344"/>
      <c r="F197" s="350"/>
      <c r="G197" s="26"/>
      <c r="H197" s="26">
        <f>D42*Assumptions!B7</f>
        <v>0.13931413352896679</v>
      </c>
      <c r="I197" s="221"/>
      <c r="J197" s="245"/>
      <c r="K197" s="51"/>
      <c r="L197" s="51"/>
      <c r="M197" s="221"/>
      <c r="N197" s="245"/>
      <c r="O197" s="51"/>
      <c r="P197" s="51"/>
      <c r="Q197" s="51"/>
      <c r="R197" s="234"/>
    </row>
    <row r="198" spans="1:18" x14ac:dyDescent="0.75">
      <c r="A198" s="336" t="s">
        <v>50</v>
      </c>
      <c r="B198" s="26"/>
      <c r="C198" s="26"/>
      <c r="D198" s="26">
        <f>C45*Assumptions!B7</f>
        <v>4.3000000000000004E-4</v>
      </c>
      <c r="E198" s="344"/>
      <c r="F198" s="350"/>
      <c r="G198" s="26"/>
      <c r="H198" s="26"/>
      <c r="I198" s="221"/>
      <c r="J198" s="245"/>
      <c r="K198" s="51"/>
      <c r="L198" s="51"/>
      <c r="M198" s="221"/>
      <c r="N198" s="245"/>
      <c r="O198" s="51"/>
      <c r="P198" s="51"/>
      <c r="Q198" s="51"/>
      <c r="R198" s="234"/>
    </row>
    <row r="199" spans="1:18" x14ac:dyDescent="0.75">
      <c r="A199" s="336" t="s">
        <v>140</v>
      </c>
      <c r="B199" s="26"/>
      <c r="C199" s="26"/>
      <c r="D199" s="26">
        <f>C46*Assumptions!B7</f>
        <v>1.4333333333333333</v>
      </c>
      <c r="E199" s="344"/>
      <c r="F199" s="350"/>
      <c r="G199" s="26"/>
      <c r="H199" s="26">
        <f>D46*Assumptions!B7</f>
        <v>2.388888888888889E-2</v>
      </c>
      <c r="I199" s="221"/>
      <c r="J199" s="245"/>
      <c r="K199" s="51"/>
      <c r="L199" s="51"/>
      <c r="M199" s="221"/>
      <c r="N199" s="245"/>
      <c r="O199" s="51">
        <f>F45*Assumptions!B7</f>
        <v>6.6011774067480489E-2</v>
      </c>
      <c r="P199" s="51"/>
      <c r="Q199" s="51"/>
      <c r="R199" s="234"/>
    </row>
    <row r="200" spans="1:18" x14ac:dyDescent="0.75">
      <c r="A200" s="336" t="s">
        <v>57</v>
      </c>
      <c r="B200" s="26"/>
      <c r="C200" s="26"/>
      <c r="D200" s="26"/>
      <c r="E200" s="344">
        <f>(C48+C46)*Assumptions!B7</f>
        <v>1.6032679255171245</v>
      </c>
      <c r="F200" s="350"/>
      <c r="G200" s="26"/>
      <c r="H200" s="26"/>
      <c r="I200" s="221">
        <f>(D48+D46)*Assumptions!B7</f>
        <v>2.6721132091952073E-2</v>
      </c>
      <c r="J200" s="245"/>
      <c r="K200" s="51"/>
      <c r="L200" s="51"/>
      <c r="M200" s="221"/>
      <c r="N200" s="245"/>
      <c r="O200" s="51"/>
      <c r="P200" s="51"/>
      <c r="Q200" s="51"/>
      <c r="R200" s="234"/>
    </row>
    <row r="201" spans="1:18" x14ac:dyDescent="0.75">
      <c r="A201" s="336" t="s">
        <v>423</v>
      </c>
      <c r="B201" s="26">
        <f>D139</f>
        <v>1.25</v>
      </c>
      <c r="C201" s="26"/>
      <c r="D201" s="26"/>
      <c r="E201" s="344"/>
      <c r="F201" s="350">
        <f>E139</f>
        <v>4.9501190000000002E-3</v>
      </c>
      <c r="G201" s="26"/>
      <c r="H201" s="26"/>
      <c r="I201" s="221"/>
      <c r="J201" s="245">
        <f>F139</f>
        <v>3.6666666666666667E-4</v>
      </c>
      <c r="K201" s="51"/>
      <c r="L201" s="51"/>
      <c r="M201" s="221"/>
      <c r="N201" s="245"/>
      <c r="O201" s="51"/>
      <c r="P201" s="51"/>
      <c r="Q201" s="51"/>
      <c r="R201" s="234"/>
    </row>
    <row r="202" spans="1:18" x14ac:dyDescent="0.75">
      <c r="A202" s="336" t="s">
        <v>479</v>
      </c>
      <c r="B202" s="26"/>
      <c r="C202" s="26">
        <f>D140</f>
        <v>1.8096880000000001E-3</v>
      </c>
      <c r="D202" s="26"/>
      <c r="E202" s="344"/>
      <c r="F202" s="350"/>
      <c r="G202" s="26">
        <f>E140</f>
        <v>4.7500880922277672E-6</v>
      </c>
      <c r="H202" s="26"/>
      <c r="I202" s="221"/>
      <c r="J202" s="245"/>
      <c r="K202" s="51"/>
      <c r="L202" s="51"/>
      <c r="M202" s="221"/>
      <c r="N202" s="245"/>
      <c r="O202" s="51">
        <f>G140</f>
        <v>8.6</v>
      </c>
      <c r="P202" s="51"/>
      <c r="Q202" s="51"/>
      <c r="R202" s="234"/>
    </row>
    <row r="203" spans="1:18" x14ac:dyDescent="0.75">
      <c r="A203" s="336" t="s">
        <v>480</v>
      </c>
      <c r="B203" s="26"/>
      <c r="C203" s="26">
        <f>D141</f>
        <v>1.6481000000000003E-2</v>
      </c>
      <c r="D203" s="26"/>
      <c r="E203" s="344"/>
      <c r="F203" s="350"/>
      <c r="G203" s="26">
        <f t="shared" ref="G203" si="1">E141</f>
        <v>1.0531875211894423E-4</v>
      </c>
      <c r="H203" s="26"/>
      <c r="I203" s="221"/>
      <c r="J203" s="245"/>
      <c r="K203" s="51"/>
      <c r="L203" s="51"/>
      <c r="M203" s="221"/>
      <c r="N203" s="245"/>
      <c r="O203" s="51"/>
      <c r="P203" s="51"/>
      <c r="Q203" s="51"/>
      <c r="R203" s="234"/>
    </row>
    <row r="204" spans="1:18" ht="15.5" thickBot="1" x14ac:dyDescent="0.9">
      <c r="A204" s="337" t="s">
        <v>477</v>
      </c>
      <c r="B204" s="44"/>
      <c r="C204" s="44">
        <f>D143</f>
        <v>9.6406000000000006E-2</v>
      </c>
      <c r="D204" s="44"/>
      <c r="E204" s="352">
        <f>D144</f>
        <v>9.6406000000000006E-2</v>
      </c>
      <c r="F204" s="354"/>
      <c r="G204" s="44">
        <f>E143</f>
        <v>4.0850757593158797E-4</v>
      </c>
      <c r="H204" s="248"/>
      <c r="I204" s="44">
        <f>E144</f>
        <v>4.0850757593158797E-4</v>
      </c>
      <c r="J204" s="356"/>
      <c r="K204" s="248"/>
      <c r="L204" s="248"/>
      <c r="M204" s="357"/>
      <c r="N204" s="356"/>
      <c r="O204" s="248"/>
      <c r="P204" s="248"/>
      <c r="Q204" s="248"/>
      <c r="R204" s="358"/>
    </row>
    <row r="205" spans="1:18" x14ac:dyDescent="0.75">
      <c r="A205" s="15"/>
      <c r="B205" s="15"/>
      <c r="C205" s="15"/>
      <c r="D205" s="15"/>
      <c r="E205" s="15"/>
      <c r="F205" s="15"/>
      <c r="G205" s="15"/>
      <c r="H205" s="15"/>
    </row>
    <row r="206" spans="1:18" x14ac:dyDescent="0.75">
      <c r="A206" s="15"/>
      <c r="B206" s="15"/>
      <c r="C206" s="15"/>
      <c r="D206" s="15"/>
      <c r="E206" s="15"/>
      <c r="F206" s="15"/>
      <c r="G206" s="15"/>
      <c r="H206" s="15"/>
    </row>
    <row r="207" spans="1:18" x14ac:dyDescent="0.75">
      <c r="A207" s="15"/>
      <c r="B207" s="15"/>
      <c r="C207" s="15"/>
      <c r="D207" s="15"/>
      <c r="E207" s="15"/>
      <c r="F207" s="15"/>
      <c r="G207" s="15"/>
      <c r="H207" s="15"/>
    </row>
    <row r="208" spans="1:18" x14ac:dyDescent="0.75">
      <c r="A208" s="15"/>
      <c r="B208" s="15"/>
      <c r="C208" s="15"/>
      <c r="D208" s="15"/>
      <c r="E208" s="15"/>
      <c r="F208" s="15"/>
      <c r="G208" s="15"/>
      <c r="H208" s="15"/>
    </row>
    <row r="209" spans="1:8" x14ac:dyDescent="0.75">
      <c r="A209" s="15"/>
      <c r="B209" s="15"/>
      <c r="C209" s="15"/>
      <c r="D209" s="15"/>
      <c r="E209" s="15"/>
      <c r="F209" s="15"/>
      <c r="G209" s="15"/>
      <c r="H209" s="15"/>
    </row>
    <row r="210" spans="1:8" x14ac:dyDescent="0.75">
      <c r="A210" s="15"/>
      <c r="B210" s="15"/>
      <c r="C210" s="15"/>
      <c r="D210" s="15"/>
      <c r="E210" s="15"/>
      <c r="F210" s="15"/>
      <c r="G210" s="15"/>
      <c r="H210" s="15"/>
    </row>
    <row r="211" spans="1:8" x14ac:dyDescent="0.75">
      <c r="A211" s="15"/>
      <c r="B211" s="15"/>
      <c r="C211" s="15"/>
      <c r="D211" s="15"/>
      <c r="E211" s="15"/>
      <c r="F211" s="15"/>
      <c r="G211" s="15"/>
      <c r="H211" s="15"/>
    </row>
    <row r="212" spans="1:8" x14ac:dyDescent="0.75">
      <c r="A212" s="15"/>
      <c r="B212" s="15"/>
      <c r="C212" s="15"/>
      <c r="D212" s="15"/>
      <c r="E212" s="15"/>
      <c r="F212" s="15"/>
      <c r="G212" s="15"/>
      <c r="H212" s="15"/>
    </row>
    <row r="213" spans="1:8" x14ac:dyDescent="0.75">
      <c r="A213" s="15"/>
      <c r="B213" s="15"/>
      <c r="C213" s="15"/>
      <c r="D213" s="15"/>
      <c r="E213" s="15"/>
      <c r="F213" s="15"/>
      <c r="G213" s="15"/>
      <c r="H213" s="15"/>
    </row>
    <row r="214" spans="1:8" x14ac:dyDescent="0.75">
      <c r="A214" s="15"/>
      <c r="B214" s="15"/>
      <c r="C214" s="15"/>
      <c r="D214" s="15"/>
      <c r="E214" s="15"/>
      <c r="F214" s="15"/>
      <c r="G214" s="15"/>
      <c r="H214" s="15"/>
    </row>
  </sheetData>
  <mergeCells count="19">
    <mergeCell ref="A183:H183"/>
    <mergeCell ref="B186:E186"/>
    <mergeCell ref="F186:I186"/>
    <mergeCell ref="J186:M186"/>
    <mergeCell ref="N186:R186"/>
    <mergeCell ref="A172:H172"/>
    <mergeCell ref="A21:C21"/>
    <mergeCell ref="A45:A48"/>
    <mergeCell ref="A1:H1"/>
    <mergeCell ref="A31:A33"/>
    <mergeCell ref="A3:C3"/>
    <mergeCell ref="A35:B35"/>
    <mergeCell ref="F45:F46"/>
    <mergeCell ref="A77:C77"/>
    <mergeCell ref="A13:C13"/>
    <mergeCell ref="H29:H30"/>
    <mergeCell ref="A12:C12"/>
    <mergeCell ref="A29:A30"/>
    <mergeCell ref="A37:A43"/>
  </mergeCells>
  <pageMargins left="0.7" right="0.7" top="0.75" bottom="0.75" header="0.3" footer="0.3"/>
  <pageSetup orientation="portrait" horizontalDpi="1200" verticalDpi="1200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Assumptions</vt:lpstr>
      <vt:lpstr>FLOWN</vt:lpstr>
      <vt:lpstr>TRANSGENIC-LETTUCE</vt:lpstr>
      <vt:lpstr>TRANSGENIC-TOBACCO</vt:lpstr>
      <vt:lpstr>GENE GUN</vt:lpstr>
      <vt:lpstr>AGRO</vt:lpstr>
      <vt:lpstr>VIRAL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Karen McDonald</cp:lastModifiedBy>
  <dcterms:created xsi:type="dcterms:W3CDTF">2015-06-05T18:17:20Z</dcterms:created>
  <dcterms:modified xsi:type="dcterms:W3CDTF">2026-09-25T20:37:26Z</dcterms:modified>
</cp:coreProperties>
</file>