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omments2.xml" ContentType="application/vnd.openxmlformats-officedocument.spreadsheetml.comment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2.xml" ContentType="application/vnd.openxmlformats-officedocument.drawing+xml"/>
  <Override PartName="/xl/comments3.xml" ContentType="application/vnd.openxmlformats-officedocument.spreadsheetml.comments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drawings/drawing3.xml" ContentType="application/vnd.openxmlformats-officedocument.drawing+xml"/>
  <Override PartName="/xl/comments4.xml" ContentType="application/vnd.openxmlformats-officedocument.spreadsheetml.comments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drawings/drawing4.xml" ContentType="application/vnd.openxmlformats-officedocument.drawing+xml"/>
  <Override PartName="/xl/comments5.xml" ContentType="application/vnd.openxmlformats-officedocument.spreadsheetml.comments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drawings/drawing5.xml" ContentType="application/vnd.openxmlformats-officedocument.drawing+xml"/>
  <Override PartName="/xl/comments6.xml" ContentType="application/vnd.openxmlformats-officedocument.spreadsheetml.comments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drawings/drawing6.xml" ContentType="application/vnd.openxmlformats-officedocument.drawing+xml"/>
  <Override PartName="/xl/comments7.xml" ContentType="application/vnd.openxmlformats-officedocument.spreadsheetml.comments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api.box.com/wopi/files/2492008463128/WOPIServiceId_TP_BOX_2/WOPIUserId_-/"/>
    </mc:Choice>
  </mc:AlternateContent>
  <xr:revisionPtr revIDLastSave="58" documentId="8_{EE877243-810B-439D-9AF6-AC41393085AA}" xr6:coauthVersionLast="47" xr6:coauthVersionMax="47" xr10:uidLastSave="{46291D5D-BA5C-4504-B6B1-C9B4F68675BA}"/>
  <bookViews>
    <workbookView xWindow="-110" yWindow="-110" windowWidth="19420" windowHeight="10300" activeTab="1" xr2:uid="{00000000-000D-0000-FFFF-FFFF00000000}"/>
  </bookViews>
  <sheets>
    <sheet name="Assumptions" sheetId="1" r:id="rId1"/>
    <sheet name="FLOWN" sheetId="2" r:id="rId2"/>
    <sheet name="TRANSGENIC-LETTUCE" sheetId="3" r:id="rId3"/>
    <sheet name="TRANSGENIC-TOBACCO" sheetId="4" r:id="rId4"/>
    <sheet name="GENE GUN" sheetId="5" r:id="rId5"/>
    <sheet name="AGRO" sheetId="6" r:id="rId6"/>
    <sheet name="VIRAL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4" i="2" l="1"/>
  <c r="B161" i="7"/>
  <c r="B87" i="7"/>
  <c r="B65" i="7"/>
  <c r="B65" i="6"/>
  <c r="B71" i="5"/>
  <c r="B65" i="4"/>
  <c r="B71" i="3"/>
  <c r="B272" i="6"/>
  <c r="B68" i="6"/>
  <c r="B74" i="5"/>
  <c r="B191" i="5"/>
  <c r="B68" i="4"/>
  <c r="B74" i="3"/>
  <c r="B5" i="3"/>
  <c r="B5" i="5"/>
  <c r="C46" i="5" l="1"/>
  <c r="C46" i="3"/>
  <c r="C48" i="2"/>
  <c r="B13" i="2"/>
  <c r="F39" i="4"/>
  <c r="B100" i="7"/>
  <c r="C128" i="7" s="1"/>
  <c r="O88" i="4"/>
  <c r="H95" i="3"/>
  <c r="B6" i="5"/>
  <c r="B18" i="5" s="1"/>
  <c r="B114" i="6"/>
  <c r="C193" i="6" s="1"/>
  <c r="G141" i="5"/>
  <c r="B100" i="5"/>
  <c r="C141" i="5" s="1"/>
  <c r="O176" i="6"/>
  <c r="N176" i="6"/>
  <c r="F119" i="7"/>
  <c r="C132" i="7" s="1"/>
  <c r="D120" i="7"/>
  <c r="F120" i="7" s="1"/>
  <c r="B99" i="7"/>
  <c r="B97" i="7"/>
  <c r="C130" i="7"/>
  <c r="H68" i="3"/>
  <c r="B15" i="3"/>
  <c r="B17" i="3" s="1"/>
  <c r="B52" i="2"/>
  <c r="B6" i="1"/>
  <c r="H158" i="7"/>
  <c r="G158" i="7"/>
  <c r="F158" i="7"/>
  <c r="E158" i="7"/>
  <c r="D158" i="7"/>
  <c r="C158" i="7"/>
  <c r="B158" i="7"/>
  <c r="B168" i="7" s="1"/>
  <c r="B55" i="7"/>
  <c r="B55" i="6"/>
  <c r="H269" i="6"/>
  <c r="G269" i="6"/>
  <c r="F269" i="6"/>
  <c r="E269" i="6"/>
  <c r="D269" i="6"/>
  <c r="C269" i="6"/>
  <c r="B269" i="6"/>
  <c r="H188" i="5"/>
  <c r="G188" i="5"/>
  <c r="F188" i="5"/>
  <c r="E188" i="5"/>
  <c r="D188" i="5"/>
  <c r="C188" i="5"/>
  <c r="B188" i="5"/>
  <c r="B181" i="5"/>
  <c r="B55" i="4"/>
  <c r="B61" i="3" l="1"/>
  <c r="B14" i="4"/>
  <c r="B5" i="7"/>
  <c r="B4" i="7"/>
  <c r="B5" i="6"/>
  <c r="B5" i="4"/>
  <c r="E21" i="1"/>
  <c r="E20" i="1"/>
  <c r="E19" i="1"/>
  <c r="E18" i="1"/>
  <c r="E17" i="1"/>
  <c r="C44" i="7" l="1"/>
  <c r="C44" i="6"/>
  <c r="C44" i="4"/>
  <c r="D89" i="4" s="1"/>
  <c r="C33" i="2"/>
  <c r="C30" i="2"/>
  <c r="E30" i="2" s="1"/>
  <c r="D30" i="2"/>
  <c r="B22" i="2"/>
  <c r="C26" i="2" s="1"/>
  <c r="C32" i="2"/>
  <c r="B9" i="1"/>
  <c r="E129" i="7"/>
  <c r="F138" i="7" s="1"/>
  <c r="J200" i="7" s="1"/>
  <c r="C129" i="7"/>
  <c r="D138" i="7" s="1"/>
  <c r="B200" i="7" s="1"/>
  <c r="E128" i="7"/>
  <c r="D128" i="7"/>
  <c r="P124" i="7"/>
  <c r="O124" i="7"/>
  <c r="N124" i="7"/>
  <c r="Q124" i="7" s="1"/>
  <c r="P123" i="7"/>
  <c r="O123" i="7"/>
  <c r="Q123" i="7" s="1"/>
  <c r="M123" i="7"/>
  <c r="F123" i="7"/>
  <c r="P122" i="7"/>
  <c r="O122" i="7"/>
  <c r="M122" i="7"/>
  <c r="F122" i="7"/>
  <c r="C131" i="7" s="1"/>
  <c r="D121" i="7"/>
  <c r="F121" i="7" s="1"/>
  <c r="B94" i="7" s="1"/>
  <c r="P119" i="7"/>
  <c r="O119" i="7"/>
  <c r="Q119" i="7" s="1"/>
  <c r="D132" i="7" s="1"/>
  <c r="M119" i="7"/>
  <c r="B86" i="7"/>
  <c r="B85" i="7"/>
  <c r="B80" i="7"/>
  <c r="G62" i="7"/>
  <c r="F62" i="7"/>
  <c r="E62" i="7"/>
  <c r="D62" i="7"/>
  <c r="C62" i="7"/>
  <c r="B62" i="7"/>
  <c r="D197" i="7"/>
  <c r="F39" i="7"/>
  <c r="O195" i="7" s="1"/>
  <c r="D36" i="7"/>
  <c r="G192" i="7" s="1"/>
  <c r="B16" i="7"/>
  <c r="B15" i="7"/>
  <c r="C253" i="6"/>
  <c r="F232" i="6"/>
  <c r="J308" i="6" s="1"/>
  <c r="E232" i="6"/>
  <c r="F308" i="6" s="1"/>
  <c r="D232" i="6"/>
  <c r="B308" i="6" s="1"/>
  <c r="D207" i="6"/>
  <c r="E198" i="6"/>
  <c r="F223" i="6" s="1"/>
  <c r="J313" i="6" s="1"/>
  <c r="E197" i="6"/>
  <c r="F222" i="6" s="1"/>
  <c r="J312" i="6" s="1"/>
  <c r="C197" i="6"/>
  <c r="D222" i="6" s="1"/>
  <c r="B312" i="6" s="1"/>
  <c r="C195" i="6"/>
  <c r="D220" i="6" s="1"/>
  <c r="B310" i="6" s="1"/>
  <c r="E194" i="6"/>
  <c r="F219" i="6" s="1"/>
  <c r="J309" i="6" s="1"/>
  <c r="C194" i="6"/>
  <c r="D219" i="6" s="1"/>
  <c r="B309" i="6" s="1"/>
  <c r="E193" i="6"/>
  <c r="D193" i="6"/>
  <c r="P189" i="6"/>
  <c r="O189" i="6"/>
  <c r="N189" i="6"/>
  <c r="Q189" i="6" s="1"/>
  <c r="G189" i="6"/>
  <c r="C198" i="6" s="1"/>
  <c r="D223" i="6" s="1"/>
  <c r="B313" i="6" s="1"/>
  <c r="P188" i="6"/>
  <c r="O188" i="6"/>
  <c r="N188" i="6"/>
  <c r="Q188" i="6" s="1"/>
  <c r="G188" i="6"/>
  <c r="C199" i="6" s="1"/>
  <c r="D224" i="6" s="1"/>
  <c r="B314" i="6" s="1"/>
  <c r="P187" i="6"/>
  <c r="O187" i="6"/>
  <c r="N187" i="6"/>
  <c r="P186" i="6"/>
  <c r="O186" i="6"/>
  <c r="N186" i="6"/>
  <c r="G186" i="6"/>
  <c r="C196" i="6" s="1"/>
  <c r="D221" i="6" s="1"/>
  <c r="B311" i="6" s="1"/>
  <c r="P185" i="6"/>
  <c r="O185" i="6"/>
  <c r="N185" i="6"/>
  <c r="P184" i="6"/>
  <c r="O184" i="6"/>
  <c r="N184" i="6"/>
  <c r="E183" i="6"/>
  <c r="G183" i="6" s="1"/>
  <c r="E182" i="6"/>
  <c r="G182" i="6" s="1"/>
  <c r="E181" i="6"/>
  <c r="G181" i="6" s="1"/>
  <c r="E180" i="6"/>
  <c r="G180" i="6" s="1"/>
  <c r="E179" i="6"/>
  <c r="G179" i="6" s="1"/>
  <c r="E178" i="6"/>
  <c r="G178" i="6" s="1"/>
  <c r="B177" i="6"/>
  <c r="E177" i="6" s="1"/>
  <c r="G177" i="6" s="1"/>
  <c r="P176" i="6"/>
  <c r="Q176" i="6"/>
  <c r="D214" i="6" s="1"/>
  <c r="E242" i="6" s="1"/>
  <c r="G176" i="6"/>
  <c r="P175" i="6"/>
  <c r="O175" i="6"/>
  <c r="Q175" i="6" s="1"/>
  <c r="D205" i="6" s="1"/>
  <c r="E230" i="6" s="1"/>
  <c r="F320" i="6" s="1"/>
  <c r="N175" i="6"/>
  <c r="E175" i="6"/>
  <c r="G175" i="6" s="1"/>
  <c r="C205" i="6" s="1"/>
  <c r="D230" i="6" s="1"/>
  <c r="B320" i="6" s="1"/>
  <c r="P174" i="6"/>
  <c r="O174" i="6"/>
  <c r="N174" i="6"/>
  <c r="G174" i="6"/>
  <c r="C204" i="6" s="1"/>
  <c r="D229" i="6" s="1"/>
  <c r="B319" i="6" s="1"/>
  <c r="P173" i="6"/>
  <c r="O173" i="6"/>
  <c r="N173" i="6"/>
  <c r="E173" i="6"/>
  <c r="G173" i="6" s="1"/>
  <c r="P172" i="6"/>
  <c r="O172" i="6"/>
  <c r="Q172" i="6" s="1"/>
  <c r="D203" i="6" s="1"/>
  <c r="E228" i="6" s="1"/>
  <c r="F318" i="6" s="1"/>
  <c r="N172" i="6"/>
  <c r="G172" i="6"/>
  <c r="C203" i="6" s="1"/>
  <c r="D228" i="6" s="1"/>
  <c r="B318" i="6" s="1"/>
  <c r="P171" i="6"/>
  <c r="O171" i="6"/>
  <c r="Q171" i="6" s="1"/>
  <c r="D202" i="6" s="1"/>
  <c r="E227" i="6" s="1"/>
  <c r="F317" i="6" s="1"/>
  <c r="N171" i="6"/>
  <c r="G171" i="6"/>
  <c r="C202" i="6" s="1"/>
  <c r="D227" i="6" s="1"/>
  <c r="B317" i="6" s="1"/>
  <c r="P170" i="6"/>
  <c r="O170" i="6"/>
  <c r="N170" i="6"/>
  <c r="G170" i="6"/>
  <c r="C201" i="6" s="1"/>
  <c r="D226" i="6" s="1"/>
  <c r="B316" i="6" s="1"/>
  <c r="P169" i="6"/>
  <c r="O169" i="6"/>
  <c r="N169" i="6"/>
  <c r="G169" i="6"/>
  <c r="C200" i="6" s="1"/>
  <c r="D225" i="6" s="1"/>
  <c r="B315" i="6" s="1"/>
  <c r="P168" i="6"/>
  <c r="O168" i="6"/>
  <c r="Q168" i="6" s="1"/>
  <c r="D209" i="6" s="1"/>
  <c r="N168" i="6"/>
  <c r="G168" i="6"/>
  <c r="C209" i="6" s="1"/>
  <c r="P167" i="6"/>
  <c r="O167" i="6"/>
  <c r="N167" i="6"/>
  <c r="B167" i="6"/>
  <c r="E167" i="6" s="1"/>
  <c r="G167" i="6" s="1"/>
  <c r="P166" i="6"/>
  <c r="O166" i="6"/>
  <c r="N166" i="6"/>
  <c r="B166" i="6"/>
  <c r="E166" i="6" s="1"/>
  <c r="G166" i="6" s="1"/>
  <c r="G165" i="6"/>
  <c r="P164" i="6"/>
  <c r="O164" i="6"/>
  <c r="Q164" i="6" s="1"/>
  <c r="N164" i="6"/>
  <c r="G164" i="6"/>
  <c r="P163" i="6"/>
  <c r="O163" i="6"/>
  <c r="N163" i="6"/>
  <c r="G163" i="6"/>
  <c r="P162" i="6"/>
  <c r="O162" i="6"/>
  <c r="Q162" i="6" s="1"/>
  <c r="N162" i="6"/>
  <c r="G162" i="6"/>
  <c r="P161" i="6"/>
  <c r="O161" i="6"/>
  <c r="N161" i="6"/>
  <c r="Q161" i="6" s="1"/>
  <c r="G161" i="6"/>
  <c r="P160" i="6"/>
  <c r="O160" i="6"/>
  <c r="Q160" i="6" s="1"/>
  <c r="D210" i="6" s="1"/>
  <c r="N160" i="6"/>
  <c r="G160" i="6"/>
  <c r="P159" i="6"/>
  <c r="O159" i="6"/>
  <c r="Q159" i="6" s="1"/>
  <c r="N159" i="6"/>
  <c r="G159" i="6"/>
  <c r="B130" i="6"/>
  <c r="E196" i="6" s="1"/>
  <c r="F221" i="6" s="1"/>
  <c r="J311" i="6" s="1"/>
  <c r="B126" i="6"/>
  <c r="B120" i="6"/>
  <c r="E195" i="6" s="1"/>
  <c r="F220" i="6" s="1"/>
  <c r="J310" i="6" s="1"/>
  <c r="B113" i="6"/>
  <c r="B111" i="6"/>
  <c r="B109" i="6"/>
  <c r="B107" i="6"/>
  <c r="B105" i="6"/>
  <c r="B93" i="6"/>
  <c r="B84" i="6"/>
  <c r="B80" i="6"/>
  <c r="B144" i="6" s="1"/>
  <c r="C234" i="6" s="1"/>
  <c r="G62" i="6"/>
  <c r="F62" i="6"/>
  <c r="E62" i="6"/>
  <c r="D62" i="6"/>
  <c r="C62" i="6"/>
  <c r="B62" i="6"/>
  <c r="D304" i="6"/>
  <c r="F39" i="6"/>
  <c r="O303" i="6" s="1"/>
  <c r="D36" i="6"/>
  <c r="G300" i="6" s="1"/>
  <c r="B16" i="6"/>
  <c r="B15" i="6"/>
  <c r="B6" i="6"/>
  <c r="B17" i="6" s="1"/>
  <c r="C145" i="5"/>
  <c r="C142" i="5"/>
  <c r="D141" i="5"/>
  <c r="K130" i="5"/>
  <c r="J130" i="5"/>
  <c r="L130" i="5" s="1"/>
  <c r="D146" i="5" s="1"/>
  <c r="I130" i="5"/>
  <c r="C130" i="5"/>
  <c r="C146" i="5" s="1"/>
  <c r="K129" i="5"/>
  <c r="J129" i="5"/>
  <c r="K128" i="5"/>
  <c r="J128" i="5"/>
  <c r="I128" i="5"/>
  <c r="C128" i="5"/>
  <c r="C144" i="5" s="1"/>
  <c r="K127" i="5"/>
  <c r="J127" i="5"/>
  <c r="I127" i="5"/>
  <c r="C127" i="5"/>
  <c r="C143" i="5" s="1"/>
  <c r="K126" i="5"/>
  <c r="J126" i="5"/>
  <c r="I126" i="5"/>
  <c r="C126" i="5"/>
  <c r="K125" i="5"/>
  <c r="J125" i="5"/>
  <c r="I125" i="5"/>
  <c r="L125" i="5" s="1"/>
  <c r="B125" i="5"/>
  <c r="C125" i="5" s="1"/>
  <c r="K124" i="5"/>
  <c r="L124" i="5" s="1"/>
  <c r="B123" i="5"/>
  <c r="C123" i="5" s="1"/>
  <c r="C151" i="5" s="1"/>
  <c r="B122" i="5"/>
  <c r="C122" i="5" s="1"/>
  <c r="C150" i="5" s="1"/>
  <c r="K121" i="5"/>
  <c r="J121" i="5"/>
  <c r="L121" i="5" s="1"/>
  <c r="D149" i="5" s="1"/>
  <c r="I121" i="5"/>
  <c r="B121" i="5"/>
  <c r="C121" i="5" s="1"/>
  <c r="C149" i="5" s="1"/>
  <c r="K120" i="5"/>
  <c r="J120" i="5"/>
  <c r="I120" i="5"/>
  <c r="L120" i="5" s="1"/>
  <c r="D148" i="5" s="1"/>
  <c r="C120" i="5"/>
  <c r="C148" i="5" s="1"/>
  <c r="B119" i="5"/>
  <c r="C119" i="5" s="1"/>
  <c r="C147" i="5" s="1"/>
  <c r="K118" i="5"/>
  <c r="J118" i="5"/>
  <c r="I118" i="5"/>
  <c r="C118" i="5"/>
  <c r="C140" i="5" s="1"/>
  <c r="D164" i="5" s="1"/>
  <c r="B236" i="5" s="1"/>
  <c r="K117" i="5"/>
  <c r="J117" i="5"/>
  <c r="I117" i="5"/>
  <c r="L117" i="5" s="1"/>
  <c r="D139" i="5" s="1"/>
  <c r="E163" i="5" s="1"/>
  <c r="F235" i="5" s="1"/>
  <c r="C117" i="5"/>
  <c r="C139" i="5" s="1"/>
  <c r="D163" i="5" s="1"/>
  <c r="B235" i="5" s="1"/>
  <c r="K116" i="5"/>
  <c r="J116" i="5"/>
  <c r="L116" i="5" s="1"/>
  <c r="D138" i="5" s="1"/>
  <c r="E162" i="5" s="1"/>
  <c r="F234" i="5" s="1"/>
  <c r="I116" i="5"/>
  <c r="C116" i="5"/>
  <c r="C138" i="5" s="1"/>
  <c r="D162" i="5" s="1"/>
  <c r="B234" i="5" s="1"/>
  <c r="K115" i="5"/>
  <c r="J115" i="5"/>
  <c r="I115" i="5"/>
  <c r="C115" i="5"/>
  <c r="C137" i="5" s="1"/>
  <c r="D161" i="5" s="1"/>
  <c r="B233" i="5" s="1"/>
  <c r="K114" i="5"/>
  <c r="J114" i="5"/>
  <c r="L114" i="5" s="1"/>
  <c r="D136" i="5" s="1"/>
  <c r="E160" i="5" s="1"/>
  <c r="F232" i="5" s="1"/>
  <c r="I114" i="5"/>
  <c r="B114" i="5"/>
  <c r="C114" i="5" s="1"/>
  <c r="C136" i="5" s="1"/>
  <c r="D160" i="5" s="1"/>
  <c r="B232" i="5" s="1"/>
  <c r="K113" i="5"/>
  <c r="J113" i="5"/>
  <c r="I113" i="5"/>
  <c r="C113" i="5"/>
  <c r="C135" i="5" s="1"/>
  <c r="D159" i="5" s="1"/>
  <c r="B231" i="5" s="1"/>
  <c r="K112" i="5"/>
  <c r="J112" i="5"/>
  <c r="I112" i="5"/>
  <c r="C112" i="5"/>
  <c r="C134" i="5" s="1"/>
  <c r="D158" i="5" s="1"/>
  <c r="B230" i="5" s="1"/>
  <c r="B97" i="5"/>
  <c r="B95" i="5"/>
  <c r="B93" i="5"/>
  <c r="B88" i="5"/>
  <c r="G68" i="5"/>
  <c r="F68" i="5"/>
  <c r="E68" i="5"/>
  <c r="D68" i="5"/>
  <c r="C68" i="5"/>
  <c r="B68" i="5"/>
  <c r="D224" i="5"/>
  <c r="F41" i="5"/>
  <c r="O222" i="5" s="1"/>
  <c r="B15" i="5"/>
  <c r="G62" i="4"/>
  <c r="F62" i="4"/>
  <c r="E62" i="4"/>
  <c r="D62" i="4"/>
  <c r="C62" i="4"/>
  <c r="B62" i="4"/>
  <c r="D36" i="4"/>
  <c r="G85" i="4" s="1"/>
  <c r="B16" i="4"/>
  <c r="B15" i="4"/>
  <c r="B6" i="4"/>
  <c r="B17" i="4" s="1"/>
  <c r="B55" i="2"/>
  <c r="G48" i="2"/>
  <c r="F48" i="2"/>
  <c r="E48" i="2"/>
  <c r="D48" i="2"/>
  <c r="B48" i="2"/>
  <c r="B42" i="2"/>
  <c r="G68" i="3"/>
  <c r="F68" i="3"/>
  <c r="E68" i="3"/>
  <c r="D68" i="3"/>
  <c r="C68" i="3"/>
  <c r="B68" i="3"/>
  <c r="D95" i="3"/>
  <c r="F41" i="3"/>
  <c r="O94" i="3" s="1"/>
  <c r="B14" i="3"/>
  <c r="B6" i="3"/>
  <c r="B18" i="3" s="1"/>
  <c r="D33" i="2" l="1"/>
  <c r="E66" i="2" s="1"/>
  <c r="E33" i="2"/>
  <c r="I66" i="2" s="1"/>
  <c r="Q122" i="7"/>
  <c r="D131" i="7" s="1"/>
  <c r="Q185" i="6"/>
  <c r="Q163" i="6"/>
  <c r="C210" i="6"/>
  <c r="Q186" i="6"/>
  <c r="L127" i="5"/>
  <c r="D143" i="5" s="1"/>
  <c r="L118" i="5"/>
  <c r="D140" i="5" s="1"/>
  <c r="E164" i="5" s="1"/>
  <c r="F236" i="5" s="1"/>
  <c r="L112" i="5"/>
  <c r="D134" i="5" s="1"/>
  <c r="E158" i="5" s="1"/>
  <c r="F230" i="5" s="1"/>
  <c r="C37" i="2"/>
  <c r="B53" i="2" s="1"/>
  <c r="C64" i="2"/>
  <c r="C38" i="2"/>
  <c r="G64" i="2"/>
  <c r="E253" i="6"/>
  <c r="I330" i="6" s="1"/>
  <c r="G330" i="6"/>
  <c r="F26" i="2"/>
  <c r="J63" i="2" s="1"/>
  <c r="E26" i="2"/>
  <c r="D26" i="2"/>
  <c r="D32" i="2"/>
  <c r="E32" i="2"/>
  <c r="I65" i="2" s="1"/>
  <c r="Q187" i="6"/>
  <c r="Q169" i="6"/>
  <c r="D200" i="6" s="1"/>
  <c r="E225" i="6" s="1"/>
  <c r="F315" i="6" s="1"/>
  <c r="B137" i="6"/>
  <c r="C207" i="6"/>
  <c r="Q170" i="6"/>
  <c r="D201" i="6" s="1"/>
  <c r="E226" i="6" s="1"/>
  <c r="F316" i="6" s="1"/>
  <c r="Q174" i="6"/>
  <c r="D204" i="6" s="1"/>
  <c r="E229" i="6" s="1"/>
  <c r="F319" i="6" s="1"/>
  <c r="Q184" i="6"/>
  <c r="L113" i="5"/>
  <c r="D135" i="5" s="1"/>
  <c r="E159" i="5" s="1"/>
  <c r="F231" i="5" s="1"/>
  <c r="L128" i="5"/>
  <c r="D144" i="5" s="1"/>
  <c r="L126" i="5"/>
  <c r="D142" i="5" s="1"/>
  <c r="L115" i="5"/>
  <c r="D137" i="5" s="1"/>
  <c r="E161" i="5" s="1"/>
  <c r="F233" i="5" s="1"/>
  <c r="L129" i="5"/>
  <c r="D145" i="5" s="1"/>
  <c r="B89" i="5"/>
  <c r="B104" i="5" s="1"/>
  <c r="H48" i="2"/>
  <c r="H62" i="7"/>
  <c r="H68" i="5"/>
  <c r="H62" i="4"/>
  <c r="H62" i="6"/>
  <c r="D129" i="7"/>
  <c r="E138" i="7" s="1"/>
  <c r="F200" i="7" s="1"/>
  <c r="B106" i="7"/>
  <c r="D130" i="7"/>
  <c r="D133" i="7"/>
  <c r="C133" i="7"/>
  <c r="B88" i="7"/>
  <c r="B90" i="7"/>
  <c r="C143" i="7"/>
  <c r="C142" i="7"/>
  <c r="D198" i="6"/>
  <c r="E223" i="6" s="1"/>
  <c r="F313" i="6" s="1"/>
  <c r="B138" i="6"/>
  <c r="D199" i="6"/>
  <c r="E224" i="6" s="1"/>
  <c r="F314" i="6" s="1"/>
  <c r="B135" i="6"/>
  <c r="D197" i="6"/>
  <c r="E222" i="6" s="1"/>
  <c r="F312" i="6" s="1"/>
  <c r="B132" i="6"/>
  <c r="B127" i="6"/>
  <c r="D196" i="6"/>
  <c r="E221" i="6" s="1"/>
  <c r="F311" i="6" s="1"/>
  <c r="D195" i="6"/>
  <c r="E220" i="6" s="1"/>
  <c r="F310" i="6" s="1"/>
  <c r="B122" i="6"/>
  <c r="B124" i="6"/>
  <c r="D194" i="6"/>
  <c r="E219" i="6" s="1"/>
  <c r="F309" i="6" s="1"/>
  <c r="D212" i="6"/>
  <c r="D211" i="6"/>
  <c r="D206" i="6"/>
  <c r="E231" i="6" s="1"/>
  <c r="C206" i="6"/>
  <c r="D231" i="6" s="1"/>
  <c r="C211" i="6"/>
  <c r="C212" i="6"/>
  <c r="D208" i="6"/>
  <c r="D213" i="6"/>
  <c r="C213" i="6"/>
  <c r="C208" i="6"/>
  <c r="B94" i="6"/>
  <c r="B102" i="6"/>
  <c r="B99" i="6"/>
  <c r="B96" i="6"/>
  <c r="B95" i="6"/>
  <c r="B98" i="6"/>
  <c r="B97" i="6"/>
  <c r="B85" i="6"/>
  <c r="B18" i="6"/>
  <c r="G233" i="6" s="1"/>
  <c r="O321" i="6" s="1"/>
  <c r="B19" i="6"/>
  <c r="C32" i="6"/>
  <c r="E56" i="6"/>
  <c r="C154" i="5"/>
  <c r="D153" i="5"/>
  <c r="C153" i="5"/>
  <c r="D152" i="5"/>
  <c r="C152" i="5"/>
  <c r="B17" i="5"/>
  <c r="B18" i="4"/>
  <c r="B19" i="4"/>
  <c r="E56" i="4"/>
  <c r="C32" i="4"/>
  <c r="C214" i="6"/>
  <c r="D242" i="6" s="1"/>
  <c r="B37" i="2" l="1"/>
  <c r="B63" i="2"/>
  <c r="D44" i="2"/>
  <c r="B54" i="2" s="1"/>
  <c r="E65" i="2"/>
  <c r="B38" i="2"/>
  <c r="F63" i="2"/>
  <c r="D253" i="6"/>
  <c r="E330" i="6" s="1"/>
  <c r="C330" i="6"/>
  <c r="B39" i="2"/>
  <c r="B40" i="2"/>
  <c r="E142" i="7"/>
  <c r="G203" i="7" s="1"/>
  <c r="D142" i="7"/>
  <c r="C203" i="7" s="1"/>
  <c r="B100" i="6"/>
  <c r="B101" i="6" s="1"/>
  <c r="B153" i="6" s="1"/>
  <c r="E243" i="6" s="1"/>
  <c r="B105" i="5"/>
  <c r="B107" i="5" s="1"/>
  <c r="B106" i="5"/>
  <c r="C167" i="5" s="1"/>
  <c r="C166" i="5"/>
  <c r="G166" i="5"/>
  <c r="O230" i="5" s="1"/>
  <c r="B89" i="7"/>
  <c r="D143" i="7"/>
  <c r="E143" i="7"/>
  <c r="I203" i="7" s="1"/>
  <c r="E234" i="6"/>
  <c r="D234" i="6"/>
  <c r="C245" i="6"/>
  <c r="F262" i="6"/>
  <c r="B273" i="6" s="1"/>
  <c r="B22" i="6"/>
  <c r="B23" i="6" s="1"/>
  <c r="B24" i="6" s="1"/>
  <c r="C36" i="6"/>
  <c r="C300" i="6" s="1"/>
  <c r="F36" i="6"/>
  <c r="O300" i="6" s="1"/>
  <c r="B140" i="6"/>
  <c r="C45" i="6"/>
  <c r="D37" i="6"/>
  <c r="G301" i="6" s="1"/>
  <c r="F37" i="6"/>
  <c r="O301" i="6" s="1"/>
  <c r="F38" i="6"/>
  <c r="O302" i="6" s="1"/>
  <c r="C39" i="6"/>
  <c r="C41" i="6"/>
  <c r="D306" i="6" s="1"/>
  <c r="C42" i="6"/>
  <c r="F44" i="6"/>
  <c r="O305" i="6" s="1"/>
  <c r="C47" i="6"/>
  <c r="D32" i="6"/>
  <c r="B295" i="6" s="1"/>
  <c r="E32" i="6"/>
  <c r="F295" i="6" s="1"/>
  <c r="C30" i="6"/>
  <c r="B19" i="5"/>
  <c r="B20" i="5" s="1"/>
  <c r="B22" i="4"/>
  <c r="B23" i="4" s="1"/>
  <c r="B24" i="4" s="1"/>
  <c r="C36" i="4"/>
  <c r="C85" i="4" s="1"/>
  <c r="F36" i="4"/>
  <c r="O85" i="4" s="1"/>
  <c r="D37" i="4"/>
  <c r="G86" i="4" s="1"/>
  <c r="F37" i="4"/>
  <c r="F38" i="4"/>
  <c r="O87" i="4" s="1"/>
  <c r="C39" i="4"/>
  <c r="C88" i="4" s="1"/>
  <c r="C41" i="4"/>
  <c r="D91" i="4" s="1"/>
  <c r="C42" i="4"/>
  <c r="D86" i="4" s="1"/>
  <c r="F44" i="4"/>
  <c r="O90" i="4" s="1"/>
  <c r="C45" i="4"/>
  <c r="C47" i="4"/>
  <c r="E92" i="4" s="1"/>
  <c r="D32" i="4"/>
  <c r="E32" i="4"/>
  <c r="F80" i="4" s="1"/>
  <c r="C30" i="4"/>
  <c r="B19" i="3"/>
  <c r="D154" i="7" l="1"/>
  <c r="B167" i="7" s="1"/>
  <c r="E203" i="7"/>
  <c r="D39" i="6"/>
  <c r="C303" i="6"/>
  <c r="D45" i="6"/>
  <c r="H305" i="6" s="1"/>
  <c r="D305" i="6"/>
  <c r="E307" i="6"/>
  <c r="E57" i="6"/>
  <c r="D301" i="6"/>
  <c r="O86" i="4"/>
  <c r="F55" i="4"/>
  <c r="B69" i="4" s="1"/>
  <c r="B51" i="2"/>
  <c r="B56" i="2" s="1"/>
  <c r="E245" i="6"/>
  <c r="I322" i="6" s="1"/>
  <c r="G322" i="6"/>
  <c r="D245" i="6"/>
  <c r="E322" i="6" s="1"/>
  <c r="C322" i="6"/>
  <c r="F181" i="5"/>
  <c r="B192" i="5" s="1"/>
  <c r="D39" i="4"/>
  <c r="D45" i="4"/>
  <c r="B80" i="4"/>
  <c r="B20" i="3"/>
  <c r="B24" i="3"/>
  <c r="B25" i="3" s="1"/>
  <c r="B26" i="3" s="1"/>
  <c r="F55" i="6"/>
  <c r="B69" i="6" s="1"/>
  <c r="B284" i="6" s="1"/>
  <c r="B108" i="5"/>
  <c r="C165" i="5" s="1"/>
  <c r="C168" i="5"/>
  <c r="C169" i="5"/>
  <c r="D166" i="5"/>
  <c r="C170" i="5"/>
  <c r="E166" i="5"/>
  <c r="G237" i="5" s="1"/>
  <c r="D167" i="5"/>
  <c r="C171" i="5"/>
  <c r="E167" i="5"/>
  <c r="G238" i="5" s="1"/>
  <c r="C29" i="6"/>
  <c r="F28" i="6"/>
  <c r="J299" i="6" s="1"/>
  <c r="E28" i="6"/>
  <c r="F299" i="6" s="1"/>
  <c r="D28" i="6"/>
  <c r="B299" i="6" s="1"/>
  <c r="B146" i="6"/>
  <c r="B150" i="6" s="1"/>
  <c r="C239" i="6" s="1"/>
  <c r="B142" i="6"/>
  <c r="B143" i="6" s="1"/>
  <c r="B147" i="6"/>
  <c r="B151" i="6" s="1"/>
  <c r="C240" i="6" s="1"/>
  <c r="B141" i="6"/>
  <c r="B145" i="6"/>
  <c r="B149" i="6" s="1"/>
  <c r="C238" i="6" s="1"/>
  <c r="B148" i="6"/>
  <c r="B152" i="6" s="1"/>
  <c r="C241" i="6" s="1"/>
  <c r="C38" i="6"/>
  <c r="C37" i="6"/>
  <c r="D41" i="6"/>
  <c r="H306" i="6" s="1"/>
  <c r="E51" i="6"/>
  <c r="D42" i="6"/>
  <c r="H301" i="6" s="1"/>
  <c r="C31" i="6"/>
  <c r="D47" i="6"/>
  <c r="I307" i="6" s="1"/>
  <c r="D58" i="6"/>
  <c r="B71" i="6" s="1"/>
  <c r="F30" i="6"/>
  <c r="E30" i="6"/>
  <c r="D30" i="6"/>
  <c r="F38" i="5"/>
  <c r="O219" i="5" s="1"/>
  <c r="D38" i="5"/>
  <c r="G219" i="5" s="1"/>
  <c r="C38" i="5"/>
  <c r="C219" i="5" s="1"/>
  <c r="B24" i="5"/>
  <c r="B25" i="5" s="1"/>
  <c r="B26" i="5" s="1"/>
  <c r="B21" i="5"/>
  <c r="D39" i="5" s="1"/>
  <c r="C34" i="5"/>
  <c r="C48" i="5"/>
  <c r="D48" i="5" s="1"/>
  <c r="E49" i="5"/>
  <c r="C50" i="5"/>
  <c r="D227" i="5" s="1"/>
  <c r="C51" i="5"/>
  <c r="D228" i="5" s="1"/>
  <c r="E62" i="5"/>
  <c r="C29" i="4"/>
  <c r="F28" i="4"/>
  <c r="J84" i="4" s="1"/>
  <c r="E28" i="4"/>
  <c r="F84" i="4" s="1"/>
  <c r="D28" i="4"/>
  <c r="B84" i="4" s="1"/>
  <c r="C38" i="4"/>
  <c r="C87" i="4" s="1"/>
  <c r="C37" i="4"/>
  <c r="C86" i="4" s="1"/>
  <c r="D41" i="4"/>
  <c r="H91" i="4" s="1"/>
  <c r="E51" i="4"/>
  <c r="D42" i="4"/>
  <c r="H86" i="4" s="1"/>
  <c r="E57" i="4"/>
  <c r="C31" i="4"/>
  <c r="D47" i="4"/>
  <c r="I92" i="4" s="1"/>
  <c r="D58" i="4"/>
  <c r="B71" i="4" s="1"/>
  <c r="F30" i="4"/>
  <c r="J82" i="4" s="1"/>
  <c r="E30" i="4"/>
  <c r="F82" i="4" s="1"/>
  <c r="D30" i="4"/>
  <c r="B82" i="4" s="1"/>
  <c r="F38" i="3"/>
  <c r="O91" i="3" s="1"/>
  <c r="D38" i="3"/>
  <c r="G91" i="3" s="1"/>
  <c r="C38" i="3"/>
  <c r="C91" i="3" s="1"/>
  <c r="E254" i="6"/>
  <c r="I301" i="6" s="1"/>
  <c r="D243" i="6"/>
  <c r="C52" i="4" l="1"/>
  <c r="G88" i="4"/>
  <c r="C51" i="6"/>
  <c r="C302" i="6"/>
  <c r="C57" i="6"/>
  <c r="B57" i="6" s="1"/>
  <c r="C301" i="6"/>
  <c r="C39" i="5"/>
  <c r="C220" i="5" s="1"/>
  <c r="G220" i="5"/>
  <c r="C52" i="6"/>
  <c r="G303" i="6"/>
  <c r="D168" i="5"/>
  <c r="C239" i="5" s="1"/>
  <c r="E168" i="5"/>
  <c r="C172" i="5"/>
  <c r="D169" i="5"/>
  <c r="C240" i="5" s="1"/>
  <c r="E169" i="5"/>
  <c r="G240" i="5" s="1"/>
  <c r="C173" i="5"/>
  <c r="E170" i="5"/>
  <c r="I237" i="5" s="1"/>
  <c r="D170" i="5"/>
  <c r="E237" i="5" s="1"/>
  <c r="C182" i="5"/>
  <c r="C237" i="5"/>
  <c r="C177" i="5"/>
  <c r="C238" i="5"/>
  <c r="E59" i="5"/>
  <c r="L226" i="5"/>
  <c r="C51" i="4"/>
  <c r="C57" i="4"/>
  <c r="B57" i="4" s="1"/>
  <c r="F165" i="5"/>
  <c r="B179" i="5" s="1"/>
  <c r="B180" i="5" s="1"/>
  <c r="D165" i="5"/>
  <c r="B177" i="5" s="1"/>
  <c r="E62" i="3"/>
  <c r="C48" i="3"/>
  <c r="D48" i="3" s="1"/>
  <c r="C50" i="3"/>
  <c r="D98" i="3" s="1"/>
  <c r="B21" i="3"/>
  <c r="C51" i="3"/>
  <c r="D99" i="3" s="1"/>
  <c r="E49" i="3"/>
  <c r="L97" i="3" s="1"/>
  <c r="C34" i="3"/>
  <c r="F30" i="3"/>
  <c r="J90" i="3" s="1"/>
  <c r="E30" i="3"/>
  <c r="F90" i="3" s="1"/>
  <c r="C31" i="3"/>
  <c r="D30" i="3"/>
  <c r="B90" i="3" s="1"/>
  <c r="E52" i="6"/>
  <c r="B72" i="6" s="1"/>
  <c r="E165" i="5"/>
  <c r="B178" i="5" s="1"/>
  <c r="E52" i="4"/>
  <c r="B72" i="4" s="1"/>
  <c r="D171" i="5"/>
  <c r="E238" i="5" s="1"/>
  <c r="E171" i="5"/>
  <c r="I238" i="5" s="1"/>
  <c r="D29" i="6"/>
  <c r="B298" i="6" s="1"/>
  <c r="E29" i="6"/>
  <c r="F298" i="6" s="1"/>
  <c r="F29" i="6"/>
  <c r="J298" i="6" s="1"/>
  <c r="E239" i="6"/>
  <c r="C250" i="6"/>
  <c r="D239" i="6"/>
  <c r="C237" i="6"/>
  <c r="C235" i="6"/>
  <c r="C236" i="6"/>
  <c r="E240" i="6"/>
  <c r="C251" i="6"/>
  <c r="D240" i="6"/>
  <c r="B155" i="6"/>
  <c r="C233" i="6" s="1"/>
  <c r="D233" i="6" s="1"/>
  <c r="C321" i="6" s="1"/>
  <c r="E238" i="6"/>
  <c r="C249" i="6"/>
  <c r="D238" i="6"/>
  <c r="E241" i="6"/>
  <c r="D241" i="6"/>
  <c r="C252" i="6"/>
  <c r="D31" i="6"/>
  <c r="B296" i="6" s="1"/>
  <c r="E31" i="6"/>
  <c r="F296" i="6" s="1"/>
  <c r="C47" i="5"/>
  <c r="D225" i="5" s="1"/>
  <c r="F39" i="5"/>
  <c r="O220" i="5" s="1"/>
  <c r="F40" i="5"/>
  <c r="O221" i="5" s="1"/>
  <c r="C41" i="5"/>
  <c r="C222" i="5" s="1"/>
  <c r="C43" i="5"/>
  <c r="D223" i="5" s="1"/>
  <c r="C44" i="5"/>
  <c r="D220" i="5" s="1"/>
  <c r="F46" i="5"/>
  <c r="O225" i="5" s="1"/>
  <c r="C53" i="5"/>
  <c r="E229" i="5" s="1"/>
  <c r="D34" i="5"/>
  <c r="B214" i="5" s="1"/>
  <c r="E34" i="5"/>
  <c r="F214" i="5" s="1"/>
  <c r="C32" i="5"/>
  <c r="D29" i="4"/>
  <c r="B83" i="4" s="1"/>
  <c r="E29" i="4"/>
  <c r="F83" i="4" s="1"/>
  <c r="F29" i="4"/>
  <c r="B54" i="4"/>
  <c r="D31" i="4"/>
  <c r="B81" i="4" s="1"/>
  <c r="E31" i="4"/>
  <c r="F81" i="4" s="1"/>
  <c r="D254" i="6"/>
  <c r="C264" i="6"/>
  <c r="D30" i="5"/>
  <c r="B218" i="5" s="1"/>
  <c r="E30" i="5"/>
  <c r="F218" i="5" s="1"/>
  <c r="F30" i="5"/>
  <c r="J218" i="5" s="1"/>
  <c r="C31" i="5"/>
  <c r="E264" i="6" l="1"/>
  <c r="B276" i="6" s="1"/>
  <c r="E301" i="6"/>
  <c r="B70" i="6"/>
  <c r="B70" i="4"/>
  <c r="B53" i="4"/>
  <c r="J83" i="4"/>
  <c r="E250" i="6"/>
  <c r="I327" i="6" s="1"/>
  <c r="G327" i="6"/>
  <c r="D250" i="6"/>
  <c r="E327" i="6" s="1"/>
  <c r="C327" i="6"/>
  <c r="E251" i="6"/>
  <c r="I328" i="6" s="1"/>
  <c r="G328" i="6"/>
  <c r="D251" i="6"/>
  <c r="E328" i="6" s="1"/>
  <c r="C328" i="6"/>
  <c r="E249" i="6"/>
  <c r="I326" i="6" s="1"/>
  <c r="G326" i="6"/>
  <c r="D249" i="6"/>
  <c r="E326" i="6" s="1"/>
  <c r="C326" i="6"/>
  <c r="E252" i="6"/>
  <c r="I329" i="6" s="1"/>
  <c r="G329" i="6"/>
  <c r="D252" i="6"/>
  <c r="E329" i="6" s="1"/>
  <c r="C329" i="6"/>
  <c r="B287" i="6"/>
  <c r="G239" i="5"/>
  <c r="C178" i="5"/>
  <c r="D172" i="5"/>
  <c r="E172" i="5"/>
  <c r="I239" i="5" s="1"/>
  <c r="D173" i="5"/>
  <c r="E240" i="5" s="1"/>
  <c r="E173" i="5"/>
  <c r="I240" i="5" s="1"/>
  <c r="B193" i="5"/>
  <c r="D47" i="5"/>
  <c r="H225" i="5" s="1"/>
  <c r="F61" i="5"/>
  <c r="B75" i="5" s="1"/>
  <c r="B203" i="5" s="1"/>
  <c r="D41" i="5"/>
  <c r="G222" i="5" s="1"/>
  <c r="F40" i="3"/>
  <c r="O93" i="3" s="1"/>
  <c r="C47" i="3"/>
  <c r="D96" i="3" s="1"/>
  <c r="D39" i="3"/>
  <c r="G92" i="3" s="1"/>
  <c r="F39" i="3"/>
  <c r="O92" i="3" s="1"/>
  <c r="C41" i="3"/>
  <c r="C94" i="3" s="1"/>
  <c r="C43" i="3"/>
  <c r="D100" i="3" s="1"/>
  <c r="F46" i="3"/>
  <c r="E59" i="3"/>
  <c r="C44" i="3"/>
  <c r="C53" i="3"/>
  <c r="E101" i="3" s="1"/>
  <c r="C32" i="3"/>
  <c r="E32" i="3" s="1"/>
  <c r="F88" i="3" s="1"/>
  <c r="D34" i="3"/>
  <c r="B86" i="3" s="1"/>
  <c r="E34" i="3"/>
  <c r="F86" i="3" s="1"/>
  <c r="E31" i="3"/>
  <c r="F89" i="3" s="1"/>
  <c r="F31" i="3"/>
  <c r="D31" i="3"/>
  <c r="B89" i="3" s="1"/>
  <c r="B51" i="6"/>
  <c r="B52" i="6"/>
  <c r="E237" i="6"/>
  <c r="D237" i="6"/>
  <c r="C248" i="6"/>
  <c r="E235" i="6"/>
  <c r="G323" i="6" s="1"/>
  <c r="C246" i="6"/>
  <c r="D235" i="6"/>
  <c r="E236" i="6"/>
  <c r="D236" i="6"/>
  <c r="C247" i="6"/>
  <c r="E233" i="6"/>
  <c r="G321" i="6" s="1"/>
  <c r="C244" i="6"/>
  <c r="C258" i="6"/>
  <c r="D244" i="6"/>
  <c r="E321" i="6" s="1"/>
  <c r="C40" i="5"/>
  <c r="C221" i="5" s="1"/>
  <c r="D43" i="5"/>
  <c r="H223" i="5" s="1"/>
  <c r="E57" i="5"/>
  <c r="D44" i="5"/>
  <c r="H220" i="5" s="1"/>
  <c r="E63" i="5"/>
  <c r="C33" i="5"/>
  <c r="D53" i="5"/>
  <c r="I229" i="5" s="1"/>
  <c r="D64" i="5"/>
  <c r="B77" i="5" s="1"/>
  <c r="F32" i="5"/>
  <c r="J216" i="5" s="1"/>
  <c r="E32" i="5"/>
  <c r="F216" i="5" s="1"/>
  <c r="D32" i="5"/>
  <c r="B216" i="5" s="1"/>
  <c r="F31" i="5"/>
  <c r="J217" i="5" s="1"/>
  <c r="E31" i="5"/>
  <c r="F217" i="5" s="1"/>
  <c r="D31" i="5"/>
  <c r="B217" i="5" s="1"/>
  <c r="B52" i="4"/>
  <c r="B51" i="4"/>
  <c r="B53" i="6"/>
  <c r="B54" i="6"/>
  <c r="E63" i="3" l="1"/>
  <c r="D92" i="3"/>
  <c r="O96" i="3"/>
  <c r="F61" i="3"/>
  <c r="B75" i="3" s="1"/>
  <c r="E248" i="6"/>
  <c r="I325" i="6" s="1"/>
  <c r="G325" i="6"/>
  <c r="D248" i="6"/>
  <c r="E325" i="6" s="1"/>
  <c r="C325" i="6"/>
  <c r="D246" i="6"/>
  <c r="C323" i="6"/>
  <c r="E247" i="6"/>
  <c r="I324" i="6" s="1"/>
  <c r="G324" i="6"/>
  <c r="D247" i="6"/>
  <c r="C324" i="6"/>
  <c r="E239" i="5"/>
  <c r="D184" i="5"/>
  <c r="B194" i="5" s="1"/>
  <c r="C58" i="5"/>
  <c r="C57" i="5"/>
  <c r="C63" i="5"/>
  <c r="B63" i="5" s="1"/>
  <c r="C33" i="3"/>
  <c r="D43" i="3"/>
  <c r="H100" i="3" s="1"/>
  <c r="E57" i="3"/>
  <c r="D53" i="3"/>
  <c r="I101" i="3" s="1"/>
  <c r="D64" i="3"/>
  <c r="B77" i="3" s="1"/>
  <c r="C40" i="3"/>
  <c r="C93" i="3" s="1"/>
  <c r="C39" i="3"/>
  <c r="C92" i="3" s="1"/>
  <c r="D44" i="3"/>
  <c r="H92" i="3" s="1"/>
  <c r="F32" i="3"/>
  <c r="B60" i="3" s="1"/>
  <c r="D32" i="3"/>
  <c r="D47" i="3"/>
  <c r="H96" i="3" s="1"/>
  <c r="D41" i="3"/>
  <c r="G94" i="3" s="1"/>
  <c r="J89" i="3"/>
  <c r="B73" i="6"/>
  <c r="B59" i="5"/>
  <c r="B73" i="4"/>
  <c r="B60" i="5"/>
  <c r="E246" i="6"/>
  <c r="I323" i="6" s="1"/>
  <c r="B154" i="6"/>
  <c r="C218" i="6" s="1"/>
  <c r="D218" i="6" s="1"/>
  <c r="B297" i="6" s="1"/>
  <c r="E244" i="6"/>
  <c r="I321" i="6" s="1"/>
  <c r="C259" i="6"/>
  <c r="D33" i="5"/>
  <c r="E33" i="5"/>
  <c r="E58" i="5"/>
  <c r="B78" i="5" s="1"/>
  <c r="B206" i="5" s="1"/>
  <c r="E324" i="6" l="1"/>
  <c r="D265" i="6"/>
  <c r="B275" i="6" s="1"/>
  <c r="B286" i="6" s="1"/>
  <c r="B76" i="5"/>
  <c r="B204" i="5" s="1"/>
  <c r="C263" i="6"/>
  <c r="B274" i="6" s="1"/>
  <c r="B285" i="6" s="1"/>
  <c r="E323" i="6"/>
  <c r="B196" i="5"/>
  <c r="B205" i="5"/>
  <c r="B57" i="5"/>
  <c r="B215" i="5"/>
  <c r="B58" i="5"/>
  <c r="F215" i="5"/>
  <c r="C57" i="3"/>
  <c r="D33" i="3"/>
  <c r="E33" i="3"/>
  <c r="B58" i="3" s="1"/>
  <c r="C63" i="3"/>
  <c r="B63" i="3" s="1"/>
  <c r="J88" i="3"/>
  <c r="B59" i="3"/>
  <c r="E58" i="3"/>
  <c r="B78" i="3" s="1"/>
  <c r="B88" i="3"/>
  <c r="C58" i="3"/>
  <c r="B258" i="6"/>
  <c r="E218" i="6"/>
  <c r="F218" i="6"/>
  <c r="F87" i="3" l="1"/>
  <c r="B76" i="3"/>
  <c r="B259" i="6"/>
  <c r="F297" i="6"/>
  <c r="B260" i="6"/>
  <c r="B261" i="6" s="1"/>
  <c r="J297" i="6"/>
  <c r="B87" i="3"/>
  <c r="B57" i="3"/>
  <c r="B79" i="3" l="1"/>
  <c r="B202" i="5"/>
  <c r="B207" i="5" s="1"/>
  <c r="B79" i="5"/>
  <c r="B6" i="7"/>
  <c r="B17" i="7" s="1"/>
  <c r="E56" i="7" l="1"/>
  <c r="B18" i="7"/>
  <c r="C32" i="7"/>
  <c r="B19" i="7"/>
  <c r="B277" i="6"/>
  <c r="B283" i="6"/>
  <c r="B288" i="6" s="1"/>
  <c r="F36" i="7" l="1"/>
  <c r="O192" i="7" s="1"/>
  <c r="B114" i="7"/>
  <c r="B115" i="7" s="1"/>
  <c r="D141" i="7" s="1"/>
  <c r="B111" i="7"/>
  <c r="B112" i="7" s="1"/>
  <c r="B113" i="7" s="1"/>
  <c r="C140" i="7" s="1"/>
  <c r="B22" i="7"/>
  <c r="B23" i="7" s="1"/>
  <c r="B24" i="7" s="1"/>
  <c r="C36" i="7"/>
  <c r="B107" i="7"/>
  <c r="B108" i="7" s="1"/>
  <c r="B109" i="7" s="1"/>
  <c r="G139" i="7"/>
  <c r="E32" i="7"/>
  <c r="F187" i="7" s="1"/>
  <c r="C30" i="7"/>
  <c r="D32" i="7"/>
  <c r="B187" i="7" s="1"/>
  <c r="F37" i="7"/>
  <c r="C41" i="7"/>
  <c r="C45" i="7"/>
  <c r="F44" i="7"/>
  <c r="F38" i="7"/>
  <c r="O194" i="7" s="1"/>
  <c r="C39" i="7"/>
  <c r="C42" i="7"/>
  <c r="D37" i="7"/>
  <c r="C47" i="7"/>
  <c r="C153" i="7" l="1"/>
  <c r="E141" i="7"/>
  <c r="G193" i="7" s="1"/>
  <c r="D140" i="7"/>
  <c r="E140" i="7"/>
  <c r="G202" i="7" s="1"/>
  <c r="F28" i="7"/>
  <c r="D28" i="7"/>
  <c r="C29" i="7"/>
  <c r="E28" i="7"/>
  <c r="C51" i="7"/>
  <c r="C192" i="7"/>
  <c r="B110" i="7"/>
  <c r="C137" i="7" s="1"/>
  <c r="C139" i="7"/>
  <c r="O201" i="7"/>
  <c r="F151" i="7"/>
  <c r="B165" i="7" s="1"/>
  <c r="E30" i="7"/>
  <c r="F30" i="7"/>
  <c r="D30" i="7"/>
  <c r="F55" i="7"/>
  <c r="B69" i="7" s="1"/>
  <c r="B176" i="7" s="1"/>
  <c r="O193" i="7"/>
  <c r="E51" i="7"/>
  <c r="D41" i="7"/>
  <c r="D196" i="7"/>
  <c r="D45" i="7"/>
  <c r="H198" i="7" s="1"/>
  <c r="D198" i="7"/>
  <c r="C31" i="7"/>
  <c r="O198" i="7"/>
  <c r="D39" i="7"/>
  <c r="C195" i="7"/>
  <c r="D42" i="7"/>
  <c r="H193" i="7" s="1"/>
  <c r="E57" i="7"/>
  <c r="D193" i="7"/>
  <c r="C37" i="7"/>
  <c r="C38" i="7"/>
  <c r="C194" i="7" s="1"/>
  <c r="E199" i="7"/>
  <c r="D47" i="7"/>
  <c r="I199" i="7" s="1"/>
  <c r="D58" i="7"/>
  <c r="B71" i="7" s="1"/>
  <c r="B178" i="7" s="1"/>
  <c r="C202" i="7" l="1"/>
  <c r="C147" i="7"/>
  <c r="J191" i="7"/>
  <c r="B191" i="7"/>
  <c r="F29" i="7"/>
  <c r="E29" i="7"/>
  <c r="F190" i="7" s="1"/>
  <c r="D29" i="7"/>
  <c r="B52" i="7"/>
  <c r="F191" i="7"/>
  <c r="E137" i="7"/>
  <c r="F137" i="7"/>
  <c r="D137" i="7"/>
  <c r="E139" i="7"/>
  <c r="D139" i="7"/>
  <c r="E52" i="7"/>
  <c r="B72" i="7" s="1"/>
  <c r="B179" i="7" s="1"/>
  <c r="H196" i="7"/>
  <c r="E31" i="7"/>
  <c r="F188" i="7" s="1"/>
  <c r="D31" i="7"/>
  <c r="B188" i="7" s="1"/>
  <c r="G195" i="7"/>
  <c r="C52" i="7"/>
  <c r="B70" i="7" s="1"/>
  <c r="C57" i="7"/>
  <c r="B57" i="7" s="1"/>
  <c r="C193" i="7"/>
  <c r="F189" i="7" l="1"/>
  <c r="B148" i="7"/>
  <c r="J189" i="7"/>
  <c r="B149" i="7"/>
  <c r="B150" i="7" s="1"/>
  <c r="B147" i="7"/>
  <c r="B164" i="7" s="1"/>
  <c r="B169" i="7" s="1"/>
  <c r="B189" i="7"/>
  <c r="G201" i="7"/>
  <c r="C148" i="7"/>
  <c r="B166" i="7" s="1"/>
  <c r="B177" i="7" s="1"/>
  <c r="B180" i="7" s="1"/>
  <c r="C152" i="7"/>
  <c r="C201" i="7"/>
  <c r="J190" i="7"/>
  <c r="B53" i="7"/>
  <c r="B54" i="7"/>
  <c r="B190" i="7"/>
  <c r="B51" i="7"/>
  <c r="B68" i="7" s="1"/>
  <c r="B73" i="7" l="1"/>
  <c r="B175" i="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Shanice Taylor</author>
  </authors>
  <commentList>
    <comment ref="B13" authorId="0" shapeId="0" xr:uid="{00000000-0006-0000-0000-000001000000}">
      <text>
        <r>
          <rPr>
            <sz val="11"/>
            <color theme="1"/>
            <rFont val="Calibri"/>
            <family val="2"/>
            <scheme val="minor"/>
          </rPr>
          <t xml:space="preserve">Author:
[Table 1 in doi.org/10.1038/s41526-023-00324-w] </t>
        </r>
      </text>
    </comment>
    <comment ref="C13" authorId="0" shapeId="0" xr:uid="{00000000-0006-0000-0000-000002000000}">
      <text>
        <r>
          <rPr>
            <sz val="11"/>
            <color theme="1"/>
            <rFont val="Calibri"/>
            <family val="2"/>
            <scheme val="minor"/>
          </rPr>
          <t>Author:
[Table 1 in doi.org/10.1038/s41526-023-00324-w]</t>
        </r>
      </text>
    </comment>
    <comment ref="D13" authorId="0" shapeId="0" xr:uid="{00000000-0006-0000-0000-000003000000}">
      <text>
        <r>
          <rPr>
            <sz val="11"/>
            <color theme="1"/>
            <rFont val="Calibri"/>
            <family val="2"/>
            <scheme val="minor"/>
          </rPr>
          <t>Author:
[Table 1 in doi.org/10.1038/s41526-023-00324-w]</t>
        </r>
      </text>
    </comment>
    <comment ref="E13" authorId="0" shapeId="0" xr:uid="{00000000-0006-0000-0000-000004000000}">
      <text>
        <r>
          <rPr>
            <sz val="11"/>
            <color theme="1"/>
            <rFont val="Calibri"/>
            <family val="2"/>
            <scheme val="minor"/>
          </rPr>
          <t>Author:
[Table 1 in doi.org/10.1038/s41526-023-00324-w]</t>
        </r>
      </text>
    </comment>
    <comment ref="F13" authorId="0" shapeId="0" xr:uid="{00000000-0006-0000-0000-000005000000}">
      <text>
        <r>
          <rPr>
            <sz val="11"/>
            <color theme="1"/>
            <rFont val="Calibri"/>
            <family val="2"/>
            <scheme val="minor"/>
          </rPr>
          <t>Author:
[Table 1 in doi.org/10.1038/s41526-023-00324-w]</t>
        </r>
      </text>
    </comment>
    <comment ref="G13" authorId="0" shapeId="0" xr:uid="{00000000-0006-0000-0000-000006000000}">
      <text>
        <r>
          <rPr>
            <sz val="11"/>
            <color theme="1"/>
            <rFont val="Calibri"/>
            <family val="2"/>
            <scheme val="minor"/>
          </rPr>
          <t>Author:
[Table 1 in doi.org/10.1038/s41526-023-00324-w]</t>
        </r>
      </text>
    </comment>
    <comment ref="H13" authorId="0" shapeId="0" xr:uid="{00000000-0006-0000-0000-000007000000}">
      <text>
        <r>
          <rPr>
            <sz val="11"/>
            <color theme="1"/>
            <rFont val="Calibri"/>
            <family val="2"/>
            <scheme val="minor"/>
          </rPr>
          <t>Author:
= 0.940 kg/CM-h 
[Table 3-30 in 
https://ntrs.nasa.gov/api/citations/20210024855/downloads/BVAD_2.15.22-final.pdf]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Shanice Taylor</author>
  </authors>
  <commentList>
    <comment ref="B22" authorId="0" shapeId="0" xr:uid="{00000000-0006-0000-0100-000002000000}">
      <text>
        <r>
          <rPr>
            <sz val="11"/>
            <color theme="1"/>
            <rFont val="Calibri"/>
            <family val="2"/>
            <scheme val="minor"/>
          </rPr>
          <t xml:space="preserve">Shanice Taylor:
(0.0254^3) m^3 = 1 inch^3
</t>
        </r>
      </text>
    </comment>
    <comment ref="D26" authorId="0" shapeId="0" xr:uid="{00000000-0006-0000-0100-000004000000}">
      <text>
        <r>
          <rPr>
            <sz val="11"/>
            <color theme="1"/>
            <rFont val="Calibri"/>
            <family val="2"/>
            <scheme val="minor"/>
          </rPr>
          <t>Shanice Taylor:
 (321 kg + 91 kg) * equipment qty 
- (Mass of refrigeration unit (321 kg) + secondary structure mass (91 kg)) * quantity of refrigeration unit
[Table 4-49 in https://ntrs.nasa.gov/api/citations/20210024855/downloads/BVAD_2.15.22-final.pdf]</t>
        </r>
      </text>
    </comment>
    <comment ref="E26" authorId="0" shapeId="0" xr:uid="{00000000-0006-0000-0100-000005000000}">
      <text>
        <r>
          <rPr>
            <sz val="11"/>
            <color theme="1"/>
            <rFont val="Calibri"/>
            <family val="2"/>
            <scheme val="minor"/>
          </rPr>
          <t>Shanice Taylor:
= 2 m^3 * [equipment qty]
- Volume of refrigerator including rack * qty of rerfrigerators
[Table 4-49 in https://ntrs.nasa.gov/api/citations/20210024855/downloads/BVAD_2.15.22-final.pdf]</t>
        </r>
      </text>
    </comment>
    <comment ref="F26" authorId="0" shapeId="0" xr:uid="{00000000-0006-0000-0100-000006000000}">
      <text>
        <r>
          <rPr>
            <sz val="11"/>
            <color theme="1"/>
            <rFont val="Calibri"/>
            <family val="2"/>
            <scheme val="minor"/>
          </rPr>
          <t>Shanice Taylor:
= 0.205 kW * [equipment qty]
- Power of refrigerator * qty of rerfrigerators
[Table 4-49 in https://ntrs.nasa.gov/api/citations/20210024855/downloads/BVAD_2.15.22-final.pdf]</t>
        </r>
      </text>
    </comment>
    <comment ref="E30" authorId="0" shapeId="0" xr:uid="{00000000-0006-0000-0100-000007000000}">
      <text>
        <r>
          <rPr>
            <sz val="11"/>
            <color theme="1"/>
            <rFont val="Calibri"/>
            <family val="2"/>
            <scheme val="minor"/>
          </rPr>
          <t>Shanice Taylor:
How was 0.73728 m3 calculated? I'm getting 0.755 m3.  Karen:  Yes, you are correct, I had rounded off the conversion factor for cubic inches to cubic meters</t>
        </r>
      </text>
    </comment>
    <comment ref="C31" authorId="0" shapeId="0" xr:uid="{00000000-0006-0000-0100-000008000000}">
      <text>
        <r>
          <rPr>
            <sz val="11"/>
            <color theme="1"/>
            <rFont val="Calibri"/>
            <family val="2"/>
            <scheme val="minor"/>
          </rPr>
          <t>Shanice Taylor:
FLOWN generates no useful outputs across any metric</t>
        </r>
      </text>
    </comment>
    <comment ref="D32" authorId="0" shapeId="0" xr:uid="{00000000-0006-0000-0100-000009000000}">
      <text>
        <r>
          <rPr>
            <sz val="11"/>
            <color theme="1"/>
            <rFont val="Calibri"/>
            <family val="2"/>
            <scheme val="minor"/>
          </rPr>
          <t>Shanice Taylor:
How was 53.76 kg calculated? I'm getting 50.32 kg (32.76 g empty injection pen * 1536 units / 1000 g)
Karen:  see formula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Shanice Taylor</author>
    <author>Karen McDonald</author>
  </authors>
  <commentList>
    <comment ref="B15" authorId="0" shapeId="0" xr:uid="{00000000-0006-0000-0200-000001000000}">
      <text>
        <r>
          <rPr>
            <sz val="11"/>
            <color theme="1"/>
            <rFont val="Calibri"/>
            <family val="2"/>
            <scheme val="minor"/>
          </rPr>
          <t>Shanice Taylor:
= 131.35 g FW/m^2-d * 28 d * 1 kg/1000 g
- 131.35 g FW/m^2-d 
[Table 4-90 https://ntrs.nasa.gov/api/citations/20210024855/downloads/BVAD_2.15.22-final.pdf]
- 28-day growth period for lettuce</t>
        </r>
      </text>
    </comment>
    <comment ref="B16" authorId="0" shapeId="0" xr:uid="{00000000-0006-0000-0200-000002000000}">
      <text>
        <r>
          <rPr>
            <sz val="11"/>
            <color theme="1"/>
            <rFont val="Calibri"/>
            <family val="2"/>
            <scheme val="minor"/>
          </rPr>
          <t xml:space="preserve">Shanice Taylor:
[Table 4-111 in https://ntrs.nasa.gov/api/citations/20210024855/downloads/BVAD_2.15.22-final.pdf]
</t>
        </r>
      </text>
    </comment>
    <comment ref="B18" authorId="0" shapeId="0" xr:uid="{00000000-0006-0000-0200-000003000000}">
      <text>
        <r>
          <rPr>
            <sz val="11"/>
            <color theme="1"/>
            <rFont val="Calibri"/>
            <family val="2"/>
            <scheme val="minor"/>
          </rPr>
          <t xml:space="preserve">Shanice Taylor:
= [PTH-Fc mass] mg PTH-Fc monomer/wk-CM * 1 dimer/2 monomers * [PTH-Fc mass] mg dimer/kg FW </t>
        </r>
      </text>
    </comment>
    <comment ref="D30" authorId="0" shapeId="0" xr:uid="{00000000-0006-0000-0200-000004000000}">
      <text>
        <r>
          <rPr>
            <sz val="11"/>
            <color theme="1"/>
            <rFont val="Calibri"/>
            <family val="2"/>
            <scheme val="minor"/>
          </rPr>
          <t>Shanice Taylor:
= (101.5 kg/m^2 - 22.9 kg/m^2 - 8.4 kg/m^2) * [planting area] m^2
- Mass of all components in plant growth chamber (101.5 kg/m^2)    minus HPS lamps (22.9 kg/m^2) and ballasts (8.4 kg/m^2)
[Table 4-88 in https://ntrs.nasa.gov/api/citations/20210024855/downloads/BVAD_2.15.22-final.pdf]</t>
        </r>
      </text>
    </comment>
    <comment ref="E30" authorId="0" shapeId="0" xr:uid="{00000000-0006-0000-0200-000005000000}">
      <text>
        <r>
          <rPr>
            <sz val="11"/>
            <color theme="1"/>
            <rFont val="Calibri"/>
            <family val="2"/>
            <scheme val="minor"/>
          </rPr>
          <t>Shanice Taylor:
= (1.03 m^3/m^2 - 0.25 m^3/m^2) * [planting area] m^2
- Volume of all components (1.03 m^3/m^2) minus HPS lamps (0.25 m^3/m^2)
[Table 4-88 in https://ntrs.nasa.gov/api/citations/20210024855/downloads/BVAD_2.15.22-final.pdf]</t>
        </r>
      </text>
    </comment>
    <comment ref="F30" authorId="0" shapeId="0" xr:uid="{00000000-0006-0000-0200-000006000000}">
      <text>
        <r>
          <rPr>
            <sz val="11"/>
            <color theme="1"/>
            <rFont val="Calibri"/>
            <family val="2"/>
            <scheme val="minor"/>
          </rPr>
          <t>Shanice Taylor:
= (2.6 kW/m^2 - 2.1 kW/m^2 - 0.075 kW/m^2) * [planting area] m^2
Power of all chamber components (2.6 kW/m^2) minus HPS lamps (2.1 kW/m^2) and ballasts (0.075 kW/m^2) 
[Table 4-88 in https://ntrs.nasa.gov/api/citations/20210024855/downloads/BVAD_2.15.22-final.pdf]</t>
        </r>
      </text>
    </comment>
    <comment ref="G30" authorId="0" shapeId="0" xr:uid="{00000000-0006-0000-0200-000007000000}">
      <text>
        <r>
          <rPr>
            <sz val="11"/>
            <color theme="1"/>
            <rFont val="Calibri"/>
            <family val="2"/>
            <scheme val="minor"/>
          </rPr>
          <t xml:space="preserve">Shanice Taylor:
No info available regarding crewtime for maintaining growth chamber
</t>
        </r>
      </text>
    </comment>
    <comment ref="C31" authorId="0" shapeId="0" xr:uid="{00000000-0006-0000-0200-000008000000}">
      <text>
        <r>
          <rPr>
            <sz val="11"/>
            <color theme="1"/>
            <rFont val="Calibri"/>
            <family val="2"/>
            <scheme val="minor"/>
          </rPr>
          <t xml:space="preserve">Shanice Taylor:
= rounded-up value of [planting area] m^2 * 9 panels/m^2
- 9 LED panels per m^2 [personal communication with Paul Kusuma, 2025]
</t>
        </r>
      </text>
    </comment>
    <comment ref="D31" authorId="0" shapeId="0" xr:uid="{00000000-0006-0000-0200-000009000000}">
      <text>
        <r>
          <rPr>
            <sz val="11"/>
            <color theme="1"/>
            <rFont val="Calibri"/>
            <family val="2"/>
            <scheme val="minor"/>
          </rPr>
          <t xml:space="preserve">Shanice Taylor:
= 0.243 kg/LED panel * # of LED panels
- 0.243 kg = mass of an individual LED panel 
[personal communication with Paul Kusuma, 2025]
</t>
        </r>
      </text>
    </comment>
    <comment ref="E31" authorId="0" shapeId="0" xr:uid="{00000000-0006-0000-0200-00000A000000}">
      <text>
        <r>
          <rPr>
            <sz val="11"/>
            <color theme="1"/>
            <rFont val="Calibri"/>
            <family val="2"/>
            <scheme val="minor"/>
          </rPr>
          <t>Shanice Taylor:
= (0.3 m x 0.3 m x 0.001 m)/LED panel * # of LED panels
- 0.3m x 0.3m x 0.001m = dimensions (LxWxH) of one LED panel
[personal communication with Paul Kusuma, 2025]</t>
        </r>
      </text>
    </comment>
    <comment ref="F31" authorId="0" shapeId="0" xr:uid="{00000000-0006-0000-0200-00000B000000}">
      <text>
        <r>
          <rPr>
            <sz val="11"/>
            <color theme="1"/>
            <rFont val="Calibri"/>
            <family val="2"/>
            <scheme val="minor"/>
          </rPr>
          <t>Shanice Taylor:
= 50.7 W/LED panel * # of LED panels * 1 kW/1000W
- 50.7 W = power that 1 LED panel consumes
[personal communication with Paul Kusuma, 2025]</t>
        </r>
      </text>
    </comment>
    <comment ref="C32" authorId="0" shapeId="0" xr:uid="{00000000-0006-0000-0200-00000C000000}">
      <text>
        <r>
          <rPr>
            <sz val="11"/>
            <color theme="1"/>
            <rFont val="Calibri"/>
            <family val="2"/>
            <scheme val="minor"/>
          </rPr>
          <t>Shanice Taylor:
= if 0.003785 m^3 * # of harvest collection containers/week * 2 weeks &lt;=  0.0187 m^3, return the value of 1
= if the ratio of (0.003785 m^3 * # of harvest collection containers/week * 2 weeks) / (0.0187 m^3) is greater than 1, return the value to the next whole number
- 0.003785 m^3 = volume of a 1-gallon ziploc bag used for cold storage
[https://www.uline.com/Product/Detail/S-23779/Food-Bags/Ziploc-Freezer-Bags-1-Gallon]
- 2 weeks = assumed time for cold storage to be kept in freezer
- 0.0187 m^3 = cold capacity volume of one NASA GLACIER freezer [https://ntrs.nasa.gov/api/citations/20060056491/downloads/20060056491.pdf]</t>
        </r>
      </text>
    </comment>
    <comment ref="D32" authorId="0" shapeId="0" xr:uid="{00000000-0006-0000-0200-00000D000000}">
      <text>
        <r>
          <rPr>
            <sz val="11"/>
            <color theme="1"/>
            <rFont val="Calibri"/>
            <family val="2"/>
            <scheme val="minor"/>
          </rPr>
          <t>Shanice Taylor:
= 0.75 kg freezer/kg frozen food mass * [plant mass] kg FW/wk * # of freezers
- 0.75 kg freezer/kg frozen food mass
[Table 4-50 in https://ntrs.nasa.gov/api/citations/20210024855/downloads/BVAD_2.15.22-final.pdf]</t>
        </r>
      </text>
    </comment>
    <comment ref="E32" authorId="0" shapeId="0" xr:uid="{00000000-0006-0000-0200-00000E000000}">
      <text>
        <r>
          <rPr>
            <sz val="11"/>
            <color theme="1"/>
            <rFont val="Calibri"/>
            <family val="2"/>
            <scheme val="minor"/>
          </rPr>
          <t>Shanice Taylor:
= 3.93E-3 m^3 freezer/kg frozen food mass * [plant mass] kg FW/wk * # of freezers
- 3.93E-3 m^3 freezer/kg frozen food mass
[Table 4-50 in https://ntrs.nasa.gov/api/citations/20210024855/downloads/BVAD_2.15.22-final.pdf]</t>
        </r>
      </text>
    </comment>
    <comment ref="F32" authorId="0" shapeId="0" xr:uid="{00000000-0006-0000-0200-00000F000000}">
      <text>
        <r>
          <rPr>
            <sz val="11"/>
            <color theme="1"/>
            <rFont val="Calibri"/>
            <family val="2"/>
            <scheme val="minor"/>
          </rPr>
          <t>Shanice Taylor:
= 0.33 kW freezer/kg frozen food mass * [harvested plant mass] kg/wk * # of freezers
- 0.33 kW freezer/kg frozen food mass
[Table 4-50 in https://ntrs.nasa.gov/api/citations/20210024855/downloads/BVAD_2.15.22-final.pdf]</t>
        </r>
      </text>
    </comment>
    <comment ref="G32" authorId="0" shapeId="0" xr:uid="{00000000-0006-0000-0200-000010000000}">
      <text>
        <r>
          <rPr>
            <sz val="11"/>
            <color theme="1"/>
            <rFont val="Calibri"/>
            <family val="2"/>
            <scheme val="minor"/>
          </rPr>
          <t>Shanice Taylor:
[Table 4-50 in https://ntrs.nasa.gov/api/citations/20210024855/downloads/BVAD_2.15.22-final.pdf]</t>
        </r>
      </text>
    </comment>
    <comment ref="C33" authorId="0" shapeId="0" xr:uid="{00000000-0006-0000-0200-000011000000}">
      <text>
        <r>
          <rPr>
            <sz val="11"/>
            <color theme="1"/>
            <rFont val="Calibri"/>
            <family val="2"/>
            <scheme val="minor"/>
          </rPr>
          <t>Shanice Taylor:
= if leaf harvest crew time is less than 2 hrs, return the value of 1
= if the ratio of leaf harvest crew time to 2 hrs is greater than 1, return the next whole number
- Assumption: 1 harvesting tool per CM
- Assumption: 1 CM will spend maximum 2 hours harvesting per week</t>
        </r>
      </text>
    </comment>
    <comment ref="D33" authorId="0" shapeId="0" xr:uid="{00000000-0006-0000-0200-000012000000}">
      <text>
        <r>
          <rPr>
            <sz val="11"/>
            <color theme="1"/>
            <rFont val="Calibri"/>
            <family val="2"/>
            <scheme val="minor"/>
          </rPr>
          <t>Shanice Taylor:
= 0.20411 kg/scissor * # of scissors
- 0.20411 = mass of one scissor, similar to the one used by https://doi.org/10.2478/gsr-2023-0001 
[https://www.amazon.com/Clauss-Forged-Carbon-Steel-Shears/dp/B000PCVTCQ]</t>
        </r>
      </text>
    </comment>
    <comment ref="E33" authorId="0" shapeId="0" xr:uid="{00000000-0006-0000-0200-000013000000}">
      <text>
        <r>
          <rPr>
            <sz val="11"/>
            <color theme="1"/>
            <rFont val="Calibri"/>
            <family val="2"/>
            <scheme val="minor"/>
          </rPr>
          <t>Shanice Taylor:
= 6.4E-4 m^3/scissor * # of scissors
- 6.4E-4 m^3 = volume of one scissor, similar to the one used by https://doi.org/10.2478/gsr-2023-0001 
[https://www.amazon.com/Clauss-Forged-Carbon-Steel-Shears/dp/B000PCVTCQ]</t>
        </r>
      </text>
    </comment>
    <comment ref="C34" authorId="0" shapeId="0" xr:uid="{00000000-0006-0000-0200-000014000000}">
      <text>
        <r>
          <rPr>
            <sz val="11"/>
            <color theme="1"/>
            <rFont val="Calibri"/>
            <family val="2"/>
            <scheme val="minor"/>
          </rPr>
          <t xml:space="preserve">Shanice Taylor:
= rounded up value of [plant mass] kg FW/wk * (1 m^3 / 85 kg) * 1 bag / 0.003785 m^3
= 85 kg/m^3 = assumed density of moderately-packed lettuce [https://kg-m3.com/material/salad-green-leaves-raw] 
- 0.003785 m^3 = volume of a 1 gal bag [https://www.uline.com/Product/Detail/S-23779/Food-Bags/Ziploc-Freezer-Bags-1-Gallon] </t>
        </r>
      </text>
    </comment>
    <comment ref="D34" authorId="0" shapeId="0" xr:uid="{00000000-0006-0000-0200-000015000000}">
      <text>
        <r>
          <rPr>
            <sz val="11"/>
            <color theme="1"/>
            <rFont val="Calibri"/>
            <family val="2"/>
            <scheme val="minor"/>
          </rPr>
          <t>Shanice Taylor:
= (7.62 lbs / 250 bags) * (0.45359 kg / 1 lb) * # of bags
- 7.62 lbs per 250 bags 
[https://www.uline.com/Product/Detail/S-23779/Food-Bags/Ziploc-Freezer-Bags-1-Gallon]</t>
        </r>
      </text>
    </comment>
    <comment ref="E34" authorId="0" shapeId="0" xr:uid="{00000000-0006-0000-0200-000016000000}">
      <text>
        <r>
          <rPr>
            <sz val="11"/>
            <color theme="1"/>
            <rFont val="Calibri"/>
            <family val="2"/>
            <scheme val="minor"/>
          </rPr>
          <t xml:space="preserve">Shanice Taylor:
= (10.5 x 11 x 0.00394) in^3 * 1.639E-5 m^3/in^3 * # of bags
- 10.5" x 11" x 0.00394" = volume of a ziploc bag
[https://www.uline.com/Product/Detail/S-23779/Food-Bags/Ziploc-Freezer-Bags-1-Gallon]
</t>
        </r>
      </text>
    </comment>
    <comment ref="C38" authorId="0" shapeId="0" xr:uid="{00000000-0006-0000-0200-000017000000}">
      <text>
        <r>
          <rPr>
            <sz val="11"/>
            <color theme="1"/>
            <rFont val="Calibri"/>
            <family val="2"/>
            <scheme val="minor"/>
          </rPr>
          <t>Shanice Taylor:
= [# of plants]/wk * 1.01 mg/seed * 1 kg/1000000 mg
- 1 seed is 1.01 mg
[experimental data]</t>
        </r>
      </text>
    </comment>
    <comment ref="D38" authorId="0" shapeId="0" xr:uid="{00000000-0006-0000-0200-000018000000}">
      <text>
        <r>
          <rPr>
            <sz val="11"/>
            <color theme="1"/>
            <rFont val="Calibri"/>
            <family val="2"/>
            <scheme val="minor"/>
          </rPr>
          <t xml:space="preserve">Shanice Taylor:
= (4.57 mm * 1.524 mm * 0.5 mm)/seed * (1mm^3 / 1E-9 m^3)
- (4.57mm x 1.524 mm x 0.5 mm) = LxWxH
[experimental data]
</t>
        </r>
      </text>
    </comment>
    <comment ref="F38" authorId="0" shapeId="0" xr:uid="{00000000-0006-0000-0200-000019000000}">
      <text>
        <r>
          <rPr>
            <sz val="11"/>
            <color theme="1"/>
            <rFont val="Calibri"/>
            <family val="2"/>
            <scheme val="minor"/>
          </rPr>
          <t>Shanice Taylor:
= [# of plants]/wk * 1 min/10 seeds * 1 h/60 min * 150%
- Sowing seeds: 1 min per 10 seeds
[Table 3 in https://doi.org/10.1016/j.lssr.2021.08.002]
- Crew time in space is estimated at 150% of lab time on Earth [personal commication from Gioia (Feb, 2025)]</t>
        </r>
      </text>
    </comment>
    <comment ref="C39" authorId="0" shapeId="0" xr:uid="{00000000-0006-0000-0200-00001A000000}">
      <text>
        <r>
          <rPr>
            <sz val="11"/>
            <color theme="1"/>
            <rFont val="Calibri"/>
            <family val="2"/>
            <scheme val="minor"/>
          </rPr>
          <t>Shanice Taylor:
= [water volume] m^3 * 1000 kg/m^3
- 1000 kg/m^3 = water density</t>
        </r>
      </text>
    </comment>
    <comment ref="D39" authorId="0" shapeId="0" xr:uid="{00000000-0006-0000-0200-00001B000000}">
      <text>
        <r>
          <rPr>
            <sz val="11"/>
            <color theme="1"/>
            <rFont val="Calibri"/>
            <family val="2"/>
            <scheme val="minor"/>
          </rPr>
          <t>Shanice Taylor:
= 7.3 g DW/m^2-d * [planting area] m^2 * 28 d * 0.34 L water/g DW * 0.001 m^3/L
- 7.3 g DW/m^2-d
- 0.34 L water/g DW
[Tables 4-91 and 4-93 in https://ntrs.nasa.gov/api/citations/20210024855/downloads/BVAD_2.15.22-final.pdf]
- 28 d batch time
- Accounts for water for all 4 batches within a 28-day growth period</t>
        </r>
      </text>
    </comment>
    <comment ref="F39" authorId="0" shapeId="0" xr:uid="{00000000-0006-0000-0200-00001C000000}">
      <text>
        <r>
          <rPr>
            <sz val="11"/>
            <color theme="1"/>
            <rFont val="Calibri"/>
            <family val="2"/>
            <scheme val="minor"/>
          </rPr>
          <t>Shanice Taylor:
- 90 min/event * 4 events/yr * 1 h/60 min * 1/12.5 m^2 * 1 yr/365 d * 28 d * [planting area] m^2 * 150%
- 90 min per water management event
 [Table 3 in https://doi.org/10.1016/j.lssr.2021.08.002]
- 4 water management events a year [10.3389/fpls.2020.00656, Zabel 2020][Zeidler, Conrad, et al. "Resource consumption and waste production of the EDEN ISS space greenhouse analogue during the 2018 experiment phase in Antarctica."]
- 12.5 m^2 growing area for EDEN ISS
 [Table 3 in https://doi.org/10.1016/j.lssr.2021.08.002]
- 28 d batch time
- Crew time in space is estimated at 150% of lab time on Earth [personal commication from Gioia (Feb, 2025)]</t>
        </r>
      </text>
    </comment>
    <comment ref="C40" authorId="0" shapeId="0" xr:uid="{00000000-0006-0000-0200-00001D000000}">
      <text>
        <r>
          <rPr>
            <sz val="11"/>
            <color theme="1"/>
            <rFont val="Calibri"/>
            <family val="2"/>
            <scheme val="minor"/>
          </rPr>
          <t>Shanice Taylor:
- (1.166 g/L + (12.496 g/L-wk * 3 wks)) * (1 kg/1000 g) * [volume of water] m^3 * 1000 L/m^3 
- 1.166 g/L nutrients added first week
- 12.496 g/L nutrients added following three weeks
[Tables 4-94 and 4-95 in https://ntrs.nasa.gov/api/citations/20210024855/downloads/BVAD_2.15.22-final.pdf]</t>
        </r>
      </text>
    </comment>
    <comment ref="F40" authorId="0" shapeId="0" xr:uid="{00000000-0006-0000-0200-00001E000000}">
      <text>
        <r>
          <rPr>
            <sz val="11"/>
            <color theme="1"/>
            <rFont val="Calibri"/>
            <family val="2"/>
            <scheme val="minor"/>
          </rPr>
          <t>Shanice Taylor:
= 20.17 min/10 d-tank * 1 hr/60 min * 1/12.5 m^2 * [planting area] m^2 * 28 d * 150%
- 20.17 min of nutrient solution prep per 10 days/tank (assuming 1 tank is always used and replenished every 10 days)
- 12.5 m^2 growing area aboard EDEN ISS
[Table 3 in https://doi.org/10.1016/j.lssr.2021.08.002]
- 28 d batch time
-  Crew time in space is estimated at 150% of lab time on Earth [personal commication from Gioia Massa (Feb, 2025)]</t>
        </r>
      </text>
    </comment>
    <comment ref="C41" authorId="0" shapeId="0" xr:uid="{00000000-0006-0000-0200-00001F000000}">
      <text>
        <r>
          <rPr>
            <sz val="11"/>
            <color theme="1"/>
            <rFont val="Calibri"/>
            <family val="2"/>
            <scheme val="minor"/>
          </rPr>
          <t>Shanice Taylor:
= 10.7 g CO2/m^2-d * [planting area] m^2 * 28 d * 1 kg/1000 g
- 10.7 g CO2/m^2-d
[Table 4-91 in https://ntrs.nasa.gov/api/citations/20210024855/downloads/BVAD_2.15.22-final.pdf]
- 28 d batch time</t>
        </r>
      </text>
    </comment>
    <comment ref="D41" authorId="0" shapeId="0" xr:uid="{00000000-0006-0000-0200-000020000000}">
      <text>
        <r>
          <rPr>
            <sz val="11"/>
            <color theme="1"/>
            <rFont val="Calibri"/>
            <family val="2"/>
            <scheme val="minor"/>
          </rPr>
          <t>Shanice Taylor:
- [mass CO2] kg * 1 m^3/1.82 kg
- 1.82 kg/m^3 = density of CO2 gas at 23C</t>
        </r>
      </text>
    </comment>
    <comment ref="F41" authorId="0" shapeId="0" xr:uid="{00000000-0006-0000-0200-000021000000}">
      <text>
        <r>
          <rPr>
            <sz val="11"/>
            <color theme="1"/>
            <rFont val="Calibri"/>
            <family val="2"/>
            <scheme val="minor"/>
          </rPr>
          <t>Shanice Taylor:
= 2.13 min/task * 365 tasks/yr * 1 hr/60 min * 1 yr/365 d * 28 d * 1.5
- 2.13 min per CO2 and lighting monitoring task
- 365 monitoring tasks per year (daily operation)
[Table 5 in https://doi.org/10.1016/j.lssr.2021.08.002]
- 28 day batch time
- Crew time in space is estimated at 150% of lab time on Earth [personal commication from Gioia Massa (Feb, 2025)]</t>
        </r>
      </text>
    </comment>
    <comment ref="C43" authorId="0" shapeId="0" xr:uid="{00000000-0006-0000-0200-000022000000}">
      <text>
        <r>
          <rPr>
            <sz val="11"/>
            <color theme="1"/>
            <rFont val="Calibri"/>
            <family val="2"/>
            <scheme val="minor"/>
          </rPr>
          <t>Shanice Taylor:
- 7.78 g O2/m^2-d * [planting area] m^2 * 28 d * 1 kg/1000 g
- 7.78 g O2/m^2-d
[Table 4-91 in https://ntrs.nasa.gov/api/citations/20210024855/downloads/BVAD_2.15.22-final.pdf]
- 28-day batch time</t>
        </r>
      </text>
    </comment>
    <comment ref="D43" authorId="0" shapeId="0" xr:uid="{00000000-0006-0000-0200-000023000000}">
      <text>
        <r>
          <rPr>
            <sz val="11"/>
            <color theme="1"/>
            <rFont val="Calibri"/>
            <family val="2"/>
            <scheme val="minor"/>
          </rPr>
          <t>Shanice Taylor:
= [mass of oxygen] kg * 1 m^3/kg
- 1.3 kg/m^3 = density of O2 gas at 1 atm</t>
        </r>
      </text>
    </comment>
    <comment ref="C44" authorId="0" shapeId="0" xr:uid="{00000000-0006-0000-0200-000024000000}">
      <text>
        <r>
          <rPr>
            <sz val="11"/>
            <color theme="1"/>
            <rFont val="Calibri"/>
            <family val="2"/>
            <scheme val="minor"/>
          </rPr>
          <t>Shanice Taylor:
= 2.1 kg/m^2-d * [planting area] m^2 * 28 d
- 2.1 kg/m^2-d is the average water uptake or average transpiration rate
[Table 4-91 https://ntrs.nasa.gov/api/citations/20210024855/downloads/BVAD_2.15.22-final.pdf]
- 28-day batch time</t>
        </r>
      </text>
    </comment>
    <comment ref="D44" authorId="0" shapeId="0" xr:uid="{00000000-0006-0000-0200-000025000000}">
      <text>
        <r>
          <rPr>
            <sz val="11"/>
            <color theme="1"/>
            <rFont val="Calibri"/>
            <family val="2"/>
            <scheme val="minor"/>
          </rPr>
          <t>Shanice Taylor:
= [water mass] kg * 1 m^3/1000 kg
- 1000 kg/m^3 = water density</t>
        </r>
      </text>
    </comment>
    <comment ref="F46" authorId="0" shapeId="0" xr:uid="{00000000-0006-0000-0200-000026000000}">
      <text>
        <r>
          <rPr>
            <sz val="11"/>
            <color theme="1"/>
            <rFont val="Calibri"/>
            <family val="2"/>
            <scheme val="minor"/>
          </rPr>
          <t>Shanice Taylor:
= 3.97 min harvest time/m^2 * [planting area] m^2 * 1 hr/60 min * 1.5
- 3.97 min/m^2 harvest time for lettuce
[Table 3 in https://doi.org/10.1016/j.lssr.2021.08.002]
- Crew time in space is estimated at 150% of lab time on Earth [personal commication from Gioia Massa (Feb, 2025)]</t>
        </r>
      </text>
    </comment>
    <comment ref="C47" authorId="0" shapeId="0" xr:uid="{00000000-0006-0000-0200-000027000000}">
      <text>
        <r>
          <rPr>
            <sz val="11"/>
            <color theme="1"/>
            <rFont val="Calibri"/>
            <family val="2"/>
            <scheme val="minor"/>
          </rPr>
          <t>Shanice Taylor:
= ([harvested edible biomass] kg FW/m^2 * [planting area] m^2) - [water mass in plant] kg</t>
        </r>
      </text>
    </comment>
    <comment ref="D47" authorId="0" shapeId="0" xr:uid="{00000000-0006-0000-0200-000028000000}">
      <text>
        <r>
          <rPr>
            <sz val="11"/>
            <color theme="1"/>
            <rFont val="Calibri"/>
            <family val="2"/>
            <scheme val="minor"/>
          </rPr>
          <t>Shanice Taylor:
= [plant mass DW] kg * 1 m^3/386 kg
- 368 kg/m^3 = estimated lettuce dry bulk density
[https://www.mpd-inc.com/bulk-density/]</t>
        </r>
      </text>
    </comment>
    <comment ref="C48" authorId="0" shapeId="0" xr:uid="{00000000-0006-0000-0200-000029000000}">
      <text>
        <r>
          <rPr>
            <sz val="11"/>
            <color theme="1"/>
            <rFont val="Calibri"/>
            <family val="2"/>
            <scheme val="minor"/>
          </rPr>
          <t>Shanice Taylor:
= [plant mass] kg FW * 0.90
- 90% water content in lettuce
[Table 4-90 in https://ntrs.nasa.gov/api/citations/20210024855/downloads/BVAD_2.15.22-final.pdf]</t>
        </r>
      </text>
    </comment>
    <comment ref="D48" authorId="0" shapeId="0" xr:uid="{00000000-0006-0000-0200-00002A000000}">
      <text>
        <r>
          <rPr>
            <sz val="11"/>
            <color theme="1"/>
            <rFont val="Calibri"/>
            <family val="2"/>
            <scheme val="minor"/>
          </rPr>
          <t>Shanice Taylor:
= [water mass] kg * 1 m^3/1000 kg
- 1000 kg/m^3 = water density</t>
        </r>
      </text>
    </comment>
    <comment ref="E49" authorId="0" shapeId="0" xr:uid="{00000000-0006-0000-0200-00002B000000}">
      <text>
        <r>
          <rPr>
            <sz val="11"/>
            <color theme="1"/>
            <rFont val="Calibri"/>
            <family val="2"/>
            <scheme val="minor"/>
          </rPr>
          <t>Shanice Taylor:
= [plant mass] kg FW/week * 17 kcal/0.1 kg lettuce * 1000 cal/1 kcal * 4.184 J / 1 cal * 7 d/wk * 24 h/d * 3600s/h
- 17 kcal per 0.1 kg lettuce
[https://fdc.nal.usda.gov/food-details/2346388/nutrients]
- 28-day batch time</t>
        </r>
      </text>
    </comment>
    <comment ref="C50" authorId="0" shapeId="0" xr:uid="{00000000-0006-0000-0200-00002C000000}">
      <text>
        <r>
          <rPr>
            <sz val="11"/>
            <color theme="1"/>
            <rFont val="Calibri"/>
            <family val="2"/>
            <scheme val="minor"/>
          </rPr>
          <t>Shanice Taylor:
= (0.74 g protein + 0.07 g fat + 3.37 g carbs + 0.12 g nitrogen + 0.32 g ash)/ 0.1 kg lettuce * 1 kg macros /1000 g macros * [plant mass] kg
- All above macros are per 0.1 kg lettuce
[https://fdc.nal.usda.gov/food-details/2346388/nutrients]</t>
        </r>
      </text>
    </comment>
    <comment ref="C51" authorId="0" shapeId="0" xr:uid="{00000000-0006-0000-0200-00002D000000}">
      <text>
        <r>
          <rPr>
            <sz val="11"/>
            <color theme="1"/>
            <rFont val="Calibri"/>
            <family val="2"/>
            <scheme val="minor"/>
          </rPr>
          <t>Shanice Taylor:
= (14 mg Ca + 0.03 mg Fe + 6.3 mg Mg + 19 mg P + 139 mg K + 16 mg Na + 0.17 mg Zn + 0.033 mg Cu + 0.082 mg Mn + 0.056 mg Thiamin + 0.218 mg Niacin + 0.04 mg Vitamin B-6 + 0.0205 ug Vitamin K )/ 0.1 kg lettuce * 1 kg micros /1000 g micros * [plant mass] kg
- All above micros are per 0.1 kg lettuce
[https://fdc.nal.usda.gov/food-details/2346388/nutrients]</t>
        </r>
      </text>
    </comment>
    <comment ref="C53" authorId="0" shapeId="0" xr:uid="{00000000-0006-0000-0200-00002E000000}">
      <text>
        <r>
          <rPr>
            <sz val="11"/>
            <color theme="1"/>
            <rFont val="Calibri"/>
            <family val="2"/>
            <scheme val="minor"/>
          </rPr>
          <t>Shanice Taylor:
= 7.3 g inedible FW/m^2-d * 1 kg/1000 g * [planting area] m^2 * 28 d
- 7.3 g inedible FW/m^2-d
[Table 4-90 in https://ntrs.nasa.gov/api/citations/20210024855/downloads/BVAD_2.15.22-final.pdf]
- 28-d batch period</t>
        </r>
      </text>
    </comment>
    <comment ref="D53" authorId="0" shapeId="0" xr:uid="{00000000-0006-0000-0200-00002F000000}">
      <text>
        <r>
          <rPr>
            <sz val="11"/>
            <color theme="1"/>
            <rFont val="Calibri"/>
            <family val="2"/>
            <scheme val="minor"/>
          </rPr>
          <t>Shanice Taylor:
= [biomass waste mass] kg * 1 m^3/60 kg
- 60 kg/m^3 = estimated density of raw lettuce waste
[https://kg-m3.com/material/salad-green-leaves-raw]</t>
        </r>
      </text>
    </comment>
    <comment ref="F53" authorId="0" shapeId="0" xr:uid="{00000000-0006-0000-0200-000030000000}">
      <text>
        <r>
          <rPr>
            <sz val="11"/>
            <color theme="1"/>
            <rFont val="Calibri"/>
            <family val="2"/>
            <scheme val="minor"/>
          </rPr>
          <t>Shanice Taylor:
Neglect. No current info</t>
        </r>
      </text>
    </comment>
    <comment ref="C57" authorId="0" shapeId="0" xr:uid="{00000000-0006-0000-0200-000031000000}">
      <text>
        <r>
          <rPr>
            <sz val="11"/>
            <color theme="1"/>
            <rFont val="Calibri"/>
            <family val="2"/>
            <scheme val="minor"/>
          </rPr>
          <t>Shanice Taylor:
= [seeds mass] kg/wk + ([plant nutrients mass] kg * (1/4 wks) * 4 batches/wk) + ([CO2 mass] kg * (1/4 wks) * 4 batches/wk)
- Divided plant nutrients and CO2 by 4 weeks (28 days batch time) to get a per-week basis for 1 batch. Then multiplied plant nutrients and CO2 by 4 because this is for 4 batches at a given week</t>
        </r>
      </text>
    </comment>
    <comment ref="E57" authorId="0" shapeId="0" xr:uid="{00000000-0006-0000-0200-000032000000}">
      <text>
        <r>
          <rPr>
            <sz val="11"/>
            <color theme="1"/>
            <rFont val="Calibri"/>
            <family val="2"/>
            <scheme val="minor"/>
          </rPr>
          <t>Shanice Taylor:
= ([O2 mass] kg * (1/4 wks) * 4 batches/wk) + [PTH-Fc mass] kg/wk + [plant biomass DW] kg/wk + [water mass from plant] kg/wk + [macros mass] kg/wk + [micros mass] kg/wk]
- Divided O2 by 4 weeks (28 days batch time) to get a per-week basis for 1 batch. Then multiplied by 4 because this is for 4 batches at a given week</t>
        </r>
      </text>
    </comment>
    <comment ref="C58" authorId="0" shapeId="0" xr:uid="{00000000-0006-0000-0200-000033000000}">
      <text>
        <r>
          <rPr>
            <sz val="11"/>
            <color theme="1"/>
            <rFont val="Calibri"/>
            <family val="2"/>
            <scheme val="minor"/>
          </rPr>
          <t>Shanice Taylor:
= [seeds volume] m^3/wk + ([CO2 volume] m^3 * (1/4 wks) * 4 batches/wk)
- Divided CO2 by 4 weeks (28 days batch time) to get a per-week basis for 1 batch. Then multiplied CO2 by 4 because this is for 4 batches at a given week</t>
        </r>
      </text>
    </comment>
    <comment ref="E58" authorId="0" shapeId="0" xr:uid="{00000000-0006-0000-0200-000034000000}">
      <text>
        <r>
          <rPr>
            <sz val="11"/>
            <color theme="1"/>
            <rFont val="Calibri"/>
            <family val="2"/>
            <scheme val="minor"/>
          </rPr>
          <t>Shanice Taylor:
= ([O2 volume] m^3 * (1/4 wks) * 4 batches/wk) + ([water transpiration volume] m^3 * (1/4 wks) * 4 batches/wk) + [plant biomass DW] m^3/wk + [water volume from plant] m^3/wk
- Divided O2 and water transpiration by 4 weeks (28 days batch time) to get a per-week basis for 1 batch. Then multiplied O2 and water transpiration by 4 because this is for 4 batches at a given week</t>
        </r>
      </text>
    </comment>
    <comment ref="B60" authorId="0" shapeId="0" xr:uid="{00000000-0006-0000-0200-000035000000}">
      <text>
        <r>
          <rPr>
            <sz val="11"/>
            <color theme="1"/>
            <rFont val="Calibri"/>
            <family val="2"/>
            <scheme val="minor"/>
          </rPr>
          <t>Shanice Taylor:
Same value as Power. Assumed nearly all electrical power consumed by growth chamber becomes heat to be removed by thermal control systems
[Table 4-88 in https://ntrs.nasa.gov/api/citations/20210024855/downloads/BVAD_2.15.22-final.pdf]</t>
        </r>
      </text>
    </comment>
    <comment ref="F61" authorId="1" shapeId="0" xr:uid="{2976BDB9-3A88-4459-B7ED-D55F565E2D1B}">
      <text>
        <r>
          <rPr>
            <b/>
            <sz val="9"/>
            <color indexed="81"/>
            <rFont val="Tahoma"/>
            <family val="2"/>
          </rPr>
          <t>Karen McDonald:</t>
        </r>
        <r>
          <rPr>
            <sz val="9"/>
            <color indexed="81"/>
            <rFont val="Tahoma"/>
            <family val="2"/>
          </rPr>
          <t xml:space="preserve">
Shanice Taylor:
- [crew time for sowing seeds] CM-h/wk + ([crew time for water management] CM-h/4 wks * 4 batches/wk) + ([crew time for nutrient solution prep] CM-h/4 wks * 4 batches/wk) +([crew time for CO2 monitoring] CM-h/4 wks)
- Divided crew time for water management and nutrient solution prep by 4 weeks to get a per-week basis for 1 batch. Then multiplied by 4 because this is for 4 batches at a given week. 
-  Divided crew time for CO2 monitoring by 4 to get a per-week basis. CO2 monitoring does not depend on number of batches.</t>
        </r>
      </text>
    </comment>
    <comment ref="C62" authorId="1" shapeId="0" xr:uid="{CD55AD87-B55F-4C39-9A8E-AD0A5113B65A}">
      <text>
        <r>
          <rPr>
            <b/>
            <sz val="9"/>
            <color indexed="81"/>
            <rFont val="Tahoma"/>
            <family val="2"/>
          </rPr>
          <t>Karen McDonald:</t>
        </r>
        <r>
          <rPr>
            <sz val="9"/>
            <color indexed="81"/>
            <rFont val="Tahoma"/>
            <family val="2"/>
          </rPr>
          <t xml:space="preserve">
None of the inputs require cold storage</t>
        </r>
      </text>
    </comment>
    <comment ref="A63" authorId="0" shapeId="0" xr:uid="{00000000-0006-0000-0200-000037000000}">
      <text>
        <r>
          <rPr>
            <sz val="11"/>
            <color theme="1"/>
            <rFont val="Calibri"/>
            <family val="2"/>
            <scheme val="minor"/>
          </rPr>
          <t>Shanice Taylor:
For a large-scale biomass production, the capacity of the Water Recovery System of the plant growth chamber would be expanded
[personal communication with Mark Settles, Aug 2025]</t>
        </r>
      </text>
    </comment>
    <comment ref="B63" authorId="0" shapeId="0" xr:uid="{00000000-0006-0000-0200-000038000000}">
      <text>
        <r>
          <rPr>
            <sz val="11"/>
            <color theme="1"/>
            <rFont val="Calibri"/>
            <family val="2"/>
            <scheme val="minor"/>
          </rPr>
          <t>Shanice Taylor:
= [mass of water input] kg - [mass of water transpiration] kg - [mass of water in plant] kg
- Mass of water remaining that is assumed to be recycled in the the Water Recovery System, and is thus part of the system component</t>
        </r>
      </text>
    </comment>
    <comment ref="C63" authorId="0" shapeId="0" xr:uid="{00000000-0006-0000-0200-000039000000}">
      <text>
        <r>
          <rPr>
            <sz val="11"/>
            <color theme="1"/>
            <rFont val="Calibri"/>
            <family val="2"/>
            <scheme val="minor"/>
          </rPr>
          <t>Shanice Taylor:
= ([water mass] kg * (1/4 wks) * 4 batches/wk) 
-Divided water mass by 4 weeks to get a per-week basis for 1 batch. Then multiplied by 4 because this is for 4 batches at a given week. 
- This is the mass of water provided to the plant growth chamber, with the water assumed to be sourced from the Martian surface and from Water Recovery System. 
- If sourced, should we add an ISRU System for water extraction from Mars under cell B25 "Equipment"? BVAD Table 4-85 mentions the ISRU System's mass and power, but not volume and crew time requirements</t>
        </r>
      </text>
    </comment>
    <comment ref="E63" authorId="0" shapeId="0" xr:uid="{00000000-0006-0000-0200-00003A000000}">
      <text>
        <r>
          <rPr>
            <sz val="11"/>
            <color theme="1"/>
            <rFont val="Calibri"/>
            <family val="2"/>
            <scheme val="minor"/>
          </rPr>
          <t>Shanice Taylor:
= [water transpiration mass] kg * (1/4 wks) * 4 batches/wk
Divided water transpiration by 4 weeks (28 days batch time) to get a per-week basis for 1 batch. Then multiplied by 4 because this is for 4 batches at a given week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Shanice Taylor</author>
    <author>Karen McDonald</author>
  </authors>
  <commentList>
    <comment ref="B15" authorId="0" shapeId="0" xr:uid="{00000000-0006-0000-0300-000001000000}">
      <text>
        <r>
          <rPr>
            <sz val="11"/>
            <color theme="1"/>
            <rFont val="Calibri"/>
            <family val="2"/>
            <scheme val="minor"/>
          </rPr>
          <t>Shanice Taylor:
= (320 plants / 16 ft^2 tray) * (1 ft^2 / 0.0929 m^2) * (9,830,000 g FW / 982,000 plants) * 1 kg/1000 g 
- 320 N. benth plants per 16 ft^2 tray
- 9,830,000 g FW per 982,000 plants
[doi.org/10.1080/19420862.2016.1227901]</t>
        </r>
      </text>
    </comment>
    <comment ref="B16" authorId="0" shapeId="0" xr:uid="{00000000-0006-0000-0300-000002000000}">
      <text>
        <r>
          <rPr>
            <sz val="11"/>
            <color theme="1"/>
            <rFont val="Calibri"/>
            <family val="2"/>
            <scheme val="minor"/>
          </rPr>
          <t>Shanice Taylor:
= (9,830,000 g FW / 982,000 plants) * 1 kg/1000 g 
- 9,830,000 g FW per 982,000 plants
[doi.org/10.1080/19420862.2016.1227901]</t>
        </r>
      </text>
    </comment>
    <comment ref="B17" authorId="0" shapeId="0" xr:uid="{00000000-0006-0000-0300-000003000000}">
      <text>
        <r>
          <rPr>
            <sz val="11"/>
            <color theme="1"/>
            <rFont val="Calibri"/>
            <family val="2"/>
            <scheme val="minor"/>
          </rPr>
          <t xml:space="preserve">Shanice Taylor:
= [PTH-Fc mass] mg PTH-Fc monomer/wk-CM * 1 dimer/2 monomers * [PTH-Fc mass] mg dimer/kg FW </t>
        </r>
      </text>
    </comment>
    <comment ref="D28" authorId="0" shapeId="0" xr:uid="{00000000-0006-0000-0300-000004000000}">
      <text>
        <r>
          <rPr>
            <sz val="11"/>
            <color theme="1"/>
            <rFont val="Calibri"/>
            <family val="2"/>
            <scheme val="minor"/>
          </rPr>
          <t>Shanice Taylor:
= (101.5 kg/m^2 - 22.9 kg/m^2 - 8.4 kg/m^2) * [planting area] m^2
- Mass of all components in plant growth chamber (101.5 kg/m^2)    minus HPS lamps (22.9 kg/m^2) and ballasts (8.4 kg/m^2)
[Table 4-88 in https://ntrs.nasa.gov/api/citations/20210024855/downloads/BVAD_2.15.22-final.pdf]</t>
        </r>
      </text>
    </comment>
    <comment ref="E28" authorId="0" shapeId="0" xr:uid="{00000000-0006-0000-0300-000005000000}">
      <text>
        <r>
          <rPr>
            <sz val="11"/>
            <color theme="1"/>
            <rFont val="Calibri"/>
            <family val="2"/>
            <scheme val="minor"/>
          </rPr>
          <t>Shanice Taylor:
= (1.03 m^3/m^2 - 0.25 m^3/m^2) * [planting area] m^2
- Volume of all components (1.03 m^3/m^2) minus HPS lamps (0.25 m^3/m^2)
[Table 4-88 in https://ntrs.nasa.gov/api/citations/20210024855/downloads/BVAD_2.15.22-final.pdf]</t>
        </r>
      </text>
    </comment>
    <comment ref="F28" authorId="0" shapeId="0" xr:uid="{00000000-0006-0000-0300-000006000000}">
      <text>
        <r>
          <rPr>
            <sz val="11"/>
            <color theme="1"/>
            <rFont val="Calibri"/>
            <family val="2"/>
            <scheme val="minor"/>
          </rPr>
          <t>Shanice Taylor:
= (2.6 kW/m^2 - 2.1 kW/m^2 - 0.075 kW/m^2) * [planting area] m^2
Power of all chamber components (2.6 kW/m^2) minus HPS lamps (2.1 kW/m^2) and ballasts (0.075 kW/m^2) 
[Table 4-88 in https://ntrs.nasa.gov/api/citations/20210024855/downloads/BVAD_2.15.22-final.pdf]</t>
        </r>
      </text>
    </comment>
    <comment ref="G28" authorId="0" shapeId="0" xr:uid="{00000000-0006-0000-0300-000007000000}">
      <text>
        <r>
          <rPr>
            <sz val="11"/>
            <color theme="1"/>
            <rFont val="Calibri"/>
            <family val="2"/>
            <scheme val="minor"/>
          </rPr>
          <t xml:space="preserve">Shanice Taylor:
No info available regarding crewtime for maintaining growth chamber
</t>
        </r>
      </text>
    </comment>
    <comment ref="C29" authorId="0" shapeId="0" xr:uid="{00000000-0006-0000-0300-000008000000}">
      <text>
        <r>
          <rPr>
            <sz val="11"/>
            <color theme="1"/>
            <rFont val="Calibri"/>
            <family val="2"/>
            <scheme val="minor"/>
          </rPr>
          <t xml:space="preserve">Shanice Taylor:
= rounded-up value of [planting area] m^2 * 9 panels/m^2
- 9 LED panels per m^2 [personal communication with Paul Kusuma, 2025]
</t>
        </r>
      </text>
    </comment>
    <comment ref="D29" authorId="0" shapeId="0" xr:uid="{00000000-0006-0000-0300-000009000000}">
      <text>
        <r>
          <rPr>
            <sz val="11"/>
            <color theme="1"/>
            <rFont val="Calibri"/>
            <family val="2"/>
            <scheme val="minor"/>
          </rPr>
          <t xml:space="preserve">Shanice Taylor:
= 0.243 kg/LED panel * # of LED panels
- 0.243 kg = mass of an individual LED panel 
[personal communication with Paul Kusuma, 2025]
</t>
        </r>
      </text>
    </comment>
    <comment ref="E29" authorId="0" shapeId="0" xr:uid="{00000000-0006-0000-0300-00000A000000}">
      <text>
        <r>
          <rPr>
            <sz val="11"/>
            <color theme="1"/>
            <rFont val="Calibri"/>
            <family val="2"/>
            <scheme val="minor"/>
          </rPr>
          <t>Shanice Taylor:
= (0.3 m x 0.3 m x 0.001 m)/LED panel * # of LED panels
- 0.3m x 0.3m x 0.001m = dimensions (LxWxH) of one LED panel
[personal communication with Paul Kusuma, 2025]</t>
        </r>
      </text>
    </comment>
    <comment ref="F29" authorId="0" shapeId="0" xr:uid="{00000000-0006-0000-0300-00000B000000}">
      <text>
        <r>
          <rPr>
            <sz val="11"/>
            <color theme="1"/>
            <rFont val="Calibri"/>
            <family val="2"/>
            <scheme val="minor"/>
          </rPr>
          <t>Shanice Taylor:
= 50.7 W/LED panel * # of LED panels * 1 kW/1000W
- 50.7 W = power that 1 LED panel consumes
[personal communication with Paul Kusuma, 2025]</t>
        </r>
      </text>
    </comment>
    <comment ref="C30" authorId="0" shapeId="0" xr:uid="{00000000-0006-0000-0300-00000C000000}">
      <text>
        <r>
          <rPr>
            <sz val="11"/>
            <color theme="1"/>
            <rFont val="Calibri"/>
            <family val="2"/>
            <scheme val="minor"/>
          </rPr>
          <t>Shanice Taylor:
= if 0.003785 m^3 * # of harvest collection containers/week * 2 weeks &lt;=  0.0187 m^3, return the value of 1
= if the ratio of (0.003785 m^3 * # of harvest collection containers/week * 2 weeks) / (0.0187 m^3) is greater than 1, return the value to the next whole number
- 0.003785 m^3 = volume of a 1-gallon ziploc bag used for cold storage
[https://www.uline.com/Product/Detail/S-23779/Food-Bags/Ziploc-Freezer-Bags-1-Gallon]
- 2 weeks = assumed time for cold storage to be kept in freezer
- 0.0187 m^3 = cold capacity volume of one NASA GLACIER freezer [https://ntrs.nasa.gov/api/citations/20060056491/downloads/20060056491.pdf]</t>
        </r>
      </text>
    </comment>
    <comment ref="D30" authorId="0" shapeId="0" xr:uid="{00000000-0006-0000-0300-00000D000000}">
      <text>
        <r>
          <rPr>
            <sz val="11"/>
            <color theme="1"/>
            <rFont val="Calibri"/>
            <family val="2"/>
            <scheme val="minor"/>
          </rPr>
          <t>Shanice Taylor:
= 0.75 kg freezer/kg frozen food mass * [plant mass] kg FW/wk * # of freezers
- 0.75 kg freezer/kg frozen food mass
[Table 4-50 in https://ntrs.nasa.gov/api/citations/20210024855/downloads/BVAD_2.15.22-final.pdf]</t>
        </r>
      </text>
    </comment>
    <comment ref="E30" authorId="0" shapeId="0" xr:uid="{00000000-0006-0000-0300-00000E000000}">
      <text>
        <r>
          <rPr>
            <sz val="11"/>
            <color theme="1"/>
            <rFont val="Calibri"/>
            <family val="2"/>
            <scheme val="minor"/>
          </rPr>
          <t>Shanice Taylor:
= 3.93E-3 m^3 freezer/kg frozen food mass * [plant mass] kg FW/wk * # of freezers
- 3.93E-3 m^3 freezer/kg frozen food mass
[Table 4-50 in https://ntrs.nasa.gov/api/citations/20210024855/downloads/BVAD_2.15.22-final.pdf]</t>
        </r>
      </text>
    </comment>
    <comment ref="F30" authorId="0" shapeId="0" xr:uid="{00000000-0006-0000-0300-00000F000000}">
      <text>
        <r>
          <rPr>
            <sz val="11"/>
            <color theme="1"/>
            <rFont val="Calibri"/>
            <family val="2"/>
            <scheme val="minor"/>
          </rPr>
          <t>Shanice Taylor:
= 0.33 kW freezer/kg frozen food mass * [harvested plant mass] kg/wk * # of freezers
- 0.33 kW freezer/kg frozen food mass
[Table 4-50 in https://ntrs.nasa.gov/api/citations/20210024855/downloads/BVAD_2.15.22-final.pdf]</t>
        </r>
      </text>
    </comment>
    <comment ref="G30" authorId="0" shapeId="0" xr:uid="{00000000-0006-0000-0300-000010000000}">
      <text>
        <r>
          <rPr>
            <sz val="11"/>
            <color theme="1"/>
            <rFont val="Calibri"/>
            <family val="2"/>
            <scheme val="minor"/>
          </rPr>
          <t>Shanice Taylor:
[Table 4-50 in https://ntrs.nasa.gov/api/citations/20210024855/downloads/BVAD_2.15.22-final.pdf]</t>
        </r>
      </text>
    </comment>
    <comment ref="C31" authorId="0" shapeId="0" xr:uid="{00000000-0006-0000-0300-000011000000}">
      <text>
        <r>
          <rPr>
            <sz val="11"/>
            <color theme="1"/>
            <rFont val="Calibri"/>
            <family val="2"/>
            <scheme val="minor"/>
          </rPr>
          <t>Shanice Taylor:
= if leaf harvest crew time is less than 2 hrs, return the value of 1
= if the ratio of leaf harvest crew time to 2 hrs is greater than 1, return the next whole number
- Assumption: 1 harvesting tool per CM
- Assumption: 1 CM will spend maximum 2 hours harvesting per week</t>
        </r>
      </text>
    </comment>
    <comment ref="D31" authorId="0" shapeId="0" xr:uid="{00000000-0006-0000-0300-000012000000}">
      <text>
        <r>
          <rPr>
            <sz val="11"/>
            <color theme="1"/>
            <rFont val="Calibri"/>
            <family val="2"/>
            <scheme val="minor"/>
          </rPr>
          <t>Shanice Taylor:
= 0.20411 kg/scissor * # of scissors
- 0.20411 = mass of one scissor, similar to the one used by https://doi.org/10.2478/gsr-2023-0001 
[https://www.amazon.com/Clauss-Forged-Carbon-Steel-Shears/dp/B000PCVTCQ]</t>
        </r>
      </text>
    </comment>
    <comment ref="E31" authorId="0" shapeId="0" xr:uid="{00000000-0006-0000-0300-000013000000}">
      <text>
        <r>
          <rPr>
            <sz val="11"/>
            <color theme="1"/>
            <rFont val="Calibri"/>
            <family val="2"/>
            <scheme val="minor"/>
          </rPr>
          <t>Shanice Taylor:
= 6.4E-4 m^3/scissor * # of scissors
- 6.4E-4 m^3 = volume of one scissor, similar to the one used by https://doi.org/10.2478/gsr-2023-0001 
[https://www.amazon.com/Clauss-Forged-Carbon-Steel-Shears/dp/B000PCVTCQ]</t>
        </r>
      </text>
    </comment>
    <comment ref="C32" authorId="0" shapeId="0" xr:uid="{00000000-0006-0000-0300-000014000000}">
      <text>
        <r>
          <rPr>
            <sz val="11"/>
            <color theme="1"/>
            <rFont val="Calibri"/>
            <family val="2"/>
            <scheme val="minor"/>
          </rPr>
          <t xml:space="preserve">Shanice Taylor:
= rounded up value of [plant mass] kg FW/wk * (1 m^3 / 85 kg) * 1 bag / 0.003785 m^3
= 85 kg/m^3 = assumed density of moderately-packed N. benth, similar to lettuce [https://kg-m3.com/material/salad-green-leaves-raw] 
- 0.003785 m^3 = volume of a 1 gal bag [https://www.uline.com/Product/Detail/S-23779/Food-Bags/Ziploc-Freezer-Bags-1-Gallon] </t>
        </r>
      </text>
    </comment>
    <comment ref="D32" authorId="0" shapeId="0" xr:uid="{00000000-0006-0000-0300-000015000000}">
      <text>
        <r>
          <rPr>
            <sz val="11"/>
            <color theme="1"/>
            <rFont val="Calibri"/>
            <family val="2"/>
            <scheme val="minor"/>
          </rPr>
          <t>Shanice Taylor:
= (7.62 lbs / 250 bags) * (0.45359 kg / 1 lb) * # of bags
- 7.62 lbs per 250 bags 
[https://www.uline.com/Product/Detail/S-23779/Food-Bags/Ziploc-Freezer-Bags-1-Gallon]</t>
        </r>
      </text>
    </comment>
    <comment ref="E32" authorId="0" shapeId="0" xr:uid="{00000000-0006-0000-0300-000016000000}">
      <text>
        <r>
          <rPr>
            <sz val="11"/>
            <color theme="1"/>
            <rFont val="Calibri"/>
            <family val="2"/>
            <scheme val="minor"/>
          </rPr>
          <t xml:space="preserve">Shanice Taylor:
= (10.5 x 11 x 0.00394) in^3 * 1.639E-5 m^3/in^3 * # of bags
- 10.5" x 11" x 0.00394" = volume of a ziploc bag
[https://www.uline.com/Product/Detail/S-23779/Food-Bags/Ziploc-Freezer-Bags-1-Gallon]
</t>
        </r>
      </text>
    </comment>
    <comment ref="A36" authorId="0" shapeId="0" xr:uid="{00000000-0006-0000-0300-000017000000}">
      <text>
        <r>
          <rPr>
            <sz val="11"/>
            <color theme="1"/>
            <rFont val="Calibri"/>
            <family val="2"/>
            <scheme val="minor"/>
          </rPr>
          <t>Shanice Taylor:
- Using lettuce growth values from https://ntrs.nasa.gov/api/citations/20210024855/downloads/BVAD_2.15.22-final.pdf
- For 35-day-old N. benth (10 g FW/plant, dense planting), the crop closest in growth form and cycle is lettuce. Lettuce fast-growing, herbaceous, leafy green harvested within a few weeks of planting (28 days)</t>
        </r>
      </text>
    </comment>
    <comment ref="C36" authorId="0" shapeId="0" xr:uid="{00000000-0006-0000-0300-000018000000}">
      <text>
        <r>
          <rPr>
            <sz val="11"/>
            <color theme="1"/>
            <rFont val="Calibri"/>
            <family val="2"/>
            <scheme val="minor"/>
          </rPr>
          <t xml:space="preserve">Shanice Taylor:
= 0.0004288 kg * [# of plants] * 2 seeds/plant
- 0.0004288 kg = mass of one N. benth seed
- Two seeds are used on average to generate one plant
[personal communcation with Karen McDonald, Aug 2025]
</t>
        </r>
      </text>
    </comment>
    <comment ref="D36" authorId="0" shapeId="0" xr:uid="{00000000-0006-0000-0300-000019000000}">
      <text>
        <r>
          <rPr>
            <sz val="11"/>
            <color theme="1"/>
            <rFont val="Calibri"/>
            <family val="2"/>
            <scheme val="minor"/>
          </rPr>
          <t>Shanice Taylor:
= (4/3 * pi * (0.45 mm/2)^3) * 1 m^3/1E9 mm^3
- 4/3*pi*radius^3 = Volume of a spherical N. benth seed
- 0.45 mm (450 um) = average diameter of ne N. benth seed
[Norikane, Joey, et al. "Development and Optimization of Nicotiana benthamiana Seed Production for Biopharmaceutical Applications." HORTSCIENCE. Vol. 49. No. 9, 2014.]</t>
        </r>
      </text>
    </comment>
    <comment ref="F36" authorId="0" shapeId="0" xr:uid="{00000000-0006-0000-0300-00001A000000}">
      <text>
        <r>
          <rPr>
            <sz val="11"/>
            <color theme="1"/>
            <rFont val="Calibri"/>
            <family val="2"/>
            <scheme val="minor"/>
          </rPr>
          <t>Shanice Taylor:
= (([# of plants]*2/wk) * 1 min/10 seeds * 1 h/60 min * 150%) + (4.6 min/m^2 * 1/(215 plants/m^2) * 150%)
- Multiplied number of plants by 2, since 2 seeds are used to generate one plant [personal communcation with Karen McDonald, Aug 2025]
- Sowing seeds: 1 min per 10 seeds [Table 3 in https://doi.org/10.1016/j.lssr.2021.08.002]
- Crew time in space is estimated at 150% of lab time on Earth [personal commication from Gioia (Feb, 2025)]
- Thinning plants: 4.6 min per m^2 [Table 3 in https://doi.org/10.1016/j.lssr.2021.08.002]
- 215 N. benth plants per 1 m^2, since there are 320 N. benth plants per 16 ft^2 tray [doi.org/10.1080/19420862.2016.1227901]</t>
        </r>
      </text>
    </comment>
    <comment ref="C37" authorId="0" shapeId="0" xr:uid="{00000000-0006-0000-0300-00001B000000}">
      <text>
        <r>
          <rPr>
            <sz val="11"/>
            <color theme="1"/>
            <rFont val="Calibri"/>
            <family val="2"/>
            <scheme val="minor"/>
          </rPr>
          <t>Shanice Taylor:
= [water volume] m^3 * 1000 kg/m^3
- 1000 kg/m^3 = water density</t>
        </r>
      </text>
    </comment>
    <comment ref="D37" authorId="0" shapeId="0" xr:uid="{00000000-0006-0000-0300-00001C000000}">
      <text>
        <r>
          <rPr>
            <sz val="11"/>
            <color theme="1"/>
            <rFont val="Calibri"/>
            <family val="2"/>
            <scheme val="minor"/>
          </rPr>
          <t>Shanice Taylor:
= 7.3 g DW/m^2-d * [planting area] m^2 * 35 d * 0.34 L water/g DW * 0.001 m^3/L
- 7.3 g DW/m^2-d
- 0.34 L water/g DW
[Tables 4-91 and 4-93 in https://ntrs.nasa.gov/api/citations/20210024855/downloads/BVAD_2.15.22-final.pdf]
- 28 d batch time
- Accounts for water for all 4 batches within a 28-day growth period</t>
        </r>
      </text>
    </comment>
    <comment ref="F37" authorId="0" shapeId="0" xr:uid="{00000000-0006-0000-0300-00001D000000}">
      <text>
        <r>
          <rPr>
            <sz val="11"/>
            <color theme="1"/>
            <rFont val="Calibri"/>
            <family val="2"/>
            <scheme val="minor"/>
          </rPr>
          <t>Shanice Taylor:
- 90 min/event * 4 events/yr * 1 h/60 min * 1/12.5 m^2 * 1 yr/365 d * 35 d * [planting area] m^2 * 150%
- 90 min per water management event [Table 3 in https://doi.org/10.1016/j.lssr.2021.08.002]
- 4 water management events a year [10.3389/fpls.2020.00656, Zabel 2020][Zeidler, Conrad, et al. "Resource consumption and waste production of the EDEN ISS space greenhouse analogue during the 2018 experiment phase in Antarctica."]
- 12.5 m^2 growing area for EDEN ISS [Table 3 in https://doi.org/10.1016/j.lssr.2021.08.002]
- 35 d batch time
- Crew time in space is estimated at 150% of lab time on Earth [personal commication from Gioia (Feb, 2025)]</t>
        </r>
      </text>
    </comment>
    <comment ref="C38" authorId="0" shapeId="0" xr:uid="{00000000-0006-0000-0300-00001E000000}">
      <text>
        <r>
          <rPr>
            <sz val="11"/>
            <color theme="1"/>
            <rFont val="Calibri"/>
            <family val="2"/>
            <scheme val="minor"/>
          </rPr>
          <t>Shanice Taylor:
- (1.166 g/L + (12.496 g/L-wk * 3 wks)) * (1 kg/1000 g) * [volume of water] m^3 * 1000 L/m^3 
- 1.166 g/L nutrients added first week
- 12.496 g/L nutrients added following three weeks
[Tables 4-94 and 4-95 in https://ntrs.nasa.gov/api/citations/20210024855/downloads/BVAD_2.15.22-final.pdf]</t>
        </r>
      </text>
    </comment>
    <comment ref="F38" authorId="0" shapeId="0" xr:uid="{00000000-0006-0000-0300-00001F000000}">
      <text>
        <r>
          <rPr>
            <sz val="11"/>
            <color theme="1"/>
            <rFont val="Calibri"/>
            <family val="2"/>
            <scheme val="minor"/>
          </rPr>
          <t>Shanice Taylor:
= 20.17 min/10 d-tank * 1 hr/60 min * 1/12.5 m^2 * [planting area] m^2 * 35 d * 150%
- 20.17 min of nutrient solution prep per 10 days/tank (assuming 1 tank is always used and replenished every 10 days)
- 12.5 m^2 growing area aboard EDEN ISS
[Table 3 in https://doi.org/10.1016/j.lssr.2021.08.002]
- 35 d batch time
-  Crew time in space is estimated at 150% of lab time on Earth [personal commication from Gioia Massa (Feb, 2025)]</t>
        </r>
      </text>
    </comment>
    <comment ref="C39" authorId="0" shapeId="0" xr:uid="{00000000-0006-0000-0300-000020000000}">
      <text>
        <r>
          <rPr>
            <sz val="11"/>
            <color theme="1"/>
            <rFont val="Calibri"/>
            <family val="2"/>
            <scheme val="minor"/>
          </rPr>
          <t>Shanice Taylor:
= 10.7 g CO2/m^2-d * [planting area] m^2 * 35 d * 1 kg/1000 g
- 10.7 g CO2/m^2-d
[Table 4-91 in https://ntrs.nasa.gov/api/citations/20210024855/downloads/BVAD_2.15.22-final.pdf]
- 35 d batch time</t>
        </r>
      </text>
    </comment>
    <comment ref="D39" authorId="0" shapeId="0" xr:uid="{00000000-0006-0000-0300-000021000000}">
      <text>
        <r>
          <rPr>
            <sz val="11"/>
            <color theme="1"/>
            <rFont val="Calibri"/>
            <family val="2"/>
            <scheme val="minor"/>
          </rPr>
          <t>Shanice Taylor:
- [mass CO2] kg * 1 m^3/1.82 kg
- 1.82 kg/m^3 = density of CO2 gas at 23C</t>
        </r>
      </text>
    </comment>
    <comment ref="F39" authorId="0" shapeId="0" xr:uid="{00000000-0006-0000-0300-000022000000}">
      <text>
        <r>
          <rPr>
            <sz val="11"/>
            <color theme="1"/>
            <rFont val="Calibri"/>
            <family val="2"/>
            <scheme val="minor"/>
          </rPr>
          <t>Shanice Taylor:
= 2.13 min/task * 365 tasks/yr * 1 hr/60 min * 1 yr/365 d * 35 d * 1.5
- 2.13 min per CO2 and lighting monitoring task
- 365 monitoring tasks per year (daily operation)
[Table 5 in https://doi.org/10.1016/j.lssr.2021.08.002]
- 35 day batch time
- Crew time in space is estimated at 150% of lab time on Earth [personal commication from Gioia Massa (Feb, 2025)]</t>
        </r>
      </text>
    </comment>
    <comment ref="C41" authorId="0" shapeId="0" xr:uid="{00000000-0006-0000-0300-000023000000}">
      <text>
        <r>
          <rPr>
            <sz val="11"/>
            <color theme="1"/>
            <rFont val="Calibri"/>
            <family val="2"/>
            <scheme val="minor"/>
          </rPr>
          <t>Shanice Taylor:
- 7.78 g O2/m^2-d * [planting area] m^2 * 35 d * 1 kg/1000 g
- 7.78 g O2/m^2-d
[Table 4-91 in https://ntrs.nasa.gov/api/citations/20210024855/downloads/BVAD_2.15.22-final.pdf]
- 35-day batch time</t>
        </r>
      </text>
    </comment>
    <comment ref="D41" authorId="0" shapeId="0" xr:uid="{00000000-0006-0000-0300-000024000000}">
      <text>
        <r>
          <rPr>
            <sz val="11"/>
            <color theme="1"/>
            <rFont val="Calibri"/>
            <family val="2"/>
            <scheme val="minor"/>
          </rPr>
          <t>Shanice Taylor:
= [mass of oxygen] kg * 1 m^3/kg
- 1.3 kg/m^3 = density of O2 gas at 1 atm</t>
        </r>
      </text>
    </comment>
    <comment ref="C42" authorId="0" shapeId="0" xr:uid="{00000000-0006-0000-0300-000025000000}">
      <text>
        <r>
          <rPr>
            <sz val="11"/>
            <color theme="1"/>
            <rFont val="Calibri"/>
            <family val="2"/>
            <scheme val="minor"/>
          </rPr>
          <t>Shanice Taylor:
2.1 kg/m^2-d is the average water uptake or average transpiration rate
[BVAD Table 4-91]</t>
        </r>
      </text>
    </comment>
    <comment ref="D42" authorId="0" shapeId="0" xr:uid="{00000000-0006-0000-0300-000026000000}">
      <text>
        <r>
          <rPr>
            <sz val="11"/>
            <color theme="1"/>
            <rFont val="Calibri"/>
            <family val="2"/>
            <scheme val="minor"/>
          </rPr>
          <t>Shanice Taylor:
1000 kg/m^3 water density</t>
        </r>
      </text>
    </comment>
    <comment ref="F44" authorId="0" shapeId="0" xr:uid="{00000000-0006-0000-0300-000027000000}">
      <text>
        <r>
          <rPr>
            <sz val="11"/>
            <color theme="1"/>
            <rFont val="Calibri"/>
            <family val="2"/>
            <scheme val="minor"/>
          </rPr>
          <t>Shanice Taylor:
= 3.97 min harvest time/m^2 * [planting area] m^2 * 1 hr/60 min * 1.5
- 3.97 min/m^2 harvest time for lettuce
[Table 3 in https://doi.org/10.1016/j.lssr.2021.08.002]
- Crew time in space is estimated at 150% of lab time on Earth [personal commication from Gioia Massa (Feb, 2025)]</t>
        </r>
      </text>
    </comment>
    <comment ref="D45" authorId="0" shapeId="0" xr:uid="{00000000-0006-0000-0300-000028000000}">
      <text>
        <r>
          <rPr>
            <sz val="11"/>
            <color theme="1"/>
            <rFont val="Calibri"/>
            <family val="2"/>
            <scheme val="minor"/>
          </rPr>
          <t>Shanice Taylor:
= [biomass mass] kg * 1 m^3/60 kg
- 60 kg/m^3 = estimated density of raw lettuce waste. Assumed similar for N. benth
[https://kg-m3.com/material/salad-green-leaves-raw]</t>
        </r>
      </text>
    </comment>
    <comment ref="C47" authorId="0" shapeId="0" xr:uid="{00000000-0006-0000-0300-000029000000}">
      <text>
        <r>
          <rPr>
            <sz val="11"/>
            <color theme="1"/>
            <rFont val="Calibri"/>
            <family val="2"/>
            <scheme val="minor"/>
          </rPr>
          <t xml:space="preserve">Shanice Taylor:
= 7.3 g inedible FW/m^2-d * 1 kg/1000 g * [planting area] m^2 * 35 d
- For lettuce, there is 7.3 g inedible FW/m^2-d. Assumed same remaining biomass for N. benth
[Table 4-90 in https://ntrs.nasa.gov/api/citations/20210024855/downloads/BVAD_2.15.22-final.pdf]
- 35-d batch period
</t>
        </r>
      </text>
    </comment>
    <comment ref="D47" authorId="0" shapeId="0" xr:uid="{00000000-0006-0000-0300-00002A000000}">
      <text>
        <r>
          <rPr>
            <sz val="11"/>
            <color theme="1"/>
            <rFont val="Calibri"/>
            <family val="2"/>
            <scheme val="minor"/>
          </rPr>
          <t>Shanice Taylor:
= [biomass waste mass] kg * 1 m^3/60 kg
- 60 kg/m^3 = estimated density of raw lettuce waste. Assumed similar for N. benth
[https://kg-m3.com/material/salad-green-leaves-raw]</t>
        </r>
      </text>
    </comment>
    <comment ref="F47" authorId="0" shapeId="0" xr:uid="{00000000-0006-0000-0300-00002B000000}">
      <text>
        <r>
          <rPr>
            <sz val="11"/>
            <color theme="1"/>
            <rFont val="Calibri"/>
            <family val="2"/>
            <scheme val="minor"/>
          </rPr>
          <t>Shanice Taylor:
Neglect. No current info</t>
        </r>
      </text>
    </comment>
    <comment ref="C51" authorId="0" shapeId="0" xr:uid="{00000000-0006-0000-0300-00002C000000}">
      <text>
        <r>
          <rPr>
            <sz val="11"/>
            <color theme="1"/>
            <rFont val="Calibri"/>
            <family val="2"/>
            <scheme val="minor"/>
          </rPr>
          <t>Shanice Taylor:
= [seeds mass] kg/wk + ([plant nutrients mass] kg * (1/5 wks) * 5 batches/wk) + ([CO2 mass] kg * (1/5 wks) * 5 batches/wk)
- Divided plant nutrients and CO2 by 5 weeks (35 days batch time) to get a per-week basis for 1 batch. Then multiplied plant nutrients and CO2 by 5 because this is for 5 batches at a given week</t>
        </r>
      </text>
    </comment>
    <comment ref="E51" authorId="0" shapeId="0" xr:uid="{00000000-0006-0000-0300-00002D000000}">
      <text>
        <r>
          <rPr>
            <sz val="11"/>
            <color theme="1"/>
            <rFont val="Calibri"/>
            <family val="2"/>
            <scheme val="minor"/>
          </rPr>
          <t>Shanice Taylor:
= ([O2 mass] kg * (1/4 wks) * 4 batches/wk) + [PTH-Fc mass] kg/wk + [plant biomass DW] kg/wk
- Divided O2 by 5 weeks (35 days batch time) to get a per-week basis for 1 batch. Then multiplied by 5 because this is for 5 batches at a given week</t>
        </r>
      </text>
    </comment>
    <comment ref="C52" authorId="0" shapeId="0" xr:uid="{00000000-0006-0000-0300-00002E000000}">
      <text>
        <r>
          <rPr>
            <sz val="11"/>
            <color theme="1"/>
            <rFont val="Calibri"/>
            <family val="2"/>
            <scheme val="minor"/>
          </rPr>
          <t>Shanice Taylor:
= [seeds volume] m^3/wk + ([CO2 volume] m^3 * (1/5 wks) * 5 batches/wk)
- Divided CO2 by 5 weeks (35 days batch time) to get a per-week basis for 1 batch. Then multiplied CO2 by 5 because this is for 5 batches at a given week</t>
        </r>
      </text>
    </comment>
    <comment ref="E52" authorId="0" shapeId="0" xr:uid="{00000000-0006-0000-0300-00002F000000}">
      <text>
        <r>
          <rPr>
            <sz val="11"/>
            <color theme="1"/>
            <rFont val="Calibri"/>
            <family val="2"/>
            <scheme val="minor"/>
          </rPr>
          <t>Shanice Taylor:
= ([O2 volume] m^3 * (1/5 wks) * 5 batches/wk) + ([water transpiration volume] m^3 * (1/5 wks) * 5 batches/wk)
- Divided O2 and water transpiration by 4 weeks (28 days batch time) to get a per-week basis for 1 batch. Then multiplied O2 and water transpiration by 4 because this is for 4 batches at a given week</t>
        </r>
      </text>
    </comment>
    <comment ref="B54" authorId="0" shapeId="0" xr:uid="{00000000-0006-0000-0300-000030000000}">
      <text>
        <r>
          <rPr>
            <sz val="11"/>
            <color theme="1"/>
            <rFont val="Calibri"/>
            <family val="2"/>
            <scheme val="minor"/>
          </rPr>
          <t>Shanice Taylor:
Same value as Power. Assumed nearly all electrical power consumed by growth chamber becomes heat to be removed by thermal control systems
[Table 4-88 in https://ntrs.nasa.gov/api/citations/20210024855/downloads/BVAD_2.15.22-final.pdf]</t>
        </r>
      </text>
    </comment>
    <comment ref="F55" authorId="1" shapeId="0" xr:uid="{65C1DCA1-39BC-49D7-9577-2495B846144A}">
      <text>
        <r>
          <rPr>
            <b/>
            <sz val="9"/>
            <color indexed="81"/>
            <rFont val="Tahoma"/>
            <family val="2"/>
          </rPr>
          <t>Karen McDonald:</t>
        </r>
        <r>
          <rPr>
            <sz val="9"/>
            <color indexed="81"/>
            <rFont val="Tahoma"/>
            <family val="2"/>
          </rPr>
          <t xml:space="preserve">
Shanice Taylor:
- [crew time for sowing seeds] CM-h/wk + ([crew time for water management] CM-h/5 wks * 5 batches/wk) + ([crew time for nutrient solution prep] CM-h/5 wks * 5 batches/wk) +([crew time for CO2 monitoring] CM-h/5 wks)
- Divided crew time for water management and nutrient solution prep by 5 weeks to get a per-week basis for 1 batch. Then multiplied by 5 because this is for 5 batches at a given week. 
-  Divided crew time for CO2 monitoring by 5 to get a per-week basis. CO2 monitoring does not depend on number of batches.
Plus Shanice Taylor:
= [crew time for harvesting] CM-h / 5 wks</t>
        </r>
      </text>
    </comment>
    <comment ref="A57" authorId="0" shapeId="0" xr:uid="{00000000-0006-0000-0300-000033000000}">
      <text>
        <r>
          <rPr>
            <sz val="11"/>
            <color theme="1"/>
            <rFont val="Calibri"/>
            <family val="2"/>
            <scheme val="minor"/>
          </rPr>
          <t>Shanice Taylor:
For a large-scale biomass production, the capacity of the Water Recovery System of the plant growth chamber would be expanded
[personal communication with Mark Settles, Aug 2025]</t>
        </r>
      </text>
    </comment>
    <comment ref="B57" authorId="0" shapeId="0" xr:uid="{00000000-0006-0000-0300-000034000000}">
      <text>
        <r>
          <rPr>
            <sz val="11"/>
            <color theme="1"/>
            <rFont val="Calibri"/>
            <family val="2"/>
            <scheme val="minor"/>
          </rPr>
          <t>Shanice Taylor:
= [mass of water input] kg - [mass of water transpiration]  kg
- Mass of water remaining that is assumed to be recycled in the the Water Recovery System, and is thus part of the system component</t>
        </r>
      </text>
    </comment>
    <comment ref="C57" authorId="0" shapeId="0" xr:uid="{00000000-0006-0000-0300-000035000000}">
      <text>
        <r>
          <rPr>
            <sz val="11"/>
            <color theme="1"/>
            <rFont val="Calibri"/>
            <family val="2"/>
            <scheme val="minor"/>
          </rPr>
          <t xml:space="preserve">Shanice Taylor:
-Divided water mass by 5 weeks to get a per-week basis for 1 batch. Then multiplied by 5 because this is for 5 batches at a given week. 
- Mass of water provided to the plant growth chamber, with the water assumed to be sourced from the Martian surface. </t>
        </r>
      </text>
    </comment>
    <comment ref="E57" authorId="0" shapeId="0" xr:uid="{00000000-0006-0000-0300-000036000000}">
      <text>
        <r>
          <rPr>
            <sz val="11"/>
            <color theme="1"/>
            <rFont val="Calibri"/>
            <family val="2"/>
            <scheme val="minor"/>
          </rPr>
          <t>Shanice Taylor:
= ([water transpiration mass] kg * (1/5 wks) * 5 batches/wk) 
Divided water transpiration by 5 weeks (35 days batch time) to get a per-week basis for 1 batch. Then multiplied by 5 because this is for 5 batches at a given week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  <author>Karen McDonald</author>
    <author>Shanice Taylor</author>
  </authors>
  <commentList>
    <comment ref="B15" authorId="0" shapeId="0" xr:uid="{00000000-0006-0000-0400-000001000000}">
      <text>
        <r>
          <rPr>
            <sz val="11"/>
            <color theme="1"/>
            <rFont val="Calibri"/>
            <family val="2"/>
            <scheme val="minor"/>
          </rPr>
          <t>Author:
= 131.35 g FW/m^2-d * 28 d * 1 kg/1000 g
- 131.35 g FW/m^2-d 
[Table 4-90 https://ntrs.nasa.gov/api/citations/20210024855/downloads/BVAD_2.15.22-final.pdf]
- 28-day growth period for lettuce</t>
        </r>
      </text>
    </comment>
    <comment ref="B16" authorId="0" shapeId="0" xr:uid="{00000000-0006-0000-0400-000002000000}">
      <text>
        <r>
          <rPr>
            <sz val="11"/>
            <color theme="1"/>
            <rFont val="Calibri"/>
            <family val="2"/>
            <scheme val="minor"/>
          </rPr>
          <t xml:space="preserve">Author:
[Table 4-111 in https://ntrs.nasa.gov/api/citations/20210024855/downloads/BVAD_2.15.22-final.pdf]
</t>
        </r>
      </text>
    </comment>
    <comment ref="B18" authorId="0" shapeId="0" xr:uid="{00000000-0006-0000-0400-000003000000}">
      <text>
        <r>
          <rPr>
            <sz val="11"/>
            <color theme="1"/>
            <rFont val="Calibri"/>
            <family val="2"/>
            <scheme val="minor"/>
          </rPr>
          <t xml:space="preserve">Author:
= [PTH-Fc mass] mg PTH-Fc monomer/wk-CM * 1 dimer/2 monomers * [PTH-Fc mass] mg dimer/kg FW </t>
        </r>
      </text>
    </comment>
    <comment ref="D30" authorId="0" shapeId="0" xr:uid="{00000000-0006-0000-0400-000004000000}">
      <text>
        <r>
          <rPr>
            <sz val="11"/>
            <color theme="1"/>
            <rFont val="Calibri"/>
            <family val="2"/>
            <scheme val="minor"/>
          </rPr>
          <t>Author:
= (101.5 kg/m^2 - 22.9 kg/m^2 - 8.4 kg/m^2) * [planting area] m^2
- Mass of all components in plant growth chamber (101.5 kg/m^2)    minus HPS lamps (22.9 kg/m^2) and ballasts (8.4 kg/m^2)
[Table 4-88 in https://ntrs.nasa.gov/api/citations/20210024855/downloads/BVAD_2.15.22-final.pdf]</t>
        </r>
      </text>
    </comment>
    <comment ref="E30" authorId="0" shapeId="0" xr:uid="{00000000-0006-0000-0400-000005000000}">
      <text>
        <r>
          <rPr>
            <sz val="11"/>
            <color theme="1"/>
            <rFont val="Calibri"/>
            <family val="2"/>
            <scheme val="minor"/>
          </rPr>
          <t>Author:
= (1.03 m^3/m^2 - 0.25 m^3/m^2) * [planting area] m^2
- Volume of all components (1.03 m^3/m^2) minus HPS lamps (0.25 m^3/m^2)
[Table 4-88 in https://ntrs.nasa.gov/api/citations/20210024855/downloads/BVAD_2.15.22-final.pdf]</t>
        </r>
      </text>
    </comment>
    <comment ref="F30" authorId="0" shapeId="0" xr:uid="{00000000-0006-0000-0400-000006000000}">
      <text>
        <r>
          <rPr>
            <sz val="11"/>
            <color theme="1"/>
            <rFont val="Calibri"/>
            <family val="2"/>
            <scheme val="minor"/>
          </rPr>
          <t>Author:
= (2.6 kW/m^2 - 2.1 kW/m^2 - 0.075 kW/m^2) * [planting area] m^2
Power of all chamber components (2.6 kW/m^2) minus HPS lamps (2.1 kW/m^2) and ballasts (0.075 kW/m^2) 
[Table 4-88 in https://ntrs.nasa.gov/api/citations/20210024855/downloads/BVAD_2.15.22-final.pdf]</t>
        </r>
      </text>
    </comment>
    <comment ref="G30" authorId="0" shapeId="0" xr:uid="{00000000-0006-0000-0400-000007000000}">
      <text>
        <r>
          <rPr>
            <sz val="11"/>
            <color theme="1"/>
            <rFont val="Calibri"/>
            <family val="2"/>
            <scheme val="minor"/>
          </rPr>
          <t xml:space="preserve">Author:
No info available regarding crewtime for maintaining growth chamber
</t>
        </r>
      </text>
    </comment>
    <comment ref="C31" authorId="0" shapeId="0" xr:uid="{00000000-0006-0000-0400-000008000000}">
      <text>
        <r>
          <rPr>
            <sz val="11"/>
            <color theme="1"/>
            <rFont val="Calibri"/>
            <family val="2"/>
            <scheme val="minor"/>
          </rPr>
          <t xml:space="preserve">Author:
= rounded-up value of [planting area] m^2 * 9 panels/m^2
- 9 LED panels per m^2 [personal communication with Paul Kusuma, 2025]
</t>
        </r>
      </text>
    </comment>
    <comment ref="D31" authorId="0" shapeId="0" xr:uid="{00000000-0006-0000-0400-000009000000}">
      <text>
        <r>
          <rPr>
            <sz val="11"/>
            <color theme="1"/>
            <rFont val="Calibri"/>
            <family val="2"/>
            <scheme val="minor"/>
          </rPr>
          <t xml:space="preserve">Author:
= 0.243 kg/LED panel * # of LED panels
- 0.243 kg = mass of an individual LED panel 
[personal communication with Paul Kusuma, 2025]
</t>
        </r>
      </text>
    </comment>
    <comment ref="E31" authorId="0" shapeId="0" xr:uid="{00000000-0006-0000-0400-00000A000000}">
      <text>
        <r>
          <rPr>
            <sz val="11"/>
            <color theme="1"/>
            <rFont val="Calibri"/>
            <family val="2"/>
            <scheme val="minor"/>
          </rPr>
          <t>Author:
= (0.3 m x 0.3 m x 0.001 m)/LED panel * # of LED panels
- 0.3m x 0.3m x 0.001m = dimensions (LxWxH) of one LED panel
[personal communication with Paul Kusuma, 2025]</t>
        </r>
      </text>
    </comment>
    <comment ref="F31" authorId="0" shapeId="0" xr:uid="{00000000-0006-0000-0400-00000B000000}">
      <text>
        <r>
          <rPr>
            <sz val="11"/>
            <color theme="1"/>
            <rFont val="Calibri"/>
            <family val="2"/>
            <scheme val="minor"/>
          </rPr>
          <t>Author:
= 50.7 W/LED panel * # of LED panels * 1 kW/1000W
- 50.7 W = power that 1 LED panel consumes
[personal communication with Paul Kusuma, 2025]</t>
        </r>
      </text>
    </comment>
    <comment ref="C32" authorId="0" shapeId="0" xr:uid="{00000000-0006-0000-0400-00000C000000}">
      <text>
        <r>
          <rPr>
            <sz val="11"/>
            <color theme="1"/>
            <rFont val="Calibri"/>
            <family val="2"/>
            <scheme val="minor"/>
          </rPr>
          <t>Author:
= if 0.003785 m^3 * # of harvest collection containers/week * 2 weeks &lt;=  0.0187 m^3, return the value of 1
= if the ratio of (0.003785 m^3 * # of harvest collection containers/week * 2 weeks) / (0.0187 m^3) is greater than 1, return the value to the next whole number
- 0.003785 m^3 = volume of a 1-gallon ziploc bag used for cold storage
[https://www.uline.com/Product/Detail/S-23779/Food-Bags/Ziploc-Freezer-Bags-1-Gallon]
- 2 weeks = assumed time for cold storage to be kept in freezer
- 0.0187 m^3 = cold capacity volume of one NASA GLACIER freezer [https://ntrs.nasa.gov/api/citations/20060056491/downloads/20060056491.pdf]</t>
        </r>
      </text>
    </comment>
    <comment ref="D32" authorId="0" shapeId="0" xr:uid="{00000000-0006-0000-0400-00000D000000}">
      <text>
        <r>
          <rPr>
            <sz val="11"/>
            <color theme="1"/>
            <rFont val="Calibri"/>
            <family val="2"/>
            <scheme val="minor"/>
          </rPr>
          <t>Author:
= 0.75 kg freezer/kg frozen food mass * [plant mass] kg FW/wk * # of freezers
- 0.75 kg freezer/kg frozen food mass
[Table 4-50 in https://ntrs.nasa.gov/api/citations/20210024855/downloads/BVAD_2.15.22-final.pdf]</t>
        </r>
      </text>
    </comment>
    <comment ref="E32" authorId="0" shapeId="0" xr:uid="{00000000-0006-0000-0400-00000E000000}">
      <text>
        <r>
          <rPr>
            <sz val="11"/>
            <color theme="1"/>
            <rFont val="Calibri"/>
            <family val="2"/>
            <scheme val="minor"/>
          </rPr>
          <t>Author:
= 3.93E-3 m^3 freezer/kg frozen food mass * [plant mass] kg FW/wk * # of freezers
- 3.93E-3 m^3 freezer/kg frozen food mass
[Table 4-50 in https://ntrs.nasa.gov/api/citations/20210024855/downloads/BVAD_2.15.22-final.pdf]</t>
        </r>
      </text>
    </comment>
    <comment ref="F32" authorId="0" shapeId="0" xr:uid="{00000000-0006-0000-0400-00000F000000}">
      <text>
        <r>
          <rPr>
            <sz val="11"/>
            <color theme="1"/>
            <rFont val="Calibri"/>
            <family val="2"/>
            <scheme val="minor"/>
          </rPr>
          <t>Author:
= 0.33 kW freezer/kg frozen food mass * [harvested plant mass] kg/wk * # of freezers
- 0.33 kW freezer/kg frozen food mass
[Table 4-50 in https://ntrs.nasa.gov/api/citations/20210024855/downloads/BVAD_2.15.22-final.pdf]</t>
        </r>
      </text>
    </comment>
    <comment ref="G32" authorId="0" shapeId="0" xr:uid="{00000000-0006-0000-0400-000010000000}">
      <text>
        <r>
          <rPr>
            <sz val="11"/>
            <color theme="1"/>
            <rFont val="Calibri"/>
            <family val="2"/>
            <scheme val="minor"/>
          </rPr>
          <t>Author:
[Table 4-50 in https://ntrs.nasa.gov/api/citations/20210024855/downloads/BVAD_2.15.22-final.pdf]</t>
        </r>
      </text>
    </comment>
    <comment ref="C33" authorId="0" shapeId="0" xr:uid="{00000000-0006-0000-0400-000011000000}">
      <text>
        <r>
          <rPr>
            <sz val="11"/>
            <color theme="1"/>
            <rFont val="Calibri"/>
            <family val="2"/>
            <scheme val="minor"/>
          </rPr>
          <t>Author:
= if leaf harvest crew time is less than 2 hrs, return the value of 1
= if the ratio of leaf harvest crew time to 2 hrs is greater than 1, return the next whole number
- Assumption: 1 harvesting tool per CM
- Assumption: 1 CM will spend maximum 2 hours harvesting per week</t>
        </r>
      </text>
    </comment>
    <comment ref="D33" authorId="0" shapeId="0" xr:uid="{00000000-0006-0000-0400-000012000000}">
      <text>
        <r>
          <rPr>
            <sz val="11"/>
            <color theme="1"/>
            <rFont val="Calibri"/>
            <family val="2"/>
            <scheme val="minor"/>
          </rPr>
          <t>Author:
= 0.20411 kg/scissor * # of scissors
- 0.20411 = mass of one scissor, similar to the one used by https://doi.org/10.2478/gsr-2023-0001 
[https://www.amazon.com/Clauss-Forged-Carbon-Steel-Shears/dp/B000PCVTCQ]</t>
        </r>
      </text>
    </comment>
    <comment ref="E33" authorId="0" shapeId="0" xr:uid="{00000000-0006-0000-0400-000013000000}">
      <text>
        <r>
          <rPr>
            <sz val="11"/>
            <color theme="1"/>
            <rFont val="Calibri"/>
            <family val="2"/>
            <scheme val="minor"/>
          </rPr>
          <t>Author:
= 6.4E-4 m^3/scissor * # of scissors
- 6.4E-4 m^3 = volume of one scissor, similar to the one used by https://doi.org/10.2478/gsr-2023-0001 
[https://www.amazon.com/Clauss-Forged-Carbon-Steel-Shears/dp/B000PCVTCQ]</t>
        </r>
      </text>
    </comment>
    <comment ref="C34" authorId="0" shapeId="0" xr:uid="{00000000-0006-0000-0400-000014000000}">
      <text>
        <r>
          <rPr>
            <sz val="11"/>
            <color theme="1"/>
            <rFont val="Calibri"/>
            <family val="2"/>
            <scheme val="minor"/>
          </rPr>
          <t xml:space="preserve">Author:
= rounded up value of [plant mass] kg FW/wk * (1 m^3 / 85 kg) * 1 bag / 0.003785 m^3
= 85 kg/m^3 = assumed density of moderately-packed lettuce [https://kg-m3.com/material/salad-green-leaves-raw] 
- 0.003785 m^3 = volume of a 1 gal bag [https://www.uline.com/Product/Detail/S-23779/Food-Bags/Ziploc-Freezer-Bags-1-Gallon] </t>
        </r>
      </text>
    </comment>
    <comment ref="D34" authorId="0" shapeId="0" xr:uid="{00000000-0006-0000-0400-000015000000}">
      <text>
        <r>
          <rPr>
            <sz val="11"/>
            <color theme="1"/>
            <rFont val="Calibri"/>
            <family val="2"/>
            <scheme val="minor"/>
          </rPr>
          <t>Author:
= (7.62 lbs / 250 bags) * (0.45359 kg / 1 lb) * # of bags
- 7.62 lbs per 250 bags 
[https://www.uline.com/Product/Detail/S-23779/Food-Bags/Ziploc-Freezer-Bags-1-Gallon]</t>
        </r>
      </text>
    </comment>
    <comment ref="E34" authorId="0" shapeId="0" xr:uid="{00000000-0006-0000-0400-000016000000}">
      <text>
        <r>
          <rPr>
            <sz val="11"/>
            <color theme="1"/>
            <rFont val="Calibri"/>
            <family val="2"/>
            <scheme val="minor"/>
          </rPr>
          <t xml:space="preserve">Author:
= (10.5 x 11 x 0.00394) in^3 * 1.639E-5 m^3/in^3 * # of bags
- 10.5" x 11" x 0.00394" = volume of a ziploc bag
[https://www.uline.com/Product/Detail/S-23779/Food-Bags/Ziploc-Freezer-Bags-1-Gallon]
</t>
        </r>
      </text>
    </comment>
    <comment ref="C38" authorId="0" shapeId="0" xr:uid="{00000000-0006-0000-0400-000017000000}">
      <text>
        <r>
          <rPr>
            <sz val="11"/>
            <color theme="1"/>
            <rFont val="Calibri"/>
            <family val="2"/>
            <scheme val="minor"/>
          </rPr>
          <t>Author:
= [# of plants]/wk * 1.01 mg/seed * 1 kg/1000000 mg
- 1 seed is 1.01 mg
[experimental data]</t>
        </r>
      </text>
    </comment>
    <comment ref="D38" authorId="0" shapeId="0" xr:uid="{00000000-0006-0000-0400-000018000000}">
      <text>
        <r>
          <rPr>
            <sz val="11"/>
            <color theme="1"/>
            <rFont val="Calibri"/>
            <family val="2"/>
            <scheme val="minor"/>
          </rPr>
          <t xml:space="preserve">Author:
= (4.57 mm * 1.524 mm * 0.5 mm)/seed * (1mm^3 / 1E-9 m^3)
- (4.57mm x 1.524 mm x 0.5 mm) = LxWxH
[experimental data]
</t>
        </r>
      </text>
    </comment>
    <comment ref="F38" authorId="0" shapeId="0" xr:uid="{00000000-0006-0000-0400-000019000000}">
      <text>
        <r>
          <rPr>
            <sz val="11"/>
            <color theme="1"/>
            <rFont val="Calibri"/>
            <family val="2"/>
            <scheme val="minor"/>
          </rPr>
          <t>Author:
= [# of plants]/wk * 1 min/10 seeds * 1 h/60 min * 150%
- Sowing seeds: 1 min per 10 seeds
[Table 3 in https://doi.org/10.1016/j.lssr.2021.08.002]
- Crew time in space is estimated at 150% of lab time on Earth [personal commication from Gioia (Feb, 2025)]</t>
        </r>
      </text>
    </comment>
    <comment ref="C39" authorId="0" shapeId="0" xr:uid="{00000000-0006-0000-0400-00001A000000}">
      <text>
        <r>
          <rPr>
            <sz val="11"/>
            <color theme="1"/>
            <rFont val="Calibri"/>
            <family val="2"/>
            <scheme val="minor"/>
          </rPr>
          <t>Author:
= [water volume] m^3 * 1000 kg/m^3
- 1000 kg/m^3 = water density</t>
        </r>
      </text>
    </comment>
    <comment ref="D39" authorId="0" shapeId="0" xr:uid="{00000000-0006-0000-0400-00001B000000}">
      <text>
        <r>
          <rPr>
            <sz val="11"/>
            <color theme="1"/>
            <rFont val="Calibri"/>
            <family val="2"/>
            <scheme val="minor"/>
          </rPr>
          <t>Author:
= 7.3 g DW/m^2-d * [planting area] m^2 * 28 d * 0.34 L water/g DW * 0.001 m^3/L
- 7.3 g DW/m^2-d
- 0.34 L water/g DW
[Tables 4-91 and 4-93 in https://ntrs.nasa.gov/api/citations/20210024855/downloads/BVAD_2.15.22-final.pdf]
- 28 d batch time
- Accounts for water for all 4 batches within a 28-day growth period</t>
        </r>
      </text>
    </comment>
    <comment ref="F39" authorId="0" shapeId="0" xr:uid="{00000000-0006-0000-0400-00001C000000}">
      <text>
        <r>
          <rPr>
            <sz val="11"/>
            <color theme="1"/>
            <rFont val="Calibri"/>
            <family val="2"/>
            <scheme val="minor"/>
          </rPr>
          <t>Author:
- 90 min/event * 4 events/yr * 1 h/60 min * 1/12.5 m^2 * 1 yr/365 d * 28 d * [planting area] m^2 * 150%
- 90 min per water management event
 [Table 3 in https://doi.org/10.1016/j.lssr.2021.08.002]
- 4 water management events a year [10.3389/fpls.2020.00656, Zabel 2020][Zeidler, Conrad, et al. "Resource consumption and waste production of the EDEN ISS space greenhouse analogue during the 2018 experiment phase in Antarctica."]
- 12.5 m^2 growing area for EDEN ISS
 [Table 3 in https://doi.org/10.1016/j.lssr.2021.08.002]
- 28 d batch time
- Crew time in space is estimated at 150% of lab time on Earth [personal commication from Gioia (Feb, 2025)]</t>
        </r>
      </text>
    </comment>
    <comment ref="C40" authorId="0" shapeId="0" xr:uid="{00000000-0006-0000-0400-00001D000000}">
      <text>
        <r>
          <rPr>
            <sz val="11"/>
            <color theme="1"/>
            <rFont val="Calibri"/>
            <family val="2"/>
            <scheme val="minor"/>
          </rPr>
          <t>Author:
- (1.166 g/L + (12.496 g/L-wk * 3 wks)) * (1 kg/1000 g) * [volume of water] m^3 * 1000 L/m^3 
- 1.166 g/L nutrients added first week
- 12.496 g/L nutrients added following three weeks
[Tables 4-94 and 4-95 in https://ntrs.nasa.gov/api/citations/20210024855/downloads/BVAD_2.15.22-final.pdf]</t>
        </r>
      </text>
    </comment>
    <comment ref="F40" authorId="0" shapeId="0" xr:uid="{00000000-0006-0000-0400-00001E000000}">
      <text>
        <r>
          <rPr>
            <sz val="11"/>
            <color theme="1"/>
            <rFont val="Calibri"/>
            <family val="2"/>
            <scheme val="minor"/>
          </rPr>
          <t>Author:
= 20.17 min/10 d-tank * 1 hr/60 min * 1/12.5 m^2 * [planting area] m^2 * 28 d * 150%
- 20.17 min of nutrient solution prep per 10 days/tank (assuming 1 tank is always used and replenished every 10 days)
- 12.5 m^2 growing area aboard EDEN ISS
[Table 3 in https://doi.org/10.1016/j.lssr.2021.08.002]
- 28 d batch time
-  Crew time in space is estimated at 150% of lab time on Earth [personal commication from Gioia Massa (Feb, 2025)]</t>
        </r>
      </text>
    </comment>
    <comment ref="C41" authorId="0" shapeId="0" xr:uid="{00000000-0006-0000-0400-00001F000000}">
      <text>
        <r>
          <rPr>
            <sz val="11"/>
            <color theme="1"/>
            <rFont val="Calibri"/>
            <family val="2"/>
            <scheme val="minor"/>
          </rPr>
          <t>Author:
= 10.7 g CO2/m^2-d * [planting area] m^2 * 28 d * 1 kg/1000 g
- 10.7 g CO2/m^2-d
[Table 4-91 in https://ntrs.nasa.gov/api/citations/20210024855/downloads/BVAD_2.15.22-final.pdf]
- 28 d batch time</t>
        </r>
      </text>
    </comment>
    <comment ref="D41" authorId="0" shapeId="0" xr:uid="{00000000-0006-0000-0400-000020000000}">
      <text>
        <r>
          <rPr>
            <sz val="11"/>
            <color theme="1"/>
            <rFont val="Calibri"/>
            <family val="2"/>
            <scheme val="minor"/>
          </rPr>
          <t>Author:
- [mass CO2] kg * 1 m^3/1.82 kg
- 1.82 kg/m^3 = density of CO2 gas at 23C</t>
        </r>
      </text>
    </comment>
    <comment ref="F41" authorId="0" shapeId="0" xr:uid="{00000000-0006-0000-0400-000021000000}">
      <text>
        <r>
          <rPr>
            <sz val="11"/>
            <color theme="1"/>
            <rFont val="Calibri"/>
            <family val="2"/>
            <scheme val="minor"/>
          </rPr>
          <t>Author:
= 2.13 min/task * 365 tasks/yr * 1 hr/60 min * 1 yr/365 d * 28 d * 1.5
- 2.13 min per CO2 and lighting monitoring task
- 365 monitoring tasks per year (daily operation)
[Table 5 in https://doi.org/10.1016/j.lssr.2021.08.002]
- 28 day batch time
- Crew time in space is estimated at 150% of lab time on Earth [personal commication from Gioia Massa (Feb, 2025)]</t>
        </r>
      </text>
    </comment>
    <comment ref="C43" authorId="0" shapeId="0" xr:uid="{00000000-0006-0000-0400-000022000000}">
      <text>
        <r>
          <rPr>
            <sz val="11"/>
            <color theme="1"/>
            <rFont val="Calibri"/>
            <family val="2"/>
            <scheme val="minor"/>
          </rPr>
          <t>Author:
- 7.78 g O2/m^2-d * [planting area] m^2 * 28 d * 1 kg/1000 g
- 7.78 g O2/m^2-d
[Table 4-91 in https://ntrs.nasa.gov/api/citations/20210024855/downloads/BVAD_2.15.22-final.pdf]
- 28-day batch time</t>
        </r>
      </text>
    </comment>
    <comment ref="D43" authorId="0" shapeId="0" xr:uid="{00000000-0006-0000-0400-000023000000}">
      <text>
        <r>
          <rPr>
            <sz val="11"/>
            <color theme="1"/>
            <rFont val="Calibri"/>
            <family val="2"/>
            <scheme val="minor"/>
          </rPr>
          <t>Author:
= [mass of oxygen] kg * 1 m^3/kg
- 1.3 kg/m^3 = density of O2 gas at 1 atm</t>
        </r>
      </text>
    </comment>
    <comment ref="C44" authorId="0" shapeId="0" xr:uid="{00000000-0006-0000-0400-000024000000}">
      <text>
        <r>
          <rPr>
            <sz val="11"/>
            <color theme="1"/>
            <rFont val="Calibri"/>
            <family val="2"/>
            <scheme val="minor"/>
          </rPr>
          <t>Author:
= 2.1 kg/m^2-d * [planting area] m^2 * 28 d
- 2.1 kg/m^2-d is the average water uptake or average transpiration rate
[Table 4-91 https://ntrs.nasa.gov/api/citations/20210024855/downloads/BVAD_2.15.22-final.pdf]
- 28-day batch time</t>
        </r>
      </text>
    </comment>
    <comment ref="D44" authorId="0" shapeId="0" xr:uid="{00000000-0006-0000-0400-000025000000}">
      <text>
        <r>
          <rPr>
            <sz val="11"/>
            <color theme="1"/>
            <rFont val="Calibri"/>
            <family val="2"/>
            <scheme val="minor"/>
          </rPr>
          <t>Author:
= [water mass] kg * 1 m^3/1000 kg
- 1000 kg/m^3 = water density</t>
        </r>
      </text>
    </comment>
    <comment ref="F46" authorId="0" shapeId="0" xr:uid="{00000000-0006-0000-0400-000026000000}">
      <text>
        <r>
          <rPr>
            <sz val="11"/>
            <color theme="1"/>
            <rFont val="Calibri"/>
            <family val="2"/>
            <scheme val="minor"/>
          </rPr>
          <t>Author:
= 3.97 min harvest time/m^2 * [planting area] m^2 * 1 hr/60 min * 1.5
- 3.97 min/m^2 harvest time for lettuce
[Table 3 in https://doi.org/10.1016/j.lssr.2021.08.002]
- Crew time in space is estimated at 150% of lab time on Earth [personal commication from Gioia Massa (Feb, 2025)]</t>
        </r>
      </text>
    </comment>
    <comment ref="C47" authorId="0" shapeId="0" xr:uid="{00000000-0006-0000-0400-000027000000}">
      <text>
        <r>
          <rPr>
            <sz val="11"/>
            <color theme="1"/>
            <rFont val="Calibri"/>
            <family val="2"/>
            <scheme val="minor"/>
          </rPr>
          <t>Author:
= ([harvested edible biomass] kg FW/m^2 * [planting area] m^2) - [water mass in plant] kg</t>
        </r>
      </text>
    </comment>
    <comment ref="D47" authorId="0" shapeId="0" xr:uid="{00000000-0006-0000-0400-000028000000}">
      <text>
        <r>
          <rPr>
            <sz val="11"/>
            <color theme="1"/>
            <rFont val="Calibri"/>
            <family val="2"/>
            <scheme val="minor"/>
          </rPr>
          <t>Author:
= [plant mass DW] kg * 1 m^3/386 kg
- 368 kg/m^3 = estimated lettuce dry bulk density
[https://www.mpd-inc.com/bulk-density/]</t>
        </r>
      </text>
    </comment>
    <comment ref="C48" authorId="0" shapeId="0" xr:uid="{00000000-0006-0000-0400-000029000000}">
      <text>
        <r>
          <rPr>
            <sz val="11"/>
            <color theme="1"/>
            <rFont val="Calibri"/>
            <family val="2"/>
            <scheme val="minor"/>
          </rPr>
          <t>Author:
= [plant mass] kg FW * 0.90
- 90% water content in lettuce
[Table 4-90 in https://ntrs.nasa.gov/api/citations/20210024855/downloads/BVAD_2.15.22-final.pdf]</t>
        </r>
      </text>
    </comment>
    <comment ref="D48" authorId="0" shapeId="0" xr:uid="{00000000-0006-0000-0400-00002A000000}">
      <text>
        <r>
          <rPr>
            <sz val="11"/>
            <color theme="1"/>
            <rFont val="Calibri"/>
            <family val="2"/>
            <scheme val="minor"/>
          </rPr>
          <t>Author:
= [water mass] kg * 1 m^3/1000 kg
- 1000 kg/m^3 = water density</t>
        </r>
      </text>
    </comment>
    <comment ref="E49" authorId="0" shapeId="0" xr:uid="{00000000-0006-0000-0400-00002B000000}">
      <text>
        <r>
          <rPr>
            <sz val="11"/>
            <color theme="1"/>
            <rFont val="Calibri"/>
            <family val="2"/>
            <scheme val="minor"/>
          </rPr>
          <t>Author:
= [plant mass] kg FW * 17 kcal/0.1 kg lettuce * 1000 cal/1 kcal * 4.184 J / 1 cal * 28 d * 24 h/d * 3600s/h
- 17 kcal per 0.1 kg lettuce
[https://fdc.nal.usda.gov/food-details/2346388/nutrients]
- 28-day batch time</t>
        </r>
      </text>
    </comment>
    <comment ref="C50" authorId="0" shapeId="0" xr:uid="{00000000-0006-0000-0400-00002C000000}">
      <text>
        <r>
          <rPr>
            <sz val="11"/>
            <color theme="1"/>
            <rFont val="Calibri"/>
            <family val="2"/>
            <scheme val="minor"/>
          </rPr>
          <t>Author:
= (0.74 g protein + 0.07 g fat + 3.37 g carbs + 0.12 g nitrogen + 0.32 g ash)/ 0.1 kg lettuce * 1 kg macros /1000 g macros * [plant mass] kg
- All above macros are per 0.1 kg lettuce
[https://fdc.nal.usda.gov/food-details/2346388/nutrients]</t>
        </r>
      </text>
    </comment>
    <comment ref="C51" authorId="0" shapeId="0" xr:uid="{00000000-0006-0000-0400-00002D000000}">
      <text>
        <r>
          <rPr>
            <sz val="11"/>
            <color theme="1"/>
            <rFont val="Calibri"/>
            <family val="2"/>
            <scheme val="minor"/>
          </rPr>
          <t>Author:
= (14 mg Ca + 0.03 mg Fe + 6.3 mg Mg + 19 mg P + 139 mg K + 16 mg Na + 0.17 mg Zn + 0.033 mg Cu + 0.082 mg Mn + 0.056 mg Thiamin + 0.218 mg Niacin + 0.04 mg Vitamin B-6 + 0.0205 ug Vitamin K )/ 0.1 kg lettuce * 1 kg micros /1000 g micros * [plant mass] kg
- All above micros are per 0.1 kg lettuce
[https://fdc.nal.usda.gov/food-details/2346388/nutrients]</t>
        </r>
      </text>
    </comment>
    <comment ref="C53" authorId="0" shapeId="0" xr:uid="{00000000-0006-0000-0400-00002E000000}">
      <text>
        <r>
          <rPr>
            <sz val="11"/>
            <color theme="1"/>
            <rFont val="Calibri"/>
            <family val="2"/>
            <scheme val="minor"/>
          </rPr>
          <t>Author:
= 7.3 g inedible FW/m^2-d * 1 kg/1000 g * [planting area] m^2 * 28 d
- 7.3 g inedible FW/m^2-d
[Table 4-90 in https://ntrs.nasa.gov/api/citations/20210024855/downloads/BVAD_2.15.22-final.pdf]
- 28-d batch period</t>
        </r>
      </text>
    </comment>
    <comment ref="D53" authorId="0" shapeId="0" xr:uid="{00000000-0006-0000-0400-00002F000000}">
      <text>
        <r>
          <rPr>
            <sz val="11"/>
            <color theme="1"/>
            <rFont val="Calibri"/>
            <family val="2"/>
            <scheme val="minor"/>
          </rPr>
          <t>Author:
= [biomass waste mass] kg * 1 m^3/60 kg
- 60 kg/m^3 = estimated density of raw lettuce waste
[https://kg-m3.com/material/salad-green-leaves-raw]</t>
        </r>
      </text>
    </comment>
    <comment ref="F53" authorId="0" shapeId="0" xr:uid="{00000000-0006-0000-0400-000030000000}">
      <text>
        <r>
          <rPr>
            <sz val="11"/>
            <color theme="1"/>
            <rFont val="Calibri"/>
            <family val="2"/>
            <scheme val="minor"/>
          </rPr>
          <t>Author:
Neglect. No current info</t>
        </r>
      </text>
    </comment>
    <comment ref="C57" authorId="0" shapeId="0" xr:uid="{00000000-0006-0000-0400-000031000000}">
      <text>
        <r>
          <rPr>
            <sz val="11"/>
            <color theme="1"/>
            <rFont val="Calibri"/>
            <family val="2"/>
            <scheme val="minor"/>
          </rPr>
          <t>Author:
= [seeds mass] kg/wk + ([plant nutrients mass] kg * (1/4 wks) * 4 batches/wk) + ([CO2 mass] kg * (1/4 wks) * 4 batches/wk)
- Divided plant nutrients and CO2 by 4 weeks (28 days batch time) to get a per-week basis for 1 batch. Then multiplied plant nutrients and CO2 by 4 because this is for 4 batches at a given week</t>
        </r>
      </text>
    </comment>
    <comment ref="E57" authorId="0" shapeId="0" xr:uid="{00000000-0006-0000-0400-000032000000}">
      <text>
        <r>
          <rPr>
            <sz val="11"/>
            <color theme="1"/>
            <rFont val="Calibri"/>
            <family val="2"/>
            <scheme val="minor"/>
          </rPr>
          <t>Author:
= ([O2 mass] kg * (1/4 wks) * 4 batches/wk) + [PTH-Fc mass] kg/wk + [plant biomass DW] kg/wk + [water mass from plant] kg/wk + [macros mass] kg/wk + [micros mass] kg/wk]
- Divided O2 by 4 weeks (28 days batch time) to get a per-week basis for 1 batch. Then multiplied by 4 because this is for 4 batches at a given week</t>
        </r>
      </text>
    </comment>
    <comment ref="C58" authorId="0" shapeId="0" xr:uid="{00000000-0006-0000-0400-000033000000}">
      <text>
        <r>
          <rPr>
            <sz val="11"/>
            <color theme="1"/>
            <rFont val="Calibri"/>
            <family val="2"/>
            <scheme val="minor"/>
          </rPr>
          <t>Author:
= [seeds volume] m^3/wk + ([CO2 volume] m^3 * (1/4 wks) * 4 batches/wk)
- Divided CO2 by 4 weeks (28 days batch time) to get a per-week basis for 1 batch. Then multiplied CO2 by 4 because this is for 4 batches at a given week</t>
        </r>
      </text>
    </comment>
    <comment ref="E58" authorId="0" shapeId="0" xr:uid="{00000000-0006-0000-0400-000034000000}">
      <text>
        <r>
          <rPr>
            <sz val="11"/>
            <color theme="1"/>
            <rFont val="Calibri"/>
            <family val="2"/>
            <scheme val="minor"/>
          </rPr>
          <t>Author:
= ([O2 volume] m^3 * (1/4 wks) * 4 batches/wk) + ([water transpiration volume] m^3 * (1/4 wks) * 4 batches/wk) + [plant biomass DW] m^3/wk + [water volume from plant] m^3/wk
- Divided O2 and water transpiration by 4 weeks (28 days batch time) to get a per-week basis for 1 batch. Then multiplied O2 and water transpiration by 4 because this is for 4 batches at a given week</t>
        </r>
      </text>
    </comment>
    <comment ref="B60" authorId="0" shapeId="0" xr:uid="{00000000-0006-0000-0400-000035000000}">
      <text>
        <r>
          <rPr>
            <sz val="11"/>
            <color theme="1"/>
            <rFont val="Calibri"/>
            <family val="2"/>
            <scheme val="minor"/>
          </rPr>
          <t>Author:
Same value as Power. Assumed nearly all electrical power consumed by growth chamber becomes heat to be removed by thermal control systems
[Table 4-88 in https://ntrs.nasa.gov/api/citations/20210024855/downloads/BVAD_2.15.22-final.pdf]</t>
        </r>
      </text>
    </comment>
    <comment ref="F61" authorId="1" shapeId="0" xr:uid="{95D9102A-AA0E-4E46-AEF5-06D796F471BB}">
      <text>
        <r>
          <rPr>
            <sz val="9"/>
            <color indexed="81"/>
            <rFont val="Tahoma"/>
            <family val="2"/>
          </rPr>
          <t>Author:
- [crew time for sowing seeds] CM-h/wk + ([crew time for water management] CM-h/4 wks * 4 batches/wk) + ([crew time for nutrient solution prep] CM-h/4 wks * 4 batches/wk) +([crew time for CO2 monitoring] CM-h/4 wks)
- Divided crew time for water management and nutrient solution prep by 4 weeks to get a per-week basis for 1 batch. Then multiplied by 4 because this is for 4 batches at a given week. 
-  Divided crew time for CO2 monitoring by 4 to get a per-week basis. CO2 monitoring does not depend on number of batches.
Plus F47 for Harvesting time</t>
        </r>
      </text>
    </comment>
    <comment ref="A63" authorId="0" shapeId="0" xr:uid="{00000000-0006-0000-0400-000037000000}">
      <text>
        <r>
          <rPr>
            <sz val="11"/>
            <color theme="1"/>
            <rFont val="Calibri"/>
            <family val="2"/>
            <scheme val="minor"/>
          </rPr>
          <t>Author:
For a large-scale biomass production, the capacity of the Water Recovery System of the plant growth chamber would be expanded
[personal communication with Mark Settles, Aug 2025]</t>
        </r>
      </text>
    </comment>
    <comment ref="B63" authorId="0" shapeId="0" xr:uid="{00000000-0006-0000-0400-000038000000}">
      <text>
        <r>
          <rPr>
            <sz val="11"/>
            <color theme="1"/>
            <rFont val="Calibri"/>
            <family val="2"/>
            <scheme val="minor"/>
          </rPr>
          <t>Author:
= [mass of water input] kg - [mass of water transpiration] kg - [mass of water in plant] kg
- Mass of water remaining that is assumed to be recycled in the the Water Recovery System, and is thus part of the system component</t>
        </r>
      </text>
    </comment>
    <comment ref="C63" authorId="0" shapeId="0" xr:uid="{00000000-0006-0000-0400-000039000000}">
      <text>
        <r>
          <rPr>
            <sz val="11"/>
            <color theme="1"/>
            <rFont val="Calibri"/>
            <family val="2"/>
            <scheme val="minor"/>
          </rPr>
          <t>Author:
= ([water mass] kg * (1/4 wks) * 4 batches/wk) 
-Divided water mass by 4 weeks to get a per-week basis for 1 batch. Then multiplied by 4 because this is for 4 batches at a given week. 
- This is the mass of water provided to the plant growth chamber, with the water assumed to be sourced from the Martian surface and from Water Recovery System. 
- If sourced, should we add an ISRU System for water extraction from Mars under cell B25 "Equipment"? BVAD Table 4-85 mentions the ISRU System's mass and power, but not volume and crew time requirements</t>
        </r>
      </text>
    </comment>
    <comment ref="E63" authorId="0" shapeId="0" xr:uid="{00000000-0006-0000-0400-00003A000000}">
      <text>
        <r>
          <rPr>
            <sz val="11"/>
            <color theme="1"/>
            <rFont val="Calibri"/>
            <family val="2"/>
            <scheme val="minor"/>
          </rPr>
          <t>Author:
= ([water transpiration mass] kg * (1/4 wks) * 4 batches/wk) 
Divided water transpiration by 4 weeks (28 days batch time) to get a per-week basis for 1 batch. Then multiplied by 4 because this is for 4 batches at a given week</t>
        </r>
      </text>
    </comment>
    <comment ref="B87" authorId="2" shapeId="0" xr:uid="{00000000-0006-0000-0400-00003B000000}">
      <text>
        <r>
          <rPr>
            <sz val="11"/>
            <color theme="1"/>
            <rFont val="Calibri"/>
            <family val="2"/>
            <scheme val="minor"/>
          </rPr>
          <t>Shanice Taylor:
Crisphead lettuce, measured Day 1 harvest of PTH-Fc</t>
        </r>
      </text>
    </comment>
    <comment ref="B88" authorId="2" shapeId="0" xr:uid="{00000000-0006-0000-0400-00003C000000}">
      <text>
        <r>
          <rPr>
            <sz val="11"/>
            <color theme="1"/>
            <rFont val="Calibri"/>
            <family val="2"/>
            <scheme val="minor"/>
          </rPr>
          <t>Shanice Taylor:
Calculated</t>
        </r>
      </text>
    </comment>
    <comment ref="B89" authorId="2" shapeId="0" xr:uid="{00000000-0006-0000-0400-00003D000000}">
      <text>
        <r>
          <rPr>
            <sz val="11"/>
            <color theme="1"/>
            <rFont val="Calibri"/>
            <family val="2"/>
            <scheme val="minor"/>
          </rPr>
          <t xml:space="preserve">Shanice Taylor:
Calculated
</t>
        </r>
      </text>
    </comment>
    <comment ref="B90" authorId="2" shapeId="0" xr:uid="{00000000-0006-0000-0400-00003E000000}">
      <text>
        <r>
          <rPr>
            <sz val="11"/>
            <color theme="1"/>
            <rFont val="Calibri"/>
            <family val="2"/>
            <scheme val="minor"/>
          </rPr>
          <t>Shanice Taylor:
Measured</t>
        </r>
      </text>
    </comment>
    <comment ref="B91" authorId="2" shapeId="0" xr:uid="{00000000-0006-0000-0400-00003F000000}">
      <text>
        <r>
          <rPr>
            <sz val="11"/>
            <color theme="1"/>
            <rFont val="Calibri"/>
            <family val="2"/>
            <scheme val="minor"/>
          </rPr>
          <t>Shanice Taylor:
Helios Gene Gun manual</t>
        </r>
      </text>
    </comment>
    <comment ref="B98" authorId="2" shapeId="0" xr:uid="{00000000-0006-0000-0400-000040000000}">
      <text>
        <r>
          <rPr>
            <sz val="11"/>
            <color theme="1"/>
            <rFont val="Calibri"/>
            <family val="2"/>
            <scheme val="minor"/>
          </rPr>
          <t>Shanice Taylor:
Helios Gene Gun manual</t>
        </r>
      </text>
    </comment>
    <comment ref="B99" authorId="2" shapeId="0" xr:uid="{00000000-0006-0000-0400-000041000000}">
      <text>
        <r>
          <rPr>
            <sz val="11"/>
            <color theme="1"/>
            <rFont val="Calibri"/>
            <family val="2"/>
            <scheme val="minor"/>
          </rPr>
          <t>Shanice Taylor:
personal communication with Gioia Massa, KSC, Feb. 2025</t>
        </r>
      </text>
    </comment>
    <comment ref="B100" authorId="2" shapeId="0" xr:uid="{58E61D77-D27A-4B59-9B3F-E013BF486ADB}">
      <text>
        <r>
          <rPr>
            <b/>
            <sz val="9"/>
            <color indexed="81"/>
            <rFont val="Tahoma"/>
            <family val="2"/>
          </rPr>
          <t>Shanice Taylor:</t>
        </r>
        <r>
          <rPr>
            <sz val="9"/>
            <color indexed="81"/>
            <rFont val="Tahoma"/>
            <family val="2"/>
          </rPr>
          <t xml:space="preserve">
 (321 kg + 91 kg)
- Mass of refrigeration/freezer unit (321 kg) + secondary structure mass (91 kg)
[Table 4-49 in https://ntrs.nasa.gov/api/citations/20210024855/downloads/BVAD_2.15.22-final.pdf]</t>
        </r>
      </text>
    </comment>
    <comment ref="B101" authorId="2" shapeId="0" xr:uid="{62979242-E8D8-4EFE-B506-3B559EAA02D7}">
      <text>
        <r>
          <rPr>
            <b/>
            <sz val="9"/>
            <color indexed="81"/>
            <rFont val="Tahoma"/>
            <family val="2"/>
          </rPr>
          <t>Shanice Taylor:</t>
        </r>
        <r>
          <rPr>
            <sz val="9"/>
            <color indexed="81"/>
            <rFont val="Tahoma"/>
            <family val="2"/>
          </rPr>
          <t xml:space="preserve">
[Table 4-49 in https://ntrs.nasa.gov/api/citations/20210024855/downloads/BVAD_2.15.22-final.pdf]</t>
        </r>
      </text>
    </comment>
    <comment ref="B102" authorId="2" shapeId="0" xr:uid="{097EC716-28C4-4E37-B7AE-B9A458931EF5}">
      <text>
        <r>
          <rPr>
            <b/>
            <sz val="9"/>
            <color indexed="81"/>
            <rFont val="Tahoma"/>
            <family val="2"/>
          </rPr>
          <t>Shanice Taylor:</t>
        </r>
        <r>
          <rPr>
            <sz val="9"/>
            <color indexed="81"/>
            <rFont val="Tahoma"/>
            <family val="2"/>
          </rPr>
          <t xml:space="preserve">
[Table 4-49 in https://ntrs.nasa.gov/api/citations/20210024855/downloads/BVAD_2.15.22-final.pdf]</t>
        </r>
      </text>
    </comment>
    <comment ref="B103" authorId="2" shapeId="0" xr:uid="{28E8C41B-7786-478F-A0A3-8F7CB234033F}">
      <text>
        <r>
          <rPr>
            <b/>
            <sz val="9"/>
            <color indexed="81"/>
            <rFont val="Tahoma"/>
            <family val="2"/>
          </rPr>
          <t>Shanice Taylor:</t>
        </r>
        <r>
          <rPr>
            <sz val="9"/>
            <color indexed="81"/>
            <rFont val="Tahoma"/>
            <family val="2"/>
          </rPr>
          <t xml:space="preserve">
[Table 4-49 in https://ntrs.nasa.gov/api/citations/20210024855/downloads/BVAD_2.15.22-final.pdf]</t>
        </r>
      </text>
    </comment>
    <comment ref="B114" authorId="2" shapeId="0" xr:uid="{00000000-0006-0000-0400-000046000000}">
      <text>
        <r>
          <rPr>
            <sz val="11"/>
            <color theme="1"/>
            <rFont val="Calibri"/>
            <family val="2"/>
            <scheme val="minor"/>
          </rPr>
          <t>Shanice Taylor:
=14 lb / (0.002205 lb / 1 g)</t>
        </r>
      </text>
    </comment>
    <comment ref="C119" authorId="2" shapeId="0" xr:uid="{00000000-0006-0000-0400-000047000000}">
      <text>
        <r>
          <rPr>
            <sz val="11"/>
            <color theme="1"/>
            <rFont val="Calibri"/>
            <family val="2"/>
            <scheme val="minor"/>
          </rPr>
          <t>Shanice Taylor:
Per bullet</t>
        </r>
      </text>
    </comment>
    <comment ref="C123" authorId="2" shapeId="0" xr:uid="{00000000-0006-0000-0400-000048000000}">
      <text>
        <r>
          <rPr>
            <sz val="11"/>
            <color theme="1"/>
            <rFont val="Calibri"/>
            <family val="2"/>
            <scheme val="minor"/>
          </rPr>
          <t>Shanice Taylor:
Per empty bullet</t>
        </r>
      </text>
    </comment>
    <comment ref="L124" authorId="2" shapeId="0" xr:uid="{00000000-0006-0000-0400-000049000000}">
      <text>
        <r>
          <rPr>
            <sz val="11"/>
            <color theme="1"/>
            <rFont val="Calibri"/>
            <family val="2"/>
            <scheme val="minor"/>
          </rPr>
          <t>Shanice Taylor:
Units of m^2</t>
        </r>
      </text>
    </comment>
    <comment ref="C130" authorId="2" shapeId="0" xr:uid="{00000000-0006-0000-0400-00004A000000}">
      <text>
        <r>
          <rPr>
            <sz val="11"/>
            <color theme="1"/>
            <rFont val="Calibri"/>
            <family val="2"/>
            <scheme val="minor"/>
          </rPr>
          <t xml:space="preserve">Shanice Taylor:
Per O-ring
</t>
        </r>
      </text>
    </comment>
    <comment ref="E134" authorId="2" shapeId="0" xr:uid="{00000000-0006-0000-0400-00004B000000}">
      <text>
        <r>
          <rPr>
            <sz val="11"/>
            <color theme="1"/>
            <rFont val="Calibri"/>
            <family val="2"/>
            <scheme val="minor"/>
          </rPr>
          <t>Shanice Taylor:
Setting up gun</t>
        </r>
      </text>
    </comment>
    <comment ref="E136" authorId="2" shapeId="0" xr:uid="{00000000-0006-0000-0400-00004C000000}">
      <text>
        <r>
          <rPr>
            <sz val="11"/>
            <color theme="1"/>
            <rFont val="Calibri"/>
            <family val="2"/>
            <scheme val="minor"/>
          </rPr>
          <t>Shanice Taylor:
Installing regulator</t>
        </r>
      </text>
    </comment>
    <comment ref="E137" authorId="2" shapeId="0" xr:uid="{00000000-0006-0000-0400-00004D000000}">
      <text>
        <r>
          <rPr>
            <sz val="11"/>
            <color theme="1"/>
            <rFont val="Calibri"/>
            <family val="2"/>
            <scheme val="minor"/>
          </rPr>
          <t xml:space="preserve">Shanice Taylor:
Regulator, tubing connection
</t>
        </r>
      </text>
    </comment>
    <comment ref="A180" authorId="0" shapeId="0" xr:uid="{00000000-0006-0000-0400-00004E000000}">
      <text>
        <r>
          <rPr>
            <sz val="11"/>
            <color theme="1"/>
            <rFont val="Calibri"/>
            <family val="2"/>
            <scheme val="minor"/>
          </rPr>
          <t xml:space="preserve">Author:
Assuming thermal control is similar to thermal cooling
</t>
        </r>
      </text>
    </comment>
    <comment ref="A182" authorId="0" shapeId="0" xr:uid="{00000000-0006-0000-0400-00004F000000}">
      <text>
        <r>
          <rPr>
            <sz val="11"/>
            <color theme="1"/>
            <rFont val="Calibri"/>
            <family val="2"/>
            <scheme val="minor"/>
          </rPr>
          <t>Author:
Mass of items being stored in freezer, not including mass of freezer itself.
Assuming lettuce will be stored up to 2 weeks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  <author>Karen McDonald</author>
    <author>Shanice Taylor</author>
  </authors>
  <commentList>
    <comment ref="B15" authorId="0" shapeId="0" xr:uid="{00000000-0006-0000-0500-000001000000}">
      <text>
        <r>
          <rPr>
            <sz val="11"/>
            <color theme="1"/>
            <rFont val="Calibri"/>
            <family val="2"/>
            <scheme val="minor"/>
          </rPr>
          <t>Author:
= (320 plants / 16 ft^2 tray) * (1 ft^2 / 0.0929 m^2) * (9,830,000 g FW / 982,000 plants) * 1 kg/1000 g 
- 320 N. benth plants per 16 ft^2 tray
- 9,830,000 g FW per 982,000 plants
[doi.org/10.1080/19420862.2016.1227901]</t>
        </r>
      </text>
    </comment>
    <comment ref="B16" authorId="0" shapeId="0" xr:uid="{00000000-0006-0000-0500-000002000000}">
      <text>
        <r>
          <rPr>
            <sz val="11"/>
            <color theme="1"/>
            <rFont val="Calibri"/>
            <family val="2"/>
            <scheme val="minor"/>
          </rPr>
          <t>Author:
= (9,830,000 g FW / 982,000 plants) * 1 kg/1000 g 
- 9,830,000 g FW per 982,000 plants
[doi.org/10.1080/19420862.2016.1227901]</t>
        </r>
      </text>
    </comment>
    <comment ref="B17" authorId="0" shapeId="0" xr:uid="{00000000-0006-0000-0500-000003000000}">
      <text>
        <r>
          <rPr>
            <sz val="11"/>
            <color theme="1"/>
            <rFont val="Calibri"/>
            <family val="2"/>
            <scheme val="minor"/>
          </rPr>
          <t xml:space="preserve">Author:
= [PTH-Fc mass] mg PTH-Fc monomer/wk-CM * 1 dimer/2 monomers * [PTH-Fc mass] mg dimer/kg FW </t>
        </r>
      </text>
    </comment>
    <comment ref="D28" authorId="0" shapeId="0" xr:uid="{00000000-0006-0000-0500-000004000000}">
      <text>
        <r>
          <rPr>
            <sz val="11"/>
            <color theme="1"/>
            <rFont val="Calibri"/>
            <family val="2"/>
            <scheme val="minor"/>
          </rPr>
          <t>Author:
= (101.5 kg/m^2 - 22.9 kg/m^2 - 8.4 kg/m^2) * [planting area] m^2
- Mass of all components in plant growth chamber (101.5 kg/m^2)    minus HPS lamps (22.9 kg/m^2) and ballasts (8.4 kg/m^2)
[Table 4-88 in https://ntrs.nasa.gov/api/citations/20210024855/downloads/BVAD_2.15.22-final.pdf]</t>
        </r>
      </text>
    </comment>
    <comment ref="E28" authorId="0" shapeId="0" xr:uid="{00000000-0006-0000-0500-000005000000}">
      <text>
        <r>
          <rPr>
            <sz val="11"/>
            <color theme="1"/>
            <rFont val="Calibri"/>
            <family val="2"/>
            <scheme val="minor"/>
          </rPr>
          <t>Author:
= (1.03 m^3/m^2 - 0.25 m^3/m^2) * [planting area] m^2
- Volume of all components (1.03 m^3/m^2) minus HPS lamps (0.25 m^3/m^2)
[Table 4-88 in https://ntrs.nasa.gov/api/citations/20210024855/downloads/BVAD_2.15.22-final.pdf]</t>
        </r>
      </text>
    </comment>
    <comment ref="F28" authorId="0" shapeId="0" xr:uid="{00000000-0006-0000-0500-000006000000}">
      <text>
        <r>
          <rPr>
            <sz val="11"/>
            <color theme="1"/>
            <rFont val="Calibri"/>
            <family val="2"/>
            <scheme val="minor"/>
          </rPr>
          <t>Author:
= (2.6 kW/m^2 - 2.1 kW/m^2 - 0.075 kW/m^2) * [planting area] m^2
Power of all chamber components (2.6 kW/m^2) minus HPS lamps (2.1 kW/m^2) and ballasts (0.075 kW/m^2) 
[Table 4-88 in https://ntrs.nasa.gov/api/citations/20210024855/downloads/BVAD_2.15.22-final.pdf]</t>
        </r>
      </text>
    </comment>
    <comment ref="G28" authorId="0" shapeId="0" xr:uid="{00000000-0006-0000-0500-000007000000}">
      <text>
        <r>
          <rPr>
            <sz val="11"/>
            <color theme="1"/>
            <rFont val="Calibri"/>
            <family val="2"/>
            <scheme val="minor"/>
          </rPr>
          <t xml:space="preserve">Author:
No info available regarding crewtime for maintaining growth chamber
</t>
        </r>
      </text>
    </comment>
    <comment ref="C29" authorId="0" shapeId="0" xr:uid="{00000000-0006-0000-0500-000008000000}">
      <text>
        <r>
          <rPr>
            <sz val="11"/>
            <color theme="1"/>
            <rFont val="Calibri"/>
            <family val="2"/>
            <scheme val="minor"/>
          </rPr>
          <t xml:space="preserve">Author:
= rounded-up value of [planting area] m^2 * 9 panels/m^2
- 9 LED panels per m^2 [personal communication with Paul Kusuma, 2025]
</t>
        </r>
      </text>
    </comment>
    <comment ref="D29" authorId="0" shapeId="0" xr:uid="{00000000-0006-0000-0500-000009000000}">
      <text>
        <r>
          <rPr>
            <sz val="11"/>
            <color theme="1"/>
            <rFont val="Calibri"/>
            <family val="2"/>
            <scheme val="minor"/>
          </rPr>
          <t xml:space="preserve">Author:
= 0.243 kg/LED panel * # of LED panels
- 0.243 kg = mass of an individual LED panel 
[personal communication with Paul Kusuma, 2025]
</t>
        </r>
      </text>
    </comment>
    <comment ref="E29" authorId="0" shapeId="0" xr:uid="{00000000-0006-0000-0500-00000A000000}">
      <text>
        <r>
          <rPr>
            <sz val="11"/>
            <color theme="1"/>
            <rFont val="Calibri"/>
            <family val="2"/>
            <scheme val="minor"/>
          </rPr>
          <t>Author:
= (0.3 m x 0.3 m x 0.001 m)/LED panel * # of LED panels
- 0.3m x 0.3m x 0.001m = dimensions (LxWxH) of one LED panel
[personal communication with Paul Kusuma, 2025]</t>
        </r>
      </text>
    </comment>
    <comment ref="F29" authorId="0" shapeId="0" xr:uid="{00000000-0006-0000-0500-00000B000000}">
      <text>
        <r>
          <rPr>
            <sz val="11"/>
            <color theme="1"/>
            <rFont val="Calibri"/>
            <family val="2"/>
            <scheme val="minor"/>
          </rPr>
          <t>Author:
= 50.7 W/LED panel * # of LED panels * 1 kW/1000W
- 50.7 W = power that 1 LED panel consumes
[personal communication with Paul Kusuma, 2025]</t>
        </r>
      </text>
    </comment>
    <comment ref="C30" authorId="0" shapeId="0" xr:uid="{00000000-0006-0000-0500-00000C000000}">
      <text>
        <r>
          <rPr>
            <sz val="11"/>
            <color theme="1"/>
            <rFont val="Calibri"/>
            <family val="2"/>
            <scheme val="minor"/>
          </rPr>
          <t>Author:
= if 0.003785 m^3 * # of harvest collection containers/week * 2 weeks &lt;=  0.0187 m^3, return the value of 1
= if the ratio of (0.003785 m^3 * # of harvest collection containers/week * 2 weeks) / (0.0187 m^3) is greater than 1, return the value to the next whole number
- 0.003785 m^3 = volume of a 1-gallon ziploc bag used for cold storage
[https://www.uline.com/Product/Detail/S-23779/Food-Bags/Ziploc-Freezer-Bags-1-Gallon]
- 2 weeks = assumed time for cold storage to be kept in freezer
- 0.0187 m^3 = cold capacity volume of one NASA GLACIER freezer [https://ntrs.nasa.gov/api/citations/20060056491/downloads/20060056491.pdf]</t>
        </r>
      </text>
    </comment>
    <comment ref="D30" authorId="0" shapeId="0" xr:uid="{00000000-0006-0000-0500-00000D000000}">
      <text>
        <r>
          <rPr>
            <sz val="11"/>
            <color theme="1"/>
            <rFont val="Calibri"/>
            <family val="2"/>
            <scheme val="minor"/>
          </rPr>
          <t>Author:
= 0.75 kg freezer/kg frozen food mass * [plant mass] kg FW/wk * # of freezers
- 0.75 kg freezer/kg frozen food mass
[Table 4-50 in https://ntrs.nasa.gov/api/citations/20210024855/downloads/BVAD_2.15.22-final.pdf]</t>
        </r>
      </text>
    </comment>
    <comment ref="E30" authorId="0" shapeId="0" xr:uid="{00000000-0006-0000-0500-00000E000000}">
      <text>
        <r>
          <rPr>
            <sz val="11"/>
            <color theme="1"/>
            <rFont val="Calibri"/>
            <family val="2"/>
            <scheme val="minor"/>
          </rPr>
          <t>Author:
= 3.93E-3 m^3 freezer/kg frozen food mass * [plant mass] kg FW/wk * # of freezers
- 3.93E-3 m^3 freezer/kg frozen food mass
[Table 4-50 in https://ntrs.nasa.gov/api/citations/20210024855/downloads/BVAD_2.15.22-final.pdf]</t>
        </r>
      </text>
    </comment>
    <comment ref="F30" authorId="0" shapeId="0" xr:uid="{00000000-0006-0000-0500-00000F000000}">
      <text>
        <r>
          <rPr>
            <sz val="11"/>
            <color theme="1"/>
            <rFont val="Calibri"/>
            <family val="2"/>
            <scheme val="minor"/>
          </rPr>
          <t>Author:
= 0.33 kW freezer/kg frozen food mass * [harvested plant mass] kg/wk * # of freezers
- 0.33 kW freezer/kg frozen food mass
[Table 4-50 in https://ntrs.nasa.gov/api/citations/20210024855/downloads/BVAD_2.15.22-final.pdf]</t>
        </r>
      </text>
    </comment>
    <comment ref="G30" authorId="0" shapeId="0" xr:uid="{00000000-0006-0000-0500-000010000000}">
      <text>
        <r>
          <rPr>
            <sz val="11"/>
            <color theme="1"/>
            <rFont val="Calibri"/>
            <family val="2"/>
            <scheme val="minor"/>
          </rPr>
          <t>Author:
[Table 4-50 in https://ntrs.nasa.gov/api/citations/20210024855/downloads/BVAD_2.15.22-final.pdf]</t>
        </r>
      </text>
    </comment>
    <comment ref="C31" authorId="0" shapeId="0" xr:uid="{00000000-0006-0000-0500-000011000000}">
      <text>
        <r>
          <rPr>
            <sz val="11"/>
            <color theme="1"/>
            <rFont val="Calibri"/>
            <family val="2"/>
            <scheme val="minor"/>
          </rPr>
          <t>Author:
= if leaf harvest crew time is less than 2 hrs, return the value of 1
= if the ratio of leaf harvest crew time to 2 hrs is greater than 1, return the next whole number
- Assumption: 1 harvesting tool per CM
- Assumption: 1 CM will spend maximum 2 hours harvesting per week</t>
        </r>
      </text>
    </comment>
    <comment ref="D31" authorId="0" shapeId="0" xr:uid="{00000000-0006-0000-0500-000012000000}">
      <text>
        <r>
          <rPr>
            <sz val="11"/>
            <color theme="1"/>
            <rFont val="Calibri"/>
            <family val="2"/>
            <scheme val="minor"/>
          </rPr>
          <t>Author:
= 0.20411 kg/scissor * # of scissors
- 0.20411 = mass of one scissor, similar to the one used by https://doi.org/10.2478/gsr-2023-0001 
[https://www.amazon.com/Clauss-Forged-Carbon-Steel-Shears/dp/B000PCVTCQ]</t>
        </r>
      </text>
    </comment>
    <comment ref="E31" authorId="0" shapeId="0" xr:uid="{00000000-0006-0000-0500-000013000000}">
      <text>
        <r>
          <rPr>
            <sz val="11"/>
            <color theme="1"/>
            <rFont val="Calibri"/>
            <family val="2"/>
            <scheme val="minor"/>
          </rPr>
          <t>Author:
= 6.4E-4 m^3/scissor * # of scissors
- 6.4E-4 m^3 = volume of one scissor, similar to the one used by https://doi.org/10.2478/gsr-2023-0001 
[https://www.amazon.com/Clauss-Forged-Carbon-Steel-Shears/dp/B000PCVTCQ]</t>
        </r>
      </text>
    </comment>
    <comment ref="C32" authorId="0" shapeId="0" xr:uid="{00000000-0006-0000-0500-000014000000}">
      <text>
        <r>
          <rPr>
            <sz val="11"/>
            <color theme="1"/>
            <rFont val="Calibri"/>
            <family val="2"/>
            <scheme val="minor"/>
          </rPr>
          <t xml:space="preserve">Author:
= rounded up value of [plant mass] kg FW/wk * (1 m^3 / 85 kg) * 1 bag / 0.003785 m^3
= 85 kg/m^3 = assumed density of moderately-packed N. benth, similar to lettuce [https://kg-m3.com/material/salad-green-leaves-raw] 
- 0.003785 m^3 = volume of a 1 gal bag [https://www.uline.com/Product/Detail/S-23779/Food-Bags/Ziploc-Freezer-Bags-1-Gallon] </t>
        </r>
      </text>
    </comment>
    <comment ref="D32" authorId="0" shapeId="0" xr:uid="{00000000-0006-0000-0500-000015000000}">
      <text>
        <r>
          <rPr>
            <sz val="11"/>
            <color theme="1"/>
            <rFont val="Calibri"/>
            <family val="2"/>
            <scheme val="minor"/>
          </rPr>
          <t>Author:
= (7.62 lbs / 250 bags) * (0.45359 kg / 1 lb) * # of bags
- 7.62 lbs per 250 bags 
[https://www.uline.com/Product/Detail/S-23779/Food-Bags/Ziploc-Freezer-Bags-1-Gallon]</t>
        </r>
      </text>
    </comment>
    <comment ref="E32" authorId="0" shapeId="0" xr:uid="{00000000-0006-0000-0500-000016000000}">
      <text>
        <r>
          <rPr>
            <sz val="11"/>
            <color theme="1"/>
            <rFont val="Calibri"/>
            <family val="2"/>
            <scheme val="minor"/>
          </rPr>
          <t xml:space="preserve">Author:
= (10.5 x 11 x 0.00394) in^3 * 1.639E-5 m^3/in^3 * # of bags
- 10.5" x 11" x 0.00394" = volume of a ziploc bag
[https://www.uline.com/Product/Detail/S-23779/Food-Bags/Ziploc-Freezer-Bags-1-Gallon]
</t>
        </r>
      </text>
    </comment>
    <comment ref="A36" authorId="0" shapeId="0" xr:uid="{00000000-0006-0000-0500-000017000000}">
      <text>
        <r>
          <rPr>
            <sz val="11"/>
            <color theme="1"/>
            <rFont val="Calibri"/>
            <family val="2"/>
            <scheme val="minor"/>
          </rPr>
          <t>Author:
- Using lettuce values from https://ntrs.nasa.gov/api/citations/20210024855/downloads/BVAD_2.15.22-final.pdf
- For 35-day-old N. benth (10g FW/plant, dense planting), the crop closest in growth form and cycle is lettuce. Lettuce fast-growing, herbaceous, leafy green harvested within a few weeks of planting (28 days)</t>
        </r>
      </text>
    </comment>
    <comment ref="C36" authorId="0" shapeId="0" xr:uid="{00000000-0006-0000-0500-000018000000}">
      <text>
        <r>
          <rPr>
            <sz val="11"/>
            <color theme="1"/>
            <rFont val="Calibri"/>
            <family val="2"/>
            <scheme val="minor"/>
          </rPr>
          <t>Author:
= 0.0004288 kg * [# of plants] * 2 seeds/plant
- Two seeds are used on average to generate one plant
[personal communcation with Karen McDonald]
- 0.0004288 kg = mass of one N. benth seed</t>
        </r>
      </text>
    </comment>
    <comment ref="D36" authorId="0" shapeId="0" xr:uid="{00000000-0006-0000-0500-000019000000}">
      <text>
        <r>
          <rPr>
            <sz val="11"/>
            <color theme="1"/>
            <rFont val="Calibri"/>
            <family val="2"/>
            <scheme val="minor"/>
          </rPr>
          <t>Author:
= (4/3 * pi * (0.45 mm/2)^3) * 1 m^3/1E9 mm^3
- 4/3*pi*radius^3 = Volume of a spherical N. benth seed
- 0.45 mm (450 um) = average diameter of ne N. benth seed
[Norikane, Joey, et al. "Development and Optimization of Nicotiana benthamiana Seed Production for Biopharmaceutical Applications." HORTSCIENCE. Vol. 49. No. 9, 2014.]</t>
        </r>
      </text>
    </comment>
    <comment ref="F36" authorId="0" shapeId="0" xr:uid="{00000000-0006-0000-0500-00001A000000}">
      <text>
        <r>
          <rPr>
            <sz val="11"/>
            <color theme="1"/>
            <rFont val="Calibri"/>
            <family val="2"/>
            <scheme val="minor"/>
          </rPr>
          <t>Author:
[Poulet et al (2021), Table 3]
- Sowing seeds: 1 min per 10 seeds
- Multiplied number of plants by two, since two seeds are used to generate one plant
- 60 min per hour
- Multiplied by 150% because crew time is estimated at 150% of lab time [personal commication from Gioia (Feb, 2025)]
Thinning plants: 4.6 min per m^2
- 215 N. benth plants per 1 m^2</t>
        </r>
      </text>
    </comment>
    <comment ref="C37" authorId="0" shapeId="0" xr:uid="{00000000-0006-0000-0500-00001B000000}">
      <text>
        <r>
          <rPr>
            <sz val="11"/>
            <color theme="1"/>
            <rFont val="Calibri"/>
            <family val="2"/>
            <scheme val="minor"/>
          </rPr>
          <t>Author:
= [water volume] m^3 * 1000 kg/m^3
- 1000 kg/m^3 = water density</t>
        </r>
      </text>
    </comment>
    <comment ref="D37" authorId="0" shapeId="0" xr:uid="{00000000-0006-0000-0500-00001C000000}">
      <text>
        <r>
          <rPr>
            <sz val="11"/>
            <color theme="1"/>
            <rFont val="Calibri"/>
            <family val="2"/>
            <scheme val="minor"/>
          </rPr>
          <t>Author:
7.3 g DW/m^2-d
35 d growth period
0.34 L water/g DW
0.001 m^3 per 1 L
[BVAD Tables 4-91 and 4-93]</t>
        </r>
      </text>
    </comment>
    <comment ref="F37" authorId="0" shapeId="0" xr:uid="{00000000-0006-0000-0500-00001D000000}">
      <text>
        <r>
          <rPr>
            <sz val="11"/>
            <color theme="1"/>
            <rFont val="Calibri"/>
            <family val="2"/>
            <scheme val="minor"/>
          </rPr>
          <t>Author:
Fresh/waste water management
[Poulet et al (2021), Table 3]
- 90 min per management event
- 4 events a year [Zabel 2020, Zeidler, 2020]
- 12.5 m^2 growing area for EDEN ISS
- 35 d growing period
- 365 d per yr
- Multiplied by 150% because crew time is estimated at 150% of lab time [personal commication from Gioia (Feb, 2025)]</t>
        </r>
      </text>
    </comment>
    <comment ref="C38" authorId="0" shapeId="0" xr:uid="{00000000-0006-0000-0500-00001E000000}">
      <text>
        <r>
          <rPr>
            <sz val="11"/>
            <color theme="1"/>
            <rFont val="Calibri"/>
            <family val="2"/>
            <scheme val="minor"/>
          </rPr>
          <t>Author:
- (1.166 g/L + (12.496 g/L-wk * 3 wks)) * (1 kg/1000 g) * [volume of water] m^3 * 1000 L/m^3 
- 1.166 g/L nutrients added first week
- 12.496 g/L nutrients added following three weeks
[Tables 4-94 and 4-95 in https://ntrs.nasa.gov/api/citations/20210024855/downloads/BVAD_2.15.22-final.pdf]</t>
        </r>
      </text>
    </comment>
    <comment ref="F38" authorId="0" shapeId="0" xr:uid="{00000000-0006-0000-0500-00001F000000}">
      <text>
        <r>
          <rPr>
            <sz val="11"/>
            <color theme="1"/>
            <rFont val="Calibri"/>
            <family val="2"/>
            <scheme val="minor"/>
          </rPr>
          <t>Author:
[Poulet, et al (2021), Table 3]
Nutrient solution mixing/prep
- 20.17 min per 10 days/tank (assuming 1 tank always used and is replenished every 10 days). This was for a 12.5 m^2 growing area aboard EDEN ISS
- 60 min per hour
- 35 d growing period
- Multiplied by 150% because crew time is estimated at 150% of lab time [personal commication from Gioia (Feb, 2025)]</t>
        </r>
      </text>
    </comment>
    <comment ref="C39" authorId="0" shapeId="0" xr:uid="{00000000-0006-0000-0500-000020000000}">
      <text>
        <r>
          <rPr>
            <sz val="11"/>
            <color theme="1"/>
            <rFont val="Calibri"/>
            <family val="2"/>
            <scheme val="minor"/>
          </rPr>
          <t>Author:
10.7 gCO2/m^2-d [BVAD Table 4-91]
35
 d growth period
1000 g in a kg</t>
        </r>
      </text>
    </comment>
    <comment ref="D39" authorId="0" shapeId="0" xr:uid="{00000000-0006-0000-0500-000021000000}">
      <text>
        <r>
          <rPr>
            <sz val="11"/>
            <color theme="1"/>
            <rFont val="Calibri"/>
            <family val="2"/>
            <scheme val="minor"/>
          </rPr>
          <t>Author:
1.82 kg/m^3 densiy of CO2 gas at 23C</t>
        </r>
      </text>
    </comment>
    <comment ref="F39" authorId="0" shapeId="0" xr:uid="{00000000-0006-0000-0500-000022000000}">
      <text>
        <r>
          <rPr>
            <sz val="11"/>
            <color theme="1"/>
            <rFont val="Calibri"/>
            <family val="2"/>
            <scheme val="minor"/>
          </rPr>
          <t>Author:
CO2 and lighting monitoring
[Poulet et al (2021, Table 5]
- 2.13 min/task
- 365 monitoring tasks per year (daily operation)
- 60 min per h
- 365 d per yr
- 35 day growing period
- Multiplied by 150% because crew time is estimated at 150% of lab time [personal commication from Gioia (Feb, 2025)]</t>
        </r>
      </text>
    </comment>
    <comment ref="C41" authorId="0" shapeId="0" xr:uid="{00000000-0006-0000-0500-000023000000}">
      <text>
        <r>
          <rPr>
            <sz val="11"/>
            <color theme="1"/>
            <rFont val="Calibri"/>
            <family val="2"/>
            <scheme val="minor"/>
          </rPr>
          <t xml:space="preserve">Author:
7.78 g O2/m^2-d
35 d growth period
[BVAD Table 4-91]
</t>
        </r>
      </text>
    </comment>
    <comment ref="D41" authorId="0" shapeId="0" xr:uid="{00000000-0006-0000-0500-000024000000}">
      <text>
        <r>
          <rPr>
            <sz val="11"/>
            <color theme="1"/>
            <rFont val="Calibri"/>
            <family val="2"/>
            <scheme val="minor"/>
          </rPr>
          <t>Author:
1.3 kg/m^3 density of O2 gas at 1 atm</t>
        </r>
      </text>
    </comment>
    <comment ref="C42" authorId="0" shapeId="0" xr:uid="{00000000-0006-0000-0500-000025000000}">
      <text>
        <r>
          <rPr>
            <sz val="11"/>
            <color theme="1"/>
            <rFont val="Calibri"/>
            <family val="2"/>
            <scheme val="minor"/>
          </rPr>
          <t>Author:
2.1 kg/m^2-d is the average water uptake or average transpiration rate
[BVAD Table 4-91]</t>
        </r>
      </text>
    </comment>
    <comment ref="D42" authorId="0" shapeId="0" xr:uid="{00000000-0006-0000-0500-000026000000}">
      <text>
        <r>
          <rPr>
            <sz val="11"/>
            <color theme="1"/>
            <rFont val="Calibri"/>
            <family val="2"/>
            <scheme val="minor"/>
          </rPr>
          <t>Author:
1000 kg/m^3 water density</t>
        </r>
      </text>
    </comment>
    <comment ref="F44" authorId="0" shapeId="0" xr:uid="{00000000-0006-0000-0500-000027000000}">
      <text>
        <r>
          <rPr>
            <sz val="11"/>
            <color theme="1"/>
            <rFont val="Calibri"/>
            <family val="2"/>
            <scheme val="minor"/>
          </rPr>
          <t>Author:
[Poulet, et. al (2021), Table 3]
3.97 min/m^2 harvest time for lettuce, assuming same harvest time for N. benth
60 minutes in an hour
- Multiplied by 150% because crew time is estimated at 150% of lab time [personal commication from Gioia (Feb, 2025)]</t>
        </r>
      </text>
    </comment>
    <comment ref="D45" authorId="0" shapeId="0" xr:uid="{00000000-0006-0000-0500-000028000000}">
      <text>
        <r>
          <rPr>
            <sz val="11"/>
            <color theme="1"/>
            <rFont val="Calibri"/>
            <family val="2"/>
            <scheme val="minor"/>
          </rPr>
          <t>Author:
= [biomass mass] kg * 1 m^3/60 kg
- 60 kg/m^3 = estimated density of raw lettuce waste. Assumed similar for N. benth
[https://kg-m3.com/material/salad-green-leaves-raw]</t>
        </r>
      </text>
    </comment>
    <comment ref="C47" authorId="0" shapeId="0" xr:uid="{00000000-0006-0000-0500-000029000000}">
      <text>
        <r>
          <rPr>
            <sz val="11"/>
            <color theme="1"/>
            <rFont val="Calibri"/>
            <family val="2"/>
            <scheme val="minor"/>
          </rPr>
          <t xml:space="preserve">Author:
[BVAD Table 4-90]
- For lettuce, 7.3 g inedible FW/m^2-d. Assuming same remaining biomass for N. benth
</t>
        </r>
      </text>
    </comment>
    <comment ref="D47" authorId="0" shapeId="0" xr:uid="{00000000-0006-0000-0500-00002A000000}">
      <text>
        <r>
          <rPr>
            <sz val="11"/>
            <color theme="1"/>
            <rFont val="Calibri"/>
            <family val="2"/>
            <scheme val="minor"/>
          </rPr>
          <t>Author:
= [biomass waste mass] kg * 1 m^3/60 kg
- 60 kg/m^3 = estimated density of raw lettuce waste. Assumed similar for N. benth
[https://kg-m3.com/material/salad-green-leaves-raw]</t>
        </r>
      </text>
    </comment>
    <comment ref="F47" authorId="0" shapeId="0" xr:uid="{00000000-0006-0000-0500-00002B000000}">
      <text>
        <r>
          <rPr>
            <sz val="11"/>
            <color theme="1"/>
            <rFont val="Calibri"/>
            <family val="2"/>
            <scheme val="minor"/>
          </rPr>
          <t>Author:
Neglect. No current info</t>
        </r>
      </text>
    </comment>
    <comment ref="C51" authorId="0" shapeId="0" xr:uid="{00000000-0006-0000-0500-00002C000000}">
      <text>
        <r>
          <rPr>
            <sz val="11"/>
            <color theme="1"/>
            <rFont val="Calibri"/>
            <family val="2"/>
            <scheme val="minor"/>
          </rPr>
          <t>Author:
= [seeds mass] kg/wk + ([plant nutrients mass] kg * (1/4 wks) * 4 batches/wk) + ([CO2 mass] kg * (1/4 wks) * 4 batches/wk)
- Divided plant nutrients and CO2 by 4 weeks (28 days batch time) to get a per-week basis for 1 batch. Then multiplied plant nutrients and CO2 by 4 because this is for 4 batches at a given week</t>
        </r>
      </text>
    </comment>
    <comment ref="E51" authorId="0" shapeId="0" xr:uid="{00000000-0006-0000-0500-00002D000000}">
      <text>
        <r>
          <rPr>
            <sz val="11"/>
            <color theme="1"/>
            <rFont val="Calibri"/>
            <family val="2"/>
            <scheme val="minor"/>
          </rPr>
          <t>Author:
= ([O2 mass] kg * (1/4 wks) * 4 batches/wk) + [PTH-Fc mass] kg/wk + [plant biomass DW] kg/wk + [water mass from plant] kg/wk + [macros mass] kg/wk + [micros mass] kg/wk]
- Divided O2 by 4 weeks (28 days batch time) to get a per-week basis for 1 batch. Then multiplied by 4 because this is for 4 batches at a given week</t>
        </r>
      </text>
    </comment>
    <comment ref="C52" authorId="0" shapeId="0" xr:uid="{00000000-0006-0000-0500-00002E000000}">
      <text>
        <r>
          <rPr>
            <sz val="11"/>
            <color theme="1"/>
            <rFont val="Calibri"/>
            <family val="2"/>
            <scheme val="minor"/>
          </rPr>
          <t>Author:
= [seeds volume] m^3/wk + ([CO2 volume] m^3 * (1/4 wks) * 4 batches/wk)
- Divided CO2 by 4 weeks (28 days batch time) to get a per-week basis for 1 batch. Then multiplied CO2 by 4 because this is for 4 batches at a given week</t>
        </r>
      </text>
    </comment>
    <comment ref="E52" authorId="0" shapeId="0" xr:uid="{00000000-0006-0000-0500-00002F000000}">
      <text>
        <r>
          <rPr>
            <sz val="11"/>
            <color theme="1"/>
            <rFont val="Calibri"/>
            <family val="2"/>
            <scheme val="minor"/>
          </rPr>
          <t>Author:
= ([O2 volume] m^3 * (1/4 wks) * 4 batches/wk) + ([water transpiration volume] m^3 * (1/4 wks) * 4 batches/wk) + [plant biomass DW] m^3/wk + [water volume from plant] m^3/wk
- Divided O2 and water transpiration by 4 weeks (28 days batch time) to get a per-week basis for 1 batch. Then multiplied O2 and water transpiration by 4 because this is for 4 batches at a given week</t>
        </r>
      </text>
    </comment>
    <comment ref="B54" authorId="0" shapeId="0" xr:uid="{00000000-0006-0000-0500-000030000000}">
      <text>
        <r>
          <rPr>
            <sz val="11"/>
            <color theme="1"/>
            <rFont val="Calibri"/>
            <family val="2"/>
            <scheme val="minor"/>
          </rPr>
          <t>Author:
Same value as Power. Assumed nearly all electrical power consumed by growth chamber becomes heat to be removed by thermal control systems
[Table 4-88 in https://ntrs.nasa.gov/api/citations/20210024855/downloads/BVAD_2.15.22-final.pdf]</t>
        </r>
      </text>
    </comment>
    <comment ref="F55" authorId="1" shapeId="0" xr:uid="{8029FF82-2FD0-4D87-8509-3955E655C48C}">
      <text>
        <r>
          <rPr>
            <b/>
            <sz val="9"/>
            <color indexed="81"/>
            <rFont val="Tahoma"/>
            <family val="2"/>
          </rPr>
          <t>Karen McDonald:</t>
        </r>
        <r>
          <rPr>
            <sz val="9"/>
            <color indexed="81"/>
            <rFont val="Tahoma"/>
            <family val="2"/>
          </rPr>
          <t xml:space="preserve">
Author:
- [crew time for sowing seeds] CM-h/wk + ([crew time for water management] CM-h/5 wks *5 batches/wk) + ([crew time for nutrient solution prep] CM-h5 wks * 5 batches/wk) +([crew time for CO2 monitoring] CM-h/5 wks) + harvesting time per week
- Divided crew time for water management and nutrient solution prep by 4 weeks to get a per-week basis for 1 batch. Then multiplied by 4 because this is for 4 batches at a given week. 
-  Divided crew time for CO2 monitoring by 4 to get a per-week basis. CO2 monitoring does not depend on number of batches.</t>
        </r>
      </text>
    </comment>
    <comment ref="A57" authorId="2" shapeId="0" xr:uid="{5E96B04C-AB18-4794-BD03-6BCD39B40B20}">
      <text>
        <r>
          <rPr>
            <sz val="11"/>
            <color theme="1"/>
            <rFont val="Calibri"/>
            <family val="2"/>
            <scheme val="minor"/>
          </rPr>
          <t>Shanice Taylor:
For a large-scale biomass production, the capacity of the Water Recovery System of the plant growth chamber would be expanded
[personal communication with Mark Settles, Aug 2025]</t>
        </r>
      </text>
    </comment>
    <comment ref="B57" authorId="0" shapeId="0" xr:uid="{00000000-0006-0000-0500-000033000000}">
      <text>
        <r>
          <rPr>
            <sz val="11"/>
            <color theme="1"/>
            <rFont val="Calibri"/>
            <family val="2"/>
            <scheme val="minor"/>
          </rPr>
          <t>Author:
= [mass of water input] kg - [mass of water transpiration] kg - [mass of water in plant] kg
- Mass of water remaining that is assumed to be recycled in the the Water Recovery System, and is thus part of the system component</t>
        </r>
      </text>
    </comment>
    <comment ref="C57" authorId="0" shapeId="0" xr:uid="{00000000-0006-0000-0500-000034000000}">
      <text>
        <r>
          <rPr>
            <sz val="11"/>
            <color theme="1"/>
            <rFont val="Calibri"/>
            <family val="2"/>
            <scheme val="minor"/>
          </rPr>
          <t xml:space="preserve">Author:
-Divided water mass by 4 weeks to get a per-week basis for 1 batch. Then multiplied by 4 because this is for 4 batches at a given week. 
- Mass of water provided to the plant growth chamber, with the water assumed to be sourced from the Martian surface. 
- If sourced, should we add an ISRU System for water extraction from Mars under cell B25 "Equipment"? BVAD Table 4-85 mentions the ISRU System's mass and power, but not volume and crew time requirements
</t>
        </r>
      </text>
    </comment>
    <comment ref="E57" authorId="0" shapeId="0" xr:uid="{00000000-0006-0000-0500-000035000000}">
      <text>
        <r>
          <rPr>
            <sz val="11"/>
            <color theme="1"/>
            <rFont val="Calibri"/>
            <family val="2"/>
            <scheme val="minor"/>
          </rPr>
          <t>Author:
= ([water transpiration mass] kg * (1/4 wks) * 4 batches/wk) 
Divided water transpiration by 4 weeks (28 days batch time) to get a per-week basis for 1 batch. Then multiplied by 4 because this is for 4 batches at a given week</t>
        </r>
      </text>
    </comment>
    <comment ref="B114" authorId="2" shapeId="0" xr:uid="{CF83EA72-B2EA-46E9-BC05-F21881DB9E2A}">
      <text>
        <r>
          <rPr>
            <b/>
            <sz val="9"/>
            <color indexed="81"/>
            <rFont val="Tahoma"/>
            <family val="2"/>
          </rPr>
          <t>Shanice Taylor:</t>
        </r>
        <r>
          <rPr>
            <sz val="9"/>
            <color indexed="81"/>
            <rFont val="Tahoma"/>
            <family val="2"/>
          </rPr>
          <t xml:space="preserve">
 (321 kg + 91 kg)
- Mass of refrigeration/freezer unit (321 kg) + secondary structure mass (91 kg)
[Table 4-49 in https://ntrs.nasa.gov/api/citations/20210024855/downloads/BVAD_2.15.22-final.pdf]</t>
        </r>
      </text>
    </comment>
    <comment ref="B115" authorId="2" shapeId="0" xr:uid="{2BDF893F-4CE4-4BC1-BC77-49BC2FB374F8}">
      <text>
        <r>
          <rPr>
            <b/>
            <sz val="9"/>
            <color indexed="81"/>
            <rFont val="Tahoma"/>
            <family val="2"/>
          </rPr>
          <t>Shanice Taylor:</t>
        </r>
        <r>
          <rPr>
            <sz val="9"/>
            <color indexed="81"/>
            <rFont val="Tahoma"/>
            <family val="2"/>
          </rPr>
          <t xml:space="preserve">
[Table 4-49 in https://ntrs.nasa.gov/api/citations/20210024855/downloads/BVAD_2.15.22-final.pdf]</t>
        </r>
      </text>
    </comment>
    <comment ref="B116" authorId="2" shapeId="0" xr:uid="{64CA27A9-568D-4E00-B39A-CFEBD99240D9}">
      <text>
        <r>
          <rPr>
            <b/>
            <sz val="9"/>
            <color indexed="81"/>
            <rFont val="Tahoma"/>
            <family val="2"/>
          </rPr>
          <t>Shanice Taylor:</t>
        </r>
        <r>
          <rPr>
            <sz val="9"/>
            <color indexed="81"/>
            <rFont val="Tahoma"/>
            <family val="2"/>
          </rPr>
          <t xml:space="preserve">
[Table 4-49 in https://ntrs.nasa.gov/api/citations/20210024855/downloads/BVAD_2.15.22-final.pdf]</t>
        </r>
      </text>
    </comment>
    <comment ref="B117" authorId="2" shapeId="0" xr:uid="{DB83B3C0-8FBE-4D68-8208-C66311ACEF51}">
      <text>
        <r>
          <rPr>
            <b/>
            <sz val="9"/>
            <color indexed="81"/>
            <rFont val="Tahoma"/>
            <family val="2"/>
          </rPr>
          <t>Shanice Taylor:</t>
        </r>
        <r>
          <rPr>
            <sz val="9"/>
            <color indexed="81"/>
            <rFont val="Tahoma"/>
            <family val="2"/>
          </rPr>
          <t xml:space="preserve">
[Table 4-49 in https://ntrs.nasa.gov/api/citations/20210024855/downloads/BVAD_2.15.22-final.pdf]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Shanice Taylor</author>
    <author>Author</author>
    <author>Karen McDonald</author>
  </authors>
  <commentList>
    <comment ref="B6" authorId="0" shapeId="0" xr:uid="{00000000-0006-0000-0600-000001000000}">
      <text>
        <r>
          <rPr>
            <sz val="11"/>
            <color theme="1"/>
            <rFont val="Calibri"/>
            <family val="2"/>
            <scheme val="minor"/>
          </rPr>
          <t>Shanice Taylor:
Lab data - 300mg AAT protein/kg FW</t>
        </r>
      </text>
    </comment>
    <comment ref="B15" authorId="1" shapeId="0" xr:uid="{00000000-0006-0000-0600-000002000000}">
      <text>
        <r>
          <rPr>
            <sz val="11"/>
            <color theme="1"/>
            <rFont val="Calibri"/>
            <family val="2"/>
            <scheme val="minor"/>
          </rPr>
          <t>Author:
= (320 plants / 16 ft^2 tray) * (1 ft^2 / 0.0929 m^2) * (9,830,000 g FW / 982,000 plants) * 1 kg/1000 g 
- 320 N. benth plants per 16 ft^2 tray
- 9,830,000 g FW per 982,000 plants
[doi.org/10.1080/19420862.2016.1227901]</t>
        </r>
      </text>
    </comment>
    <comment ref="B16" authorId="1" shapeId="0" xr:uid="{00000000-0006-0000-0600-000003000000}">
      <text>
        <r>
          <rPr>
            <sz val="11"/>
            <color theme="1"/>
            <rFont val="Calibri"/>
            <family val="2"/>
            <scheme val="minor"/>
          </rPr>
          <t>Author:
= (9,830,000 g FW / 982,000 plants) * 1 kg/1000 g 
- 9,830,000 g FW per 982,000 plants
[doi.org/10.1080/19420862.2016.1227901]</t>
        </r>
      </text>
    </comment>
    <comment ref="B17" authorId="1" shapeId="0" xr:uid="{00000000-0006-0000-0600-000004000000}">
      <text>
        <r>
          <rPr>
            <sz val="11"/>
            <color theme="1"/>
            <rFont val="Calibri"/>
            <family val="2"/>
            <scheme val="minor"/>
          </rPr>
          <t xml:space="preserve">Author:
= [PTH-Fc mass] mg PTH-Fc monomer/wk-CM * 1 dimer/2 monomers * [PTH-Fc mass] mg dimer/kg FW </t>
        </r>
      </text>
    </comment>
    <comment ref="D28" authorId="1" shapeId="0" xr:uid="{00000000-0006-0000-0600-000005000000}">
      <text>
        <r>
          <rPr>
            <sz val="11"/>
            <color theme="1"/>
            <rFont val="Calibri"/>
            <family val="2"/>
            <scheme val="minor"/>
          </rPr>
          <t>Author:
= (101.5 kg/m^2 - 22.9 kg/m^2 - 8.4 kg/m^2) * [planting area] m^2
- Mass of all components in plant growth chamber (101.5 kg/m^2)    minus HPS lamps (22.9 kg/m^2) and ballasts (8.4 kg/m^2)
[Table 4-88 in https://ntrs.nasa.gov/api/citations/20210024855/downloads/BVAD_2.15.22-final.pdf]</t>
        </r>
      </text>
    </comment>
    <comment ref="E28" authorId="1" shapeId="0" xr:uid="{00000000-0006-0000-0600-000006000000}">
      <text>
        <r>
          <rPr>
            <sz val="11"/>
            <color theme="1"/>
            <rFont val="Calibri"/>
            <family val="2"/>
            <scheme val="minor"/>
          </rPr>
          <t>Author:
= (1.03 m^3/m^2 - 0.25 m^3/m^2) * [planting area] m^2
- Volume of all components (1.03 m^3/m^2) minus HPS lamps (0.25 m^3/m^2)
[Table 4-88 in https://ntrs.nasa.gov/api/citations/20210024855/downloads/BVAD_2.15.22-final.pdf]</t>
        </r>
      </text>
    </comment>
    <comment ref="F28" authorId="1" shapeId="0" xr:uid="{00000000-0006-0000-0600-000007000000}">
      <text>
        <r>
          <rPr>
            <sz val="11"/>
            <color theme="1"/>
            <rFont val="Calibri"/>
            <family val="2"/>
            <scheme val="minor"/>
          </rPr>
          <t>Author:
= (2.6 kW/m^2 - 2.1 kW/m^2 - 0.075 kW/m^2) * [planting area] m^2
Power of all chamber components (2.6 kW/m^2) minus HPS lamps (2.1 kW/m^2) and ballasts (0.075 kW/m^2) 
[Table 4-88 in https://ntrs.nasa.gov/api/citations/20210024855/downloads/BVAD_2.15.22-final.pdf]</t>
        </r>
      </text>
    </comment>
    <comment ref="G28" authorId="1" shapeId="0" xr:uid="{00000000-0006-0000-0600-000008000000}">
      <text>
        <r>
          <rPr>
            <sz val="11"/>
            <color theme="1"/>
            <rFont val="Calibri"/>
            <family val="2"/>
            <scheme val="minor"/>
          </rPr>
          <t xml:space="preserve">Author:
No info available regarding crewtime for maintaining growth chamber
</t>
        </r>
      </text>
    </comment>
    <comment ref="C29" authorId="1" shapeId="0" xr:uid="{00000000-0006-0000-0600-000009000000}">
      <text>
        <r>
          <rPr>
            <sz val="11"/>
            <color theme="1"/>
            <rFont val="Calibri"/>
            <family val="2"/>
            <scheme val="minor"/>
          </rPr>
          <t xml:space="preserve">Author:
= rounded-up value of [planting area] m^2 * 9 panels/m^2
- 9 LED panels per m^2 [personal communication with Paul Kusuma, 2025]
</t>
        </r>
      </text>
    </comment>
    <comment ref="D29" authorId="1" shapeId="0" xr:uid="{00000000-0006-0000-0600-00000A000000}">
      <text>
        <r>
          <rPr>
            <sz val="11"/>
            <color theme="1"/>
            <rFont val="Calibri"/>
            <family val="2"/>
            <scheme val="minor"/>
          </rPr>
          <t xml:space="preserve">Author:
= 0.243 kg/LED panel * # of LED panels
- 0.243 kg = mass of an individual LED panel 
[personal communication with Paul Kusuma, 2025]
</t>
        </r>
      </text>
    </comment>
    <comment ref="E29" authorId="1" shapeId="0" xr:uid="{00000000-0006-0000-0600-00000B000000}">
      <text>
        <r>
          <rPr>
            <sz val="11"/>
            <color theme="1"/>
            <rFont val="Calibri"/>
            <family val="2"/>
            <scheme val="minor"/>
          </rPr>
          <t>Author:
= (0.3 m x 0.3 m x 0.001 m)/LED panel * # of LED panels
- 0.3m x 0.3m x 0.001m = dimensions (LxWxH) of one LED panel
[personal communication with Paul Kusuma, 2025]</t>
        </r>
      </text>
    </comment>
    <comment ref="F29" authorId="1" shapeId="0" xr:uid="{00000000-0006-0000-0600-00000C000000}">
      <text>
        <r>
          <rPr>
            <sz val="11"/>
            <color theme="1"/>
            <rFont val="Calibri"/>
            <family val="2"/>
            <scheme val="minor"/>
          </rPr>
          <t>Author:
= 50.7 W/LED panel * # of LED panels * 1 kW/1000W
- 50.7 W = power that 1 LED panel consumes
[personal communication with Paul Kusuma, 2025]</t>
        </r>
      </text>
    </comment>
    <comment ref="C30" authorId="1" shapeId="0" xr:uid="{00000000-0006-0000-0600-00000D000000}">
      <text>
        <r>
          <rPr>
            <sz val="11"/>
            <color theme="1"/>
            <rFont val="Calibri"/>
            <family val="2"/>
            <scheme val="minor"/>
          </rPr>
          <t>Author:
= if 0.003785 m^3 * # of harvest collection containers/week * 2 weeks &lt;=  0.0187 m^3, return the value of 1
= if the ratio of (0.003785 m^3 * # of harvest collection containers/week * 2 weeks) / (0.0187 m^3) is greater than 1, return the value to the next whole number
- 0.003785 m^3 = volume of a 1-gallon ziploc bag used for cold storage
[https://www.uline.com/Product/Detail/S-23779/Food-Bags/Ziploc-Freezer-Bags-1-Gallon]
- 2 weeks = assumed time for cold storage to be kept in freezer
- 0.0187 m^3 = cold capacity volume of one NASA GLACIER freezer [https://ntrs.nasa.gov/api/citations/20060056491/downloads/20060056491.pdf]</t>
        </r>
      </text>
    </comment>
    <comment ref="D30" authorId="1" shapeId="0" xr:uid="{00000000-0006-0000-0600-00000E000000}">
      <text>
        <r>
          <rPr>
            <sz val="11"/>
            <color theme="1"/>
            <rFont val="Calibri"/>
            <family val="2"/>
            <scheme val="minor"/>
          </rPr>
          <t>Author:
= 0.75 kg freezer/kg frozen food mass * [plant mass] kg FW/wk * # of freezers
- 0.75 kg freezer/kg frozen food mass
[Table 4-50 in https://ntrs.nasa.gov/api/citations/20210024855/downloads/BVAD_2.15.22-final.pdf]</t>
        </r>
      </text>
    </comment>
    <comment ref="E30" authorId="1" shapeId="0" xr:uid="{00000000-0006-0000-0600-00000F000000}">
      <text>
        <r>
          <rPr>
            <sz val="11"/>
            <color theme="1"/>
            <rFont val="Calibri"/>
            <family val="2"/>
            <scheme val="minor"/>
          </rPr>
          <t>Author:
= 3.93E-3 m^3 freezer/kg frozen food mass * [plant mass] kg FW/wk * # of freezers
- 3.93E-3 m^3 freezer/kg frozen food mass
[Table 4-50 in https://ntrs.nasa.gov/api/citations/20210024855/downloads/BVAD_2.15.22-final.pdf]</t>
        </r>
      </text>
    </comment>
    <comment ref="F30" authorId="1" shapeId="0" xr:uid="{00000000-0006-0000-0600-000010000000}">
      <text>
        <r>
          <rPr>
            <sz val="11"/>
            <color theme="1"/>
            <rFont val="Calibri"/>
            <family val="2"/>
            <scheme val="minor"/>
          </rPr>
          <t>Author:
= 0.33 kW freezer/kg frozen food mass * [harvested plant mass] kg/wk * # of freezers
- 0.33 kW freezer/kg frozen food mass
[Table 4-50 in https://ntrs.nasa.gov/api/citations/20210024855/downloads/BVAD_2.15.22-final.pdf]</t>
        </r>
      </text>
    </comment>
    <comment ref="G30" authorId="1" shapeId="0" xr:uid="{00000000-0006-0000-0600-000011000000}">
      <text>
        <r>
          <rPr>
            <sz val="11"/>
            <color theme="1"/>
            <rFont val="Calibri"/>
            <family val="2"/>
            <scheme val="minor"/>
          </rPr>
          <t>Author:
[Table 4-50 in https://ntrs.nasa.gov/api/citations/20210024855/downloads/BVAD_2.15.22-final.pdf]</t>
        </r>
      </text>
    </comment>
    <comment ref="C31" authorId="1" shapeId="0" xr:uid="{00000000-0006-0000-0600-000012000000}">
      <text>
        <r>
          <rPr>
            <sz val="11"/>
            <color theme="1"/>
            <rFont val="Calibri"/>
            <family val="2"/>
            <scheme val="minor"/>
          </rPr>
          <t>Author:
= if leaf harvest crew time is less than 2 hrs, return the value of 1
= if the ratio of leaf harvest crew time to 2 hrs is greater than 1, return the next whole number
- Assumption: 1 harvesting tool per CM
- Assumption: 1 CM will spend maximum 2 hours harvesting per week</t>
        </r>
      </text>
    </comment>
    <comment ref="D31" authorId="1" shapeId="0" xr:uid="{00000000-0006-0000-0600-000013000000}">
      <text>
        <r>
          <rPr>
            <sz val="11"/>
            <color theme="1"/>
            <rFont val="Calibri"/>
            <family val="2"/>
            <scheme val="minor"/>
          </rPr>
          <t>Author:
= 0.20411 kg/scissor * # of scissors
- 0.20411 = mass of one scissor, similar to the one used by https://doi.org/10.2478/gsr-2023-0001 
[https://www.amazon.com/Clauss-Forged-Carbon-Steel-Shears/dp/B000PCVTCQ]</t>
        </r>
      </text>
    </comment>
    <comment ref="E31" authorId="1" shapeId="0" xr:uid="{00000000-0006-0000-0600-000014000000}">
      <text>
        <r>
          <rPr>
            <sz val="11"/>
            <color theme="1"/>
            <rFont val="Calibri"/>
            <family val="2"/>
            <scheme val="minor"/>
          </rPr>
          <t>Author:
= 6.4E-4 m^3/scissor * # of scissors
- 6.4E-4 m^3 = volume of one scissor, similar to the one used by https://doi.org/10.2478/gsr-2023-0001 
[https://www.amazon.com/Clauss-Forged-Carbon-Steel-Shears/dp/B000PCVTCQ]</t>
        </r>
      </text>
    </comment>
    <comment ref="C32" authorId="1" shapeId="0" xr:uid="{00000000-0006-0000-0600-000015000000}">
      <text>
        <r>
          <rPr>
            <sz val="11"/>
            <color theme="1"/>
            <rFont val="Calibri"/>
            <family val="2"/>
            <scheme val="minor"/>
          </rPr>
          <t xml:space="preserve">Author:
= rounded up value of [plant mass] kg FW/wk * (1 m^3 / 85 kg) * 1 bag / 0.003785 m^3
= 85 kg/m^3 = assumed density of moderately-packed N. benth, similar to lettuce [https://kg-m3.com/material/salad-green-leaves-raw] 
- 0.003785 m^3 = volume of a 1 gal bag [https://www.uline.com/Product/Detail/S-23779/Food-Bags/Ziploc-Freezer-Bags-1-Gallon] </t>
        </r>
      </text>
    </comment>
    <comment ref="D32" authorId="1" shapeId="0" xr:uid="{00000000-0006-0000-0600-000016000000}">
      <text>
        <r>
          <rPr>
            <sz val="11"/>
            <color theme="1"/>
            <rFont val="Calibri"/>
            <family val="2"/>
            <scheme val="minor"/>
          </rPr>
          <t>Author:
= (7.62 lbs / 250 bags) * (0.45359 kg / 1 lb) * # of bags
- 7.62 lbs per 250 bags 
[https://www.uline.com/Product/Detail/S-23779/Food-Bags/Ziploc-Freezer-Bags-1-Gallon]</t>
        </r>
      </text>
    </comment>
    <comment ref="E32" authorId="1" shapeId="0" xr:uid="{00000000-0006-0000-0600-000017000000}">
      <text>
        <r>
          <rPr>
            <sz val="11"/>
            <color theme="1"/>
            <rFont val="Calibri"/>
            <family val="2"/>
            <scheme val="minor"/>
          </rPr>
          <t xml:space="preserve">Author:
= (10.5 x 11 x 0.00394) in^3 * 1.639E-5 m^3/in^3 * # of bags
- 10.5" x 11" x 0.00394" = volume of a ziploc bag
[https://www.uline.com/Product/Detail/S-23779/Food-Bags/Ziploc-Freezer-Bags-1-Gallon]
</t>
        </r>
      </text>
    </comment>
    <comment ref="A36" authorId="1" shapeId="0" xr:uid="{00000000-0006-0000-0600-000018000000}">
      <text>
        <r>
          <rPr>
            <sz val="11"/>
            <color theme="1"/>
            <rFont val="Calibri"/>
            <family val="2"/>
            <scheme val="minor"/>
          </rPr>
          <t>Author:
- Using lettuce values from https://ntrs.nasa.gov/api/citations/20210024855/downloads/BVAD_2.15.22-final.pdf
- For 35-day-old N. benth (10g FW/plant, dense planting), the crop closest in growth form and cycle is lettuce. Lettuce fast-growing, herbaceous, leafy green harvested within a few weeks of planting (28 days)</t>
        </r>
      </text>
    </comment>
    <comment ref="C36" authorId="1" shapeId="0" xr:uid="{00000000-0006-0000-0600-000019000000}">
      <text>
        <r>
          <rPr>
            <sz val="11"/>
            <color theme="1"/>
            <rFont val="Calibri"/>
            <family val="2"/>
            <scheme val="minor"/>
          </rPr>
          <t>Author:
= 0.0004288 kg * [# of plants] * 2 seeds/plant
- Two seeds are used on average to generate one plant
[personal communcation with Karen McDonald]
- 0.0004288 kg = mass of one N. benth seed</t>
        </r>
      </text>
    </comment>
    <comment ref="D36" authorId="1" shapeId="0" xr:uid="{00000000-0006-0000-0600-00001A000000}">
      <text>
        <r>
          <rPr>
            <sz val="11"/>
            <color theme="1"/>
            <rFont val="Calibri"/>
            <family val="2"/>
            <scheme val="minor"/>
          </rPr>
          <t>Author:
= (4/3 * pi * (0.45 mm/2)^3) * 1 m^3/1E9 mm^3
- 4/3*pi*radius^3 = Volume of a spherical N. benth seed
- 0.45 mm (450 um) = average diameter of ne N. benth seed
[Norikane, Joey, et al. "Development and Optimization of Nicotiana benthamiana Seed Production for Biopharmaceutical Applications." HORTSCIENCE. Vol. 49. No. 9, 2014.]</t>
        </r>
      </text>
    </comment>
    <comment ref="F36" authorId="1" shapeId="0" xr:uid="{00000000-0006-0000-0600-00001B000000}">
      <text>
        <r>
          <rPr>
            <sz val="11"/>
            <color theme="1"/>
            <rFont val="Calibri"/>
            <family val="2"/>
            <scheme val="minor"/>
          </rPr>
          <t>Author:
[Poulet et al (2021), Table 3]
- Sowing seeds: 1 min per 10 seeds
- Multiplied number of plants by two, since two seeds are used to generate one plant
- 60 min per hour
- Multiplied by 150% because crew time is estimated at 150% of lab time [personal commication from Gioia (Feb, 2025)]
Thinning plants: 4.6 min per m^2
- 215 N. benth plants per 1 m^2</t>
        </r>
      </text>
    </comment>
    <comment ref="C37" authorId="1" shapeId="0" xr:uid="{00000000-0006-0000-0600-00001C000000}">
      <text>
        <r>
          <rPr>
            <sz val="11"/>
            <color theme="1"/>
            <rFont val="Calibri"/>
            <family val="2"/>
            <scheme val="minor"/>
          </rPr>
          <t>Author:
= [water volume] m^3 * 1000 kg/m^3
- 1000 kg/m^3 = water density</t>
        </r>
      </text>
    </comment>
    <comment ref="D37" authorId="1" shapeId="0" xr:uid="{00000000-0006-0000-0600-00001D000000}">
      <text>
        <r>
          <rPr>
            <sz val="11"/>
            <color theme="1"/>
            <rFont val="Calibri"/>
            <family val="2"/>
            <scheme val="minor"/>
          </rPr>
          <t>Author:
7.3 g DW/m^2-d
35 d growth period
0.34 L water/g DW
0.001 m^3 per 1 L
[BVAD Tables 4-91 and 4-93]</t>
        </r>
      </text>
    </comment>
    <comment ref="F37" authorId="1" shapeId="0" xr:uid="{00000000-0006-0000-0600-00001E000000}">
      <text>
        <r>
          <rPr>
            <sz val="11"/>
            <color theme="1"/>
            <rFont val="Calibri"/>
            <family val="2"/>
            <scheme val="minor"/>
          </rPr>
          <t>Author:
Fresh/waste water management
[Poulet et al (2021), Table 3]
- 90 min per management event
- 4 events a year [Zabel 2020, Zeidler, 2020]
- 12.5 m^2 growing area for EDEN ISS
- 35 d growing period
- 365 d per yr
- Multiplied by 150% because crew time is estimated at 150% of lab time [personal commication from Gioia (Feb, 2025)]</t>
        </r>
      </text>
    </comment>
    <comment ref="C38" authorId="1" shapeId="0" xr:uid="{00000000-0006-0000-0600-00001F000000}">
      <text>
        <r>
          <rPr>
            <sz val="11"/>
            <color theme="1"/>
            <rFont val="Calibri"/>
            <family val="2"/>
            <scheme val="minor"/>
          </rPr>
          <t>Author:
- (1.166 g/L + (12.496 g/L-wk * 3 wks)) * (1 kg/1000 g) * [volume of water] m^3 * 1000 L/m^3 
- 1.166 g/L nutrients added first week
- 12.496 g/L nutrients added following three weeks
[Tables 4-94 and 4-95 in https://ntrs.nasa.gov/api/citations/20210024855/downloads/BVAD_2.15.22-final.pdf]</t>
        </r>
      </text>
    </comment>
    <comment ref="F38" authorId="1" shapeId="0" xr:uid="{00000000-0006-0000-0600-000020000000}">
      <text>
        <r>
          <rPr>
            <sz val="11"/>
            <color theme="1"/>
            <rFont val="Calibri"/>
            <family val="2"/>
            <scheme val="minor"/>
          </rPr>
          <t>Author:
[Poulet, et al (2021), Table 3]
Nutrient solution mixing/prep
- 20.17 min per 10 days/tank (assuming 1 tank always used and is replenished every 10 days). This was for a 12.5 m^2 growing area aboard EDEN ISS
- 60 min per hour
- 35 d growing period
- Multiplied by 150% because crew time is estimated at 150% of lab time [personal commication from Gioia (Feb, 2025)]</t>
        </r>
      </text>
    </comment>
    <comment ref="C39" authorId="1" shapeId="0" xr:uid="{00000000-0006-0000-0600-000021000000}">
      <text>
        <r>
          <rPr>
            <sz val="11"/>
            <color theme="1"/>
            <rFont val="Calibri"/>
            <family val="2"/>
            <scheme val="minor"/>
          </rPr>
          <t>Author:
10.7 gCO2/m^2-d [BVAD Table 4-91]
35
 d growth period
1000 g in a kg</t>
        </r>
      </text>
    </comment>
    <comment ref="D39" authorId="1" shapeId="0" xr:uid="{00000000-0006-0000-0600-000022000000}">
      <text>
        <r>
          <rPr>
            <sz val="11"/>
            <color theme="1"/>
            <rFont val="Calibri"/>
            <family val="2"/>
            <scheme val="minor"/>
          </rPr>
          <t>Author:
1.82 kg/m^3 densiy of CO2 gas at 23C</t>
        </r>
      </text>
    </comment>
    <comment ref="F39" authorId="1" shapeId="0" xr:uid="{00000000-0006-0000-0600-000023000000}">
      <text>
        <r>
          <rPr>
            <sz val="11"/>
            <color theme="1"/>
            <rFont val="Calibri"/>
            <family val="2"/>
            <scheme val="minor"/>
          </rPr>
          <t>Author:
CO2 and lighting monitoring
[Poulet et al (2021, Table 5]
- 2.13 min/task
- 365 monitoring tasks per year (daily operation)
- 60 min per h
- 365 d per yr
- 35 day growing period
- Multiplied by 150% because crew time is estimated at 150% of lab time [personal commication from Gioia (Feb, 2025)]</t>
        </r>
      </text>
    </comment>
    <comment ref="C41" authorId="1" shapeId="0" xr:uid="{00000000-0006-0000-0600-000024000000}">
      <text>
        <r>
          <rPr>
            <sz val="11"/>
            <color theme="1"/>
            <rFont val="Calibri"/>
            <family val="2"/>
            <scheme val="minor"/>
          </rPr>
          <t xml:space="preserve">Author:
7.78 g O2/m^2-d
35 d growth period
[BVAD Table 4-91]
</t>
        </r>
      </text>
    </comment>
    <comment ref="D41" authorId="1" shapeId="0" xr:uid="{00000000-0006-0000-0600-000025000000}">
      <text>
        <r>
          <rPr>
            <sz val="11"/>
            <color theme="1"/>
            <rFont val="Calibri"/>
            <family val="2"/>
            <scheme val="minor"/>
          </rPr>
          <t>Author:
1.3 kg/m^3 density of O2 gas at 1 atm</t>
        </r>
      </text>
    </comment>
    <comment ref="C42" authorId="1" shapeId="0" xr:uid="{00000000-0006-0000-0600-000026000000}">
      <text>
        <r>
          <rPr>
            <sz val="11"/>
            <color theme="1"/>
            <rFont val="Calibri"/>
            <family val="2"/>
            <scheme val="minor"/>
          </rPr>
          <t>Author:
2.1 kg/m^2-d is the average water uptake or average transpiration rate
[BVAD Table 4-91]</t>
        </r>
      </text>
    </comment>
    <comment ref="D42" authorId="1" shapeId="0" xr:uid="{00000000-0006-0000-0600-000027000000}">
      <text>
        <r>
          <rPr>
            <sz val="11"/>
            <color theme="1"/>
            <rFont val="Calibri"/>
            <family val="2"/>
            <scheme val="minor"/>
          </rPr>
          <t>Author:
1000 kg/m^3 water density</t>
        </r>
      </text>
    </comment>
    <comment ref="F44" authorId="1" shapeId="0" xr:uid="{00000000-0006-0000-0600-000028000000}">
      <text>
        <r>
          <rPr>
            <sz val="11"/>
            <color theme="1"/>
            <rFont val="Calibri"/>
            <family val="2"/>
            <scheme val="minor"/>
          </rPr>
          <t>Author:
[Poulet, et. al (2021), Table 3]
3.97 min/m^2 harvest time for lettuce, assuming same harvest time for N. benth
60 minutes in an hour
- Multiplied by 150% because crew time is estimated at 150% of lab time [personal commication from Gioia (Feb, 2025)]</t>
        </r>
      </text>
    </comment>
    <comment ref="D45" authorId="1" shapeId="0" xr:uid="{00000000-0006-0000-0600-000029000000}">
      <text>
        <r>
          <rPr>
            <sz val="11"/>
            <color theme="1"/>
            <rFont val="Calibri"/>
            <family val="2"/>
            <scheme val="minor"/>
          </rPr>
          <t>Author:
= [biomass mass] kg * 1 m^3/60 kg
- 60 kg/m^3 = estimated density of raw lettuce waste. Assumed similar for N. benth
[https://kg-m3.com/material/salad-green-leaves-raw]</t>
        </r>
      </text>
    </comment>
    <comment ref="C47" authorId="1" shapeId="0" xr:uid="{00000000-0006-0000-0600-00002A000000}">
      <text>
        <r>
          <rPr>
            <sz val="11"/>
            <color theme="1"/>
            <rFont val="Calibri"/>
            <family val="2"/>
            <scheme val="minor"/>
          </rPr>
          <t xml:space="preserve">Author:
[BVAD Table 4-90]
- For lettuce, 7.3 g inedible FW/m^2-d. Assuming same remaining biomass for N. benth
</t>
        </r>
      </text>
    </comment>
    <comment ref="D47" authorId="1" shapeId="0" xr:uid="{00000000-0006-0000-0600-00002B000000}">
      <text>
        <r>
          <rPr>
            <sz val="11"/>
            <color theme="1"/>
            <rFont val="Calibri"/>
            <family val="2"/>
            <scheme val="minor"/>
          </rPr>
          <t>Author:
= [biomass waste mass] kg * 1 m^3/60 kg
- 60 kg/m^3 = estimated density of raw lettuce waste. Assumed similar for N. benth
[https://kg-m3.com/material/salad-green-leaves-raw]</t>
        </r>
      </text>
    </comment>
    <comment ref="F47" authorId="1" shapeId="0" xr:uid="{00000000-0006-0000-0600-00002C000000}">
      <text>
        <r>
          <rPr>
            <sz val="11"/>
            <color theme="1"/>
            <rFont val="Calibri"/>
            <family val="2"/>
            <scheme val="minor"/>
          </rPr>
          <t>Author:
Neglect. No current info</t>
        </r>
      </text>
    </comment>
    <comment ref="C51" authorId="1" shapeId="0" xr:uid="{00000000-0006-0000-0600-00002D000000}">
      <text>
        <r>
          <rPr>
            <sz val="11"/>
            <color theme="1"/>
            <rFont val="Calibri"/>
            <family val="2"/>
            <scheme val="minor"/>
          </rPr>
          <t>Author:
= [seeds mass] kg/wk + ([plant nutrients mass] kg * (1/4 wks) * 4 batches/wk) + ([CO2 mass] kg * (1/4 wks) * 4 batches/wk)
- Divided plant nutrients and CO2 by 4 weeks (28 days batch time) to get a per-week basis for 1 batch. Then multiplied plant nutrients and CO2 by 4 because this is for 4 batches at a given week</t>
        </r>
      </text>
    </comment>
    <comment ref="E51" authorId="1" shapeId="0" xr:uid="{00000000-0006-0000-0600-00002E000000}">
      <text>
        <r>
          <rPr>
            <sz val="11"/>
            <color theme="1"/>
            <rFont val="Calibri"/>
            <family val="2"/>
            <scheme val="minor"/>
          </rPr>
          <t>Author:
= ([O2 mass] kg * (1/4 wks) * 4 batches/wk) + [PTH-Fc mass] kg/wk + [plant biomass DW] kg/wk + [water mass from plant] kg/wk + [macros mass] kg/wk + [micros mass] kg/wk]
- Divided O2 by 4 weeks (28 days batch time) to get a per-week basis for 1 batch. Then multiplied by 4 because this is for 4 batches at a given week</t>
        </r>
      </text>
    </comment>
    <comment ref="C52" authorId="1" shapeId="0" xr:uid="{00000000-0006-0000-0600-00002F000000}">
      <text>
        <r>
          <rPr>
            <sz val="11"/>
            <color theme="1"/>
            <rFont val="Calibri"/>
            <family val="2"/>
            <scheme val="minor"/>
          </rPr>
          <t>Author:
= [seeds volume] m^3/wk + ([CO2 volume] m^3 * (1/4 wks) * 4 batches/wk)
- Divided CO2 by 4 weeks (28 days batch time) to get a per-week basis for 1 batch. Then multiplied CO2 by 4 because this is for 4 batches at a given week</t>
        </r>
      </text>
    </comment>
    <comment ref="E52" authorId="1" shapeId="0" xr:uid="{00000000-0006-0000-0600-000030000000}">
      <text>
        <r>
          <rPr>
            <sz val="11"/>
            <color theme="1"/>
            <rFont val="Calibri"/>
            <family val="2"/>
            <scheme val="minor"/>
          </rPr>
          <t>Author:
= ([O2 volume] m^3 * (1/4 wks) * 4 batches/wk) + ([water transpiration volume] m^3 * (1/4 wks) * 4 batches/wk) + [plant biomass DW] m^3/wk + [water volume from plant] m^3/wk
- Divided O2 and water transpiration by 4 weeks (28 days batch time) to get a per-week basis for 1 batch. Then multiplied O2 and water transpiration by 4 because this is for 4 batches at a given week</t>
        </r>
      </text>
    </comment>
    <comment ref="B54" authorId="1" shapeId="0" xr:uid="{00000000-0006-0000-0600-000031000000}">
      <text>
        <r>
          <rPr>
            <sz val="11"/>
            <color theme="1"/>
            <rFont val="Calibri"/>
            <family val="2"/>
            <scheme val="minor"/>
          </rPr>
          <t>Author:
Same value as Power. Assumed nearly all electrical power consumed by growth chamber becomes heat to be removed by thermal control systems
[Table 4-88 in https://ntrs.nasa.gov/api/citations/20210024855/downloads/BVAD_2.15.22-final.pdf]</t>
        </r>
      </text>
    </comment>
    <comment ref="F55" authorId="2" shapeId="0" xr:uid="{C15DDF15-2D23-4B37-9AD0-25BD01722901}">
      <text>
        <r>
          <rPr>
            <b/>
            <sz val="9"/>
            <color indexed="81"/>
            <rFont val="Tahoma"/>
            <family val="2"/>
          </rPr>
          <t>Karen McDonald:</t>
        </r>
        <r>
          <rPr>
            <sz val="9"/>
            <color indexed="81"/>
            <rFont val="Tahoma"/>
            <family val="2"/>
          </rPr>
          <t xml:space="preserve">
Author:
- [crew time for sowing seeds] CM-h/wk + ([crew time for water management] CM-h/5 wks * 5 batches/wk) + ([crew time for nutrient solution prep] CM-h/5 wks * 5 batches/wk) +([crew time for CO2 monitoring] CM-h/5wks) + harvesting time per week
- Divided crew time for water management and nutrient solution prep by 4 weeks to get a per-week basis for 1 batch. Then multiplied by 4 because this is for 4 batches at a given week. 
-  Divided crew time for CO2 monitoring by 5 to get a per-week basis. CO2 monitoring does not depend on number of batches.</t>
        </r>
      </text>
    </comment>
    <comment ref="A57" authorId="0" shapeId="0" xr:uid="{10F3B0B0-AEEB-4DDD-9E4E-D5275DE64048}">
      <text>
        <r>
          <rPr>
            <sz val="11"/>
            <color theme="1"/>
            <rFont val="Calibri"/>
            <family val="2"/>
            <scheme val="minor"/>
          </rPr>
          <t>Shanice Taylor:
For a large-scale biomass production, the capacity of the Water Recovery System of the plant growth chamber would be expanded
[personal communication with Mark Settles, Aug 2025]</t>
        </r>
      </text>
    </comment>
    <comment ref="B57" authorId="1" shapeId="0" xr:uid="{00000000-0006-0000-0600-000034000000}">
      <text>
        <r>
          <rPr>
            <sz val="11"/>
            <color theme="1"/>
            <rFont val="Calibri"/>
            <family val="2"/>
            <scheme val="minor"/>
          </rPr>
          <t>Author:
= [mass of water input] kg - [mass of water transpiration] kg - [mass of water in plant] kg
- Mass of water remaining that is assumed to be recycled in the the Water Recovery System, and is thus part of the system component</t>
        </r>
      </text>
    </comment>
    <comment ref="C57" authorId="1" shapeId="0" xr:uid="{00000000-0006-0000-0600-000035000000}">
      <text>
        <r>
          <rPr>
            <sz val="11"/>
            <color theme="1"/>
            <rFont val="Calibri"/>
            <family val="2"/>
            <scheme val="minor"/>
          </rPr>
          <t xml:space="preserve">Author:
-Divided water mass by 4 weeks to get a per-week basis for 1 batch. Then multiplied by 4 because this is for 4 batches at a given week. 
- Mass of water provided to the plant growth chamber, with the water assumed to be sourced from the Martian surface. 
- If sourced, should we add an ISRU System for water extraction from Mars under cell B25 "Equipment"? BVAD Table 4-85 mentions the ISRU System's mass and power, but not volume and crew time requirements
</t>
        </r>
      </text>
    </comment>
    <comment ref="E57" authorId="1" shapeId="0" xr:uid="{00000000-0006-0000-0600-000036000000}">
      <text>
        <r>
          <rPr>
            <sz val="11"/>
            <color theme="1"/>
            <rFont val="Calibri"/>
            <family val="2"/>
            <scheme val="minor"/>
          </rPr>
          <t>Author:
= ([water transpiration mass] kg * (1/4 wks) * 4 batches/wk) 
Divided water transpiration by 4 weeks (28 days batch time) to get a per-week basis for 1 batch. Then multiplied by 4 because this is for 4 batches at a given week</t>
        </r>
      </text>
    </comment>
    <comment ref="B100" authorId="0" shapeId="0" xr:uid="{8F8076A8-7E5F-467D-86B6-6D40A6BC7A9D}">
      <text>
        <r>
          <rPr>
            <b/>
            <sz val="9"/>
            <color indexed="81"/>
            <rFont val="Tahoma"/>
            <family val="2"/>
          </rPr>
          <t>Shanice Taylor:</t>
        </r>
        <r>
          <rPr>
            <sz val="9"/>
            <color indexed="81"/>
            <rFont val="Tahoma"/>
            <family val="2"/>
          </rPr>
          <t xml:space="preserve">
 (321 kg + 91 kg)
- Mass of refrigeration/freezer unit (321 kg) + secondary structure mass (91 kg)
[Table 4-49 in https://ntrs.nasa.gov/api/citations/20210024855/downloads/BVAD_2.15.22-final.pdf]</t>
        </r>
      </text>
    </comment>
    <comment ref="B101" authorId="0" shapeId="0" xr:uid="{0385C859-4EFB-4519-ADE4-6DA7579530C9}">
      <text>
        <r>
          <rPr>
            <b/>
            <sz val="9"/>
            <color indexed="81"/>
            <rFont val="Tahoma"/>
            <family val="2"/>
          </rPr>
          <t>Shanice Taylor:</t>
        </r>
        <r>
          <rPr>
            <sz val="9"/>
            <color indexed="81"/>
            <rFont val="Tahoma"/>
            <family val="2"/>
          </rPr>
          <t xml:space="preserve">
[Table 4-49 in https://ntrs.nasa.gov/api/citations/20210024855/downloads/BVAD_2.15.22-final.pdf]</t>
        </r>
      </text>
    </comment>
    <comment ref="B102" authorId="0" shapeId="0" xr:uid="{97193FCB-FAD8-4733-A5D6-B6EF2EF49A95}">
      <text>
        <r>
          <rPr>
            <b/>
            <sz val="9"/>
            <color indexed="81"/>
            <rFont val="Tahoma"/>
            <family val="2"/>
          </rPr>
          <t>Shanice Taylor:</t>
        </r>
        <r>
          <rPr>
            <sz val="9"/>
            <color indexed="81"/>
            <rFont val="Tahoma"/>
            <family val="2"/>
          </rPr>
          <t xml:space="preserve">
[Table 4-49 in https://ntrs.nasa.gov/api/citations/20210024855/downloads/BVAD_2.15.22-final.pdf]</t>
        </r>
      </text>
    </comment>
    <comment ref="B103" authorId="0" shapeId="0" xr:uid="{C3E75960-BE3A-4E3E-A86B-E13C47408942}">
      <text>
        <r>
          <rPr>
            <b/>
            <sz val="9"/>
            <color indexed="81"/>
            <rFont val="Tahoma"/>
            <family val="2"/>
          </rPr>
          <t>Shanice Taylor:</t>
        </r>
        <r>
          <rPr>
            <sz val="9"/>
            <color indexed="81"/>
            <rFont val="Tahoma"/>
            <family val="2"/>
          </rPr>
          <t xml:space="preserve">
[Table 4-49 in https://ntrs.nasa.gov/api/citations/20210024855/downloads/BVAD_2.15.22-final.pdf]</t>
        </r>
      </text>
    </comment>
  </commentList>
</comments>
</file>

<file path=xl/sharedStrings.xml><?xml version="1.0" encoding="utf-8"?>
<sst xmlns="http://schemas.openxmlformats.org/spreadsheetml/2006/main" count="2028" uniqueCount="583">
  <si>
    <t>TRANSGENIC-LETTUCE</t>
  </si>
  <si>
    <t>PTH-Fc Production Input</t>
  </si>
  <si>
    <t>Qty</t>
  </si>
  <si>
    <t>Unit</t>
  </si>
  <si>
    <t>Legend</t>
  </si>
  <si>
    <t>Therapeutic dosage (injection or oral):</t>
  </si>
  <si>
    <t>User-editable cell</t>
  </si>
  <si>
    <t>Not applicable / No data</t>
  </si>
  <si>
    <t>Avg PTH-Fc production level:</t>
  </si>
  <si>
    <t>PLANT GROWTH METRICS</t>
  </si>
  <si>
    <t>Lettuce Harvest and Planting Metrics</t>
  </si>
  <si>
    <t>Per 1 harvest cycle and 1 CM</t>
  </si>
  <si>
    <t>Number of harvest cycles</t>
  </si>
  <si>
    <t>harvest cycles</t>
  </si>
  <si>
    <t>Edible biomass at harvest</t>
  </si>
  <si>
    <t>Lettuce planting density</t>
  </si>
  <si>
    <t>Theoretical mass plant at harvest</t>
  </si>
  <si>
    <t>kg FW/plant</t>
  </si>
  <si>
    <t>Mass plant required for therapeutic dosage</t>
  </si>
  <si>
    <t>kg FW/wk</t>
  </si>
  <si>
    <t>Number of plants at harvest</t>
  </si>
  <si>
    <t>plants/wk (dose)</t>
  </si>
  <si>
    <t>Actual mass plant at harvest,
accounting for dosage</t>
  </si>
  <si>
    <t>Planting area</t>
  </si>
  <si>
    <t>Per 4 harvest cycles and 1 CM</t>
  </si>
  <si>
    <t>Number of plants</t>
  </si>
  <si>
    <t>plants</t>
  </si>
  <si>
    <t>Mass of plants</t>
  </si>
  <si>
    <t>kg FW</t>
  </si>
  <si>
    <t>System FOM Metrics</t>
  </si>
  <si>
    <t>Process Step</t>
  </si>
  <si>
    <t>Equipment</t>
  </si>
  <si>
    <t>Qty (units)</t>
  </si>
  <si>
    <t>Mass (kg)</t>
  </si>
  <si>
    <t>Crew Time (CM-h)</t>
  </si>
  <si>
    <t>1: Plant Growth</t>
  </si>
  <si>
    <t>Plant growth chamber</t>
  </si>
  <si>
    <t>Lighting panels</t>
  </si>
  <si>
    <t>2: Leaf Harvest</t>
  </si>
  <si>
    <t>Harvesting tools (scissors)</t>
  </si>
  <si>
    <t>Harvest collection container (bags)</t>
  </si>
  <si>
    <t>Input, Output, Waste FOM Metrics (1 cycle, 28-day batch time)</t>
  </si>
  <si>
    <t>Input</t>
  </si>
  <si>
    <t>Lettuce seeds</t>
  </si>
  <si>
    <t>Water</t>
  </si>
  <si>
    <t>Plant nutrients</t>
  </si>
  <si>
    <t>Carbon dioxide</t>
  </si>
  <si>
    <t>Output</t>
  </si>
  <si>
    <t>Oxygen</t>
  </si>
  <si>
    <t>Water (transpiration)</t>
  </si>
  <si>
    <t>PTH-Fc</t>
  </si>
  <si>
    <t>Plant biomass (dry weight)</t>
  </si>
  <si>
    <t>Water (plant)</t>
  </si>
  <si>
    <t>Calories</t>
  </si>
  <si>
    <t>Macronutrients</t>
  </si>
  <si>
    <t>Micronutrients</t>
  </si>
  <si>
    <t>Waste</t>
  </si>
  <si>
    <t>Biomass waste</t>
  </si>
  <si>
    <t>Equivalent System Mass (ESM) Metrics - Plant growth components (1 CM, 600-day mission, 1 dose/week)</t>
  </si>
  <si>
    <t>Metric</t>
  </si>
  <si>
    <t>System</t>
  </si>
  <si>
    <t>Process Inputs</t>
  </si>
  <si>
    <t>Waste Process Outputs</t>
  </si>
  <si>
    <t>Useful Process Outputs</t>
  </si>
  <si>
    <t>Crew time (hr)</t>
  </si>
  <si>
    <t>Cold storage mass (kg)</t>
  </si>
  <si>
    <t>Water mass (kg)</t>
  </si>
  <si>
    <t>Solid waste (kg)</t>
  </si>
  <si>
    <t>2022 Baseline Values and Assumptions</t>
  </si>
  <si>
    <t>Parameter</t>
  </si>
  <si>
    <t>Volume (kgeq/m3)</t>
  </si>
  <si>
    <t>Power (kgeq/kW)</t>
  </si>
  <si>
    <t>Thermal Control (kgeq/kW)</t>
  </si>
  <si>
    <t>Cold Storage (kgeq/kg)</t>
  </si>
  <si>
    <t>Waste storage (kgeq/kg)</t>
  </si>
  <si>
    <t>Water Treatment (kgeq/kg)</t>
  </si>
  <si>
    <t>Crew Time (kg/CM-h)</t>
  </si>
  <si>
    <t>Shielded Mars Volume ESM EQ</t>
  </si>
  <si>
    <t>Number of batches per week</t>
  </si>
  <si>
    <t>Category</t>
  </si>
  <si>
    <t>ESM (kgeq)</t>
  </si>
  <si>
    <t xml:space="preserve">Process Inputs </t>
  </si>
  <si>
    <t>Waste process outputs</t>
  </si>
  <si>
    <t>Useful process outputs</t>
  </si>
  <si>
    <t>Shared Assumptions and Equivalency Factors</t>
  </si>
  <si>
    <t>Mission Parameters</t>
  </si>
  <si>
    <t>Value</t>
  </si>
  <si>
    <t>Crew size</t>
  </si>
  <si>
    <t>crew members</t>
  </si>
  <si>
    <t>Mission surface duration</t>
  </si>
  <si>
    <t>days</t>
  </si>
  <si>
    <t>Mission duration (weeks)</t>
  </si>
  <si>
    <t>weeks</t>
  </si>
  <si>
    <t>Base case dose</t>
  </si>
  <si>
    <t>Total mission dose per CM</t>
  </si>
  <si>
    <t>PTH-Fc Expression Level by Scenario</t>
  </si>
  <si>
    <t>Scenario</t>
  </si>
  <si>
    <t>Host</t>
  </si>
  <si>
    <t>Expression Level 
(mg PTH-Fc dimer/kg FW)</t>
  </si>
  <si>
    <t>Days to Harvest</t>
  </si>
  <si>
    <t>L. sativa</t>
  </si>
  <si>
    <t>TRANSGENIC-TOBACCO</t>
  </si>
  <si>
    <t>N. benthamiana</t>
  </si>
  <si>
    <t>GENE GUN</t>
  </si>
  <si>
    <t>AGRO</t>
  </si>
  <si>
    <t>VIRAL</t>
  </si>
  <si>
    <t>FLOWN</t>
  </si>
  <si>
    <t>Key Assumptions</t>
  </si>
  <si>
    <t>• Pens must be refrigerated at 2-8°C during storage and between uses</t>
  </si>
  <si>
    <t>• Needles are neglected, as these might be required for all delivery routes</t>
  </si>
  <si>
    <t>• Pens are stored at 4°C in an ISS refrigerator per BVAD 2022 Table 4-49; multiple refrigerators of the same size are used as needed</t>
  </si>
  <si>
    <t>Calculated Quantity</t>
  </si>
  <si>
    <t>Units</t>
  </si>
  <si>
    <t>Notes</t>
  </si>
  <si>
    <t>Dose required</t>
  </si>
  <si>
    <t>Number of pens required per CM over 600 days</t>
  </si>
  <si>
    <t>unit</t>
  </si>
  <si>
    <t>Mass of a single box containing an injector pen</t>
  </si>
  <si>
    <t>grams</t>
  </si>
  <si>
    <t>Estimate</t>
  </si>
  <si>
    <t>Volume of a single box containing an injector pen</t>
  </si>
  <si>
    <t>Mass of single box without the injector pen</t>
  </si>
  <si>
    <t>Mass of single Forteo injection pen (full)</t>
  </si>
  <si>
    <t>Volume of a single Forteo injection pen</t>
  </si>
  <si>
    <t>Mass of a single Forteo injection pen (empty)</t>
  </si>
  <si>
    <t>Calculated</t>
  </si>
  <si>
    <t>Volume of a single crushed box/packaging</t>
  </si>
  <si>
    <t>Assumed/calculated</t>
  </si>
  <si>
    <t>Min. refrigerator volume for 600-day supply, 1 CM</t>
  </si>
  <si>
    <t>m^3</t>
  </si>
  <si>
    <t>Refrigeration</t>
  </si>
  <si>
    <t>Forteo Pen Usage</t>
  </si>
  <si>
    <t>Forteo pen waste</t>
  </si>
  <si>
    <t>Packaging waste</t>
  </si>
  <si>
    <t>Waste outputs</t>
  </si>
  <si>
    <t>Tobacco Harvest and Planting Metrics</t>
  </si>
  <si>
    <t>Biomass at harvest</t>
  </si>
  <si>
    <t>Per 5 harvest cycles and 1 CM</t>
  </si>
  <si>
    <t>N. benthamiana seeds</t>
  </si>
  <si>
    <t>Plant biomass</t>
  </si>
  <si>
    <t>GENE GUN-SPECIFIC METRICS</t>
  </si>
  <si>
    <t>Assumptions</t>
  </si>
  <si>
    <t>Assumption</t>
  </si>
  <si>
    <t>Assumed gene gun expression</t>
  </si>
  <si>
    <t>mg PTH-Fc/kg FW</t>
  </si>
  <si>
    <t>Gene gun tissue weight</t>
  </si>
  <si>
    <t>mg FW/shot</t>
  </si>
  <si>
    <t>Shots/kg FW</t>
  </si>
  <si>
    <t>shots/kg FW</t>
  </si>
  <si>
    <t>PTH-Fc expression/shot</t>
  </si>
  <si>
    <t>ug PTH-Fc/shot</t>
  </si>
  <si>
    <t>Bullets/holder vial</t>
  </si>
  <si>
    <t>Shots/battery</t>
  </si>
  <si>
    <t>Gene gun system set-up/take-down time</t>
  </si>
  <si>
    <t>min</t>
  </si>
  <si>
    <t>hr</t>
  </si>
  <si>
    <t>Shot time</t>
  </si>
  <si>
    <t>sec/shot</t>
  </si>
  <si>
    <t>hr/shot</t>
  </si>
  <si>
    <t>Bullet loading/unloading time</t>
  </si>
  <si>
    <t>Bullets/cartridge holder</t>
  </si>
  <si>
    <t>Crew time multiplier</t>
  </si>
  <si>
    <t>kg</t>
  </si>
  <si>
    <t>kW</t>
  </si>
  <si>
    <t>Required # shots/batch</t>
  </si>
  <si>
    <t>Required # bullet vials/batch</t>
  </si>
  <si>
    <t>Required # batteries/batch</t>
  </si>
  <si>
    <t>Mass and Volume Calculations</t>
  </si>
  <si>
    <t>Item (Input)</t>
  </si>
  <si>
    <t>Mass (g)</t>
  </si>
  <si>
    <t>Shape</t>
  </si>
  <si>
    <t>Length (L)</t>
  </si>
  <si>
    <t>Width/Diameter (W/D)</t>
  </si>
  <si>
    <t>Height (H)</t>
  </si>
  <si>
    <t>L (m)</t>
  </si>
  <si>
    <t>W/D (m)</t>
  </si>
  <si>
    <t>H (m)</t>
  </si>
  <si>
    <t>in to cm</t>
  </si>
  <si>
    <t>Gene Gun</t>
  </si>
  <si>
    <t>Box</t>
  </si>
  <si>
    <t>in</t>
  </si>
  <si>
    <t>measured</t>
  </si>
  <si>
    <t>Connector Tubing</t>
  </si>
  <si>
    <t>Cylinder</t>
  </si>
  <si>
    <t>27 CF Aluminum Gas Cylinder</t>
  </si>
  <si>
    <t xml:space="preserve">https://support.bargainballoons.ca/support/solutions/articles/27000057500-what-are-helium-cylinder-tanks-made-of-and-what-do-they-weigh- </t>
  </si>
  <si>
    <t>Gas Regulator</t>
  </si>
  <si>
    <t xml:space="preserve">Cartrdige Extractor </t>
  </si>
  <si>
    <t>mm</t>
  </si>
  <si>
    <t>Ear Protection</t>
  </si>
  <si>
    <t>Eye Protection</t>
  </si>
  <si>
    <t>Bullets</t>
  </si>
  <si>
    <t>measured 9 RBD bullets for mass, volume=0 (inside holder)</t>
  </si>
  <si>
    <t>Battery</t>
  </si>
  <si>
    <t>9V, measured</t>
  </si>
  <si>
    <t>Bullet Holder Vial</t>
  </si>
  <si>
    <t>Dessicant Pack</t>
  </si>
  <si>
    <t>volume=0 (inside holder)</t>
  </si>
  <si>
    <t>Empty Bullets</t>
  </si>
  <si>
    <t>measured 20 bullets for mass, volume=0 (inside holder)</t>
  </si>
  <si>
    <t>Shot area (inner diameter barrel liner)</t>
  </si>
  <si>
    <t>Gene gun specs</t>
  </si>
  <si>
    <t>Helios Gene Gun manual</t>
  </si>
  <si>
    <t>Cartridge holder</t>
  </si>
  <si>
    <t>Dispersion screen</t>
  </si>
  <si>
    <t>Barrel liner/spacer</t>
  </si>
  <si>
    <t>Helium/cylinder</t>
  </si>
  <si>
    <t>200CF, mass/size: Matheson Ultra High Purity (99.999%) cylinder size 1A, https://www.mathesongas.com/pdfs/puregas/Helium-Pure-Gas.pdf</t>
  </si>
  <si>
    <t>O rings (extra)</t>
  </si>
  <si>
    <t>measured 5 rings for mass</t>
  </si>
  <si>
    <t>Components</t>
  </si>
  <si>
    <t>Component</t>
  </si>
  <si>
    <t>Production Time (h)</t>
  </si>
  <si>
    <t>Connector tubing</t>
  </si>
  <si>
    <t>Gas cylinder</t>
  </si>
  <si>
    <t>Gas regulator</t>
  </si>
  <si>
    <t xml:space="preserve">Cartrdige extractor </t>
  </si>
  <si>
    <t>Ear protection</t>
  </si>
  <si>
    <t>Eye protection</t>
  </si>
  <si>
    <t>barrel liner</t>
  </si>
  <si>
    <t>helium/cylinder</t>
  </si>
  <si>
    <t>o rings (all extra)</t>
  </si>
  <si>
    <t>prepared bullets</t>
  </si>
  <si>
    <t>battery</t>
  </si>
  <si>
    <t>bullet holder vial</t>
  </si>
  <si>
    <t>dessicant pack</t>
  </si>
  <si>
    <t>empty bullets</t>
  </si>
  <si>
    <t>spent battery</t>
  </si>
  <si>
    <t>FOM Metrics</t>
  </si>
  <si>
    <t>Gene Gun device</t>
  </si>
  <si>
    <t>Cartridge extractor</t>
  </si>
  <si>
    <t>Bullet holder vial</t>
  </si>
  <si>
    <t>Desiccant pack</t>
  </si>
  <si>
    <t>Bullets (empty)</t>
  </si>
  <si>
    <t>Battery (spent)</t>
  </si>
  <si>
    <t xml:space="preserve">Complete ESM: Plant + Protein Production </t>
  </si>
  <si>
    <t>N. benth seeds</t>
  </si>
  <si>
    <t>AGRO-SPECIFIC METRICS</t>
  </si>
  <si>
    <t>AGRO Assumptions</t>
  </si>
  <si>
    <t>Reference</t>
  </si>
  <si>
    <t>Required number of batches</t>
  </si>
  <si>
    <t>batches</t>
  </si>
  <si>
    <t>water density</t>
  </si>
  <si>
    <t>g/cm^3</t>
  </si>
  <si>
    <t>kg/m^3</t>
  </si>
  <si>
    <t>water volume conversion</t>
  </si>
  <si>
    <t>L = m^3</t>
  </si>
  <si>
    <t>IB demand/plant</t>
  </si>
  <si>
    <t>L</t>
  </si>
  <si>
    <t>"IB" = infiltration buffer, 1L sufficient for 20 plants</t>
  </si>
  <si>
    <t>IB uptake/plant</t>
  </si>
  <si>
    <t>10% liquid uptake during vacuum infiltration</t>
  </si>
  <si>
    <t>density Agro stock</t>
  </si>
  <si>
    <t>density of E coli</t>
  </si>
  <si>
    <t>10.1128/jb.148.1.58-63.1981</t>
  </si>
  <si>
    <t>molar mass acetosyringone</t>
  </si>
  <si>
    <t>g/mol</t>
  </si>
  <si>
    <t>molar mass MES</t>
  </si>
  <si>
    <t>molar mass MgCl2</t>
  </si>
  <si>
    <t>volume seed culture</t>
  </si>
  <si>
    <t>mL</t>
  </si>
  <si>
    <t>volume second culture</t>
  </si>
  <si>
    <t># plants infiltrated per second culture volume</t>
  </si>
  <si>
    <t>volume LB/plant</t>
  </si>
  <si>
    <t>volume total antibiotics/plant</t>
  </si>
  <si>
    <t>all antibiotic stocks together, 1000x dilution working concentration</t>
  </si>
  <si>
    <t>volume acetosyringone/plant</t>
  </si>
  <si>
    <t>150uM working concentration</t>
  </si>
  <si>
    <t>volume MES/plant</t>
  </si>
  <si>
    <t>10mM working concentration</t>
  </si>
  <si>
    <t>volume MgCl2/plant</t>
  </si>
  <si>
    <t>volume Silwet/plant</t>
  </si>
  <si>
    <t>0.02% v/v</t>
  </si>
  <si>
    <t>volume water/plant (culture)</t>
  </si>
  <si>
    <t>volume water/plant (infiltration)</t>
  </si>
  <si>
    <t>volume water/plant (total)</t>
  </si>
  <si>
    <t>mass LB mix/plant</t>
  </si>
  <si>
    <t>g</t>
  </si>
  <si>
    <t>25g/L</t>
  </si>
  <si>
    <t>crew time multiplier</t>
  </si>
  <si>
    <t>personal communication with Gioia Massa, KSC, Feb. 2025</t>
  </si>
  <si>
    <t>D0 time</t>
  </si>
  <si>
    <t>min/batch</t>
  </si>
  <si>
    <t>LB media prep + sterilization</t>
  </si>
  <si>
    <t>hr/batch</t>
  </si>
  <si>
    <t>LB media prep</t>
  </si>
  <si>
    <t>D1 time</t>
  </si>
  <si>
    <t>seed culture prep</t>
  </si>
  <si>
    <t>D2 time</t>
  </si>
  <si>
    <t>scale cultures to flasks</t>
  </si>
  <si>
    <t>D3 time</t>
  </si>
  <si>
    <t>infiltration prep</t>
  </si>
  <si>
    <t>infiltration time</t>
  </si>
  <si>
    <t>min/plant</t>
  </si>
  <si>
    <t>infiltration/plant</t>
  </si>
  <si>
    <t>hr/plant</t>
  </si>
  <si>
    <t>power factor</t>
  </si>
  <si>
    <t>for AC power supply</t>
  </si>
  <si>
    <t>shaker power</t>
  </si>
  <si>
    <t>VA</t>
  </si>
  <si>
    <t>Eppendorf Innova 40</t>
  </si>
  <si>
    <t>W</t>
  </si>
  <si>
    <t>shaker mass</t>
  </si>
  <si>
    <t xml:space="preserve">shaker external volume </t>
  </si>
  <si>
    <t>BSC mass</t>
  </si>
  <si>
    <t>Lorderan 700lIA2-Z-2  Class II A2 benchtop BSC</t>
  </si>
  <si>
    <t>BSC external volume</t>
  </si>
  <si>
    <t>BSC power</t>
  </si>
  <si>
    <t>vacuum mass</t>
  </si>
  <si>
    <t>GAST Compressor/Vacuum Pump DOA-P704-AA</t>
  </si>
  <si>
    <t>vacuum external volume</t>
  </si>
  <si>
    <t>vacuum power</t>
  </si>
  <si>
    <t>V</t>
  </si>
  <si>
    <t>A</t>
  </si>
  <si>
    <t>autoclave mass</t>
  </si>
  <si>
    <t>Fisher SterilElite16L autoclave</t>
  </si>
  <si>
    <t>autoclave external volume</t>
  </si>
  <si>
    <t>autoclave power</t>
  </si>
  <si>
    <t>UV reader mass</t>
  </si>
  <si>
    <t>Vernier Go Direct™ SpectroVis™ Plus Spectrophotometer</t>
  </si>
  <si>
    <t>UV reader external volume</t>
  </si>
  <si>
    <t>UV reader power</t>
  </si>
  <si>
    <t>no battery needed when connected via USB</t>
  </si>
  <si>
    <t>centrifuge mass</t>
  </si>
  <si>
    <t>Eppendorf 5180, rotor S-4-72 + 2 buckets</t>
  </si>
  <si>
    <t>centrifuge external volume</t>
  </si>
  <si>
    <t>centrifuge power</t>
  </si>
  <si>
    <t>Required # plants/mission</t>
  </si>
  <si>
    <t>Required mass LB mix/mission</t>
  </si>
  <si>
    <t>Required volume X antibiotic/mission</t>
  </si>
  <si>
    <t>Req # tubes antibiotic/mission</t>
  </si>
  <si>
    <t>Required # culture tubes/mission</t>
  </si>
  <si>
    <t>Required volume acetosyringone/mission</t>
  </si>
  <si>
    <t>Required volume MES/mission</t>
  </si>
  <si>
    <t>Required volume MgCl2/mission</t>
  </si>
  <si>
    <t>Required volume Silwet/mission</t>
  </si>
  <si>
    <t>Req # tubes acetosyringone/mission</t>
  </si>
  <si>
    <t>Req # tubes MES/mission</t>
  </si>
  <si>
    <t>Req # tubes MgCl2/mission</t>
  </si>
  <si>
    <t>Req # tubes Silwet/mission</t>
  </si>
  <si>
    <t>Req volume water/mission</t>
  </si>
  <si>
    <t>Req # bags LB media mix</t>
  </si>
  <si>
    <t>Density</t>
  </si>
  <si>
    <t>Mass</t>
  </si>
  <si>
    <t>W/D</t>
  </si>
  <si>
    <t>H</t>
  </si>
  <si>
    <t>cm to in</t>
  </si>
  <si>
    <t>lb to kg</t>
  </si>
  <si>
    <t>2mL empty tube</t>
  </si>
  <si>
    <t>cylinder</t>
  </si>
  <si>
    <t>cm</t>
  </si>
  <si>
    <t>15mL empty tube</t>
  </si>
  <si>
    <t>15mL tube (sleeve of 50)</t>
  </si>
  <si>
    <t>box</t>
  </si>
  <si>
    <t>50mL empty tube</t>
  </si>
  <si>
    <t>50 mL tube (sleeve of 25)</t>
  </si>
  <si>
    <t>1L plastic bottle</t>
  </si>
  <si>
    <t>sandwich ziplock bag</t>
  </si>
  <si>
    <t>LB media (1L)</t>
  </si>
  <si>
    <t>-</t>
  </si>
  <si>
    <t xml:space="preserve">https://www.sigmaaldrich.com/US/en/product/sigma/l3522?srsltid=AfmBOooNC06sQjPUu9pC2R68NoyMs_pVFAV9gRbRPE7OU2YJkNW2QGMn </t>
  </si>
  <si>
    <t>LB media mix (1 sandwich bag)</t>
  </si>
  <si>
    <t>14mL culture tube</t>
  </si>
  <si>
    <t>1L glass flask</t>
  </si>
  <si>
    <t>need 2</t>
  </si>
  <si>
    <t>reusable cuvette in box</t>
  </si>
  <si>
    <t>1L glass bottle (autoclave)</t>
  </si>
  <si>
    <t>1L plastic beaker (infil)</t>
  </si>
  <si>
    <t>silwet (2mL)</t>
  </si>
  <si>
    <t>UC Davis spec sheet (Setre Chemical Company, CAS 27306-78-1)</t>
  </si>
  <si>
    <t>scalpel</t>
  </si>
  <si>
    <t>vacuum chamber</t>
  </si>
  <si>
    <t>agro stock tube</t>
  </si>
  <si>
    <t>agro stock (2mL, 50% conc)</t>
  </si>
  <si>
    <t>acetosyringone (15mL)</t>
  </si>
  <si>
    <t>M</t>
  </si>
  <si>
    <t>MES, pH 5.6 (50mL)</t>
  </si>
  <si>
    <t>MgCl2 (50L)</t>
  </si>
  <si>
    <t>Kanamycin (2mL)</t>
  </si>
  <si>
    <t>Tetracycline (2mL)</t>
  </si>
  <si>
    <t>g/cm^4</t>
  </si>
  <si>
    <t>Rifampicin (2mL)</t>
  </si>
  <si>
    <t>g/cm^5</t>
  </si>
  <si>
    <t>BSC</t>
  </si>
  <si>
    <t>cube</t>
  </si>
  <si>
    <t>shaking incubator</t>
  </si>
  <si>
    <t>vacuum pump</t>
  </si>
  <si>
    <t>lb</t>
  </si>
  <si>
    <t>autoclave</t>
  </si>
  <si>
    <t>spectrophotometer</t>
  </si>
  <si>
    <t>centrifuge</t>
  </si>
  <si>
    <t>notes</t>
  </si>
  <si>
    <t>4C pharmaceutical refrigerator TSU-4RW-N6 manufactured by Turbo Air Inc.</t>
  </si>
  <si>
    <t>Shaking incubator</t>
  </si>
  <si>
    <t>Vacuum pump</t>
  </si>
  <si>
    <t>Autoclave</t>
  </si>
  <si>
    <t>Centrifuge</t>
  </si>
  <si>
    <t>Spectrophotometer</t>
  </si>
  <si>
    <t>Flask (1L, glass, x2)</t>
  </si>
  <si>
    <t>Cuvette (glass)</t>
  </si>
  <si>
    <t>Bottle (1L, glass)</t>
  </si>
  <si>
    <t>Beaker (1L, plastic)</t>
  </si>
  <si>
    <t>for infiltration inversion</t>
  </si>
  <si>
    <t>Scalpel</t>
  </si>
  <si>
    <t>for plant prep/harvest</t>
  </si>
  <si>
    <t>Vacuum chamber</t>
  </si>
  <si>
    <t>18.9L: top, bottom, gasket, tubing, guage</t>
  </si>
  <si>
    <t>Centrifuge bottles - 50mL x12</t>
  </si>
  <si>
    <t>wash/reuse</t>
  </si>
  <si>
    <t>LB Media mix (in bag)</t>
  </si>
  <si>
    <t>Antibiotics (in 2mL tubes)</t>
  </si>
  <si>
    <t>cold storage</t>
  </si>
  <si>
    <t>Culture tubes</t>
  </si>
  <si>
    <t>Acetosyringone (in 15mL tube)</t>
  </si>
  <si>
    <t>MES (in 50mL tube)</t>
  </si>
  <si>
    <t>MgCl2 (in 50mL tube)</t>
  </si>
  <si>
    <t>Silwet L-77 (in 2mL tube)</t>
  </si>
  <si>
    <t>Agro stock tubes</t>
  </si>
  <si>
    <t>2 strains, cold storage</t>
  </si>
  <si>
    <t>Flask (1L, glass)</t>
  </si>
  <si>
    <t>Cuvette (1mL, glass)</t>
  </si>
  <si>
    <t>Centrifuge tubes - 50mL</t>
  </si>
  <si>
    <t>Scale</t>
  </si>
  <si>
    <t>LB Media mix (in Ziplock bag)</t>
  </si>
  <si>
    <t>Kanamycin (in 2mL tube)</t>
  </si>
  <si>
    <t>Tetracycline (in 2mL tube)</t>
  </si>
  <si>
    <t>Rifampicin (in 2mL tube)</t>
  </si>
  <si>
    <t>Equivalent System Mass Metrics - AGRO (1 CM, 600-day mission, 1 dose/week)</t>
  </si>
  <si>
    <t>VIRAL-SPECIFIC METRICS</t>
  </si>
  <si>
    <t xml:space="preserve"> Assumptions</t>
  </si>
  <si>
    <t>required number of batches</t>
  </si>
  <si>
    <t>viral stock volume</t>
  </si>
  <si>
    <t>mL/tube</t>
  </si>
  <si>
    <t>viral stock concentration</t>
  </si>
  <si>
    <t>mg/mL</t>
  </si>
  <si>
    <t>VIS volume</t>
  </si>
  <si>
    <t>mL/plant</t>
  </si>
  <si>
    <t>VIS = viral infectivity solution</t>
  </si>
  <si>
    <t>VIS carborundum concentration</t>
  </si>
  <si>
    <t>VIS carborundum mass</t>
  </si>
  <si>
    <t>mg/plant</t>
  </si>
  <si>
    <t>VIS viral concentration</t>
  </si>
  <si>
    <t>VIS viral mass</t>
  </si>
  <si>
    <t>VIS viral stock volume</t>
  </si>
  <si>
    <t>VIS water volume</t>
  </si>
  <si>
    <t>mL H2O/plant</t>
  </si>
  <si>
    <t>viral stock infectivity</t>
  </si>
  <si>
    <t>infections/plant/tube of virus</t>
  </si>
  <si>
    <t>mixing tube</t>
  </si>
  <si>
    <t>2mL tube/"batch"</t>
  </si>
  <si>
    <t>water density (mass)</t>
  </si>
  <si>
    <t>carborundum/50mL tube</t>
  </si>
  <si>
    <t>viral mix prep time</t>
  </si>
  <si>
    <t>viral mix time</t>
  </si>
  <si>
    <t>viral infection time</t>
  </si>
  <si>
    <t>sec/plant</t>
  </si>
  <si>
    <t>Balance power</t>
  </si>
  <si>
    <t>Mettler Toledo MX105</t>
  </si>
  <si>
    <t>balance weight</t>
  </si>
  <si>
    <t>balance external volume</t>
  </si>
  <si>
    <t>Required volume viral stock/week</t>
  </si>
  <si>
    <t>Required volume viral stock/mission</t>
  </si>
  <si>
    <t>Required # stock tubes/mission</t>
  </si>
  <si>
    <t>Required mass carb/week</t>
  </si>
  <si>
    <t>Required mass carb/mission</t>
  </si>
  <si>
    <t>Required # carb bottles/mission</t>
  </si>
  <si>
    <t>Required VIS water vol/week</t>
  </si>
  <si>
    <t>Required VIS water vol/mission</t>
  </si>
  <si>
    <t>M kg</t>
  </si>
  <si>
    <t>1mg/mL viral stock (2mL)</t>
  </si>
  <si>
    <t>Carborundum (in 50mL tube)</t>
  </si>
  <si>
    <t>scale</t>
  </si>
  <si>
    <t>Mettler Toled MX105 Analytical Balance</t>
  </si>
  <si>
    <t>Use</t>
  </si>
  <si>
    <t>Viral stock in 2mL tube</t>
  </si>
  <si>
    <t>50mL tube (for carborundum)</t>
  </si>
  <si>
    <t>Mixing tube</t>
  </si>
  <si>
    <t>Used mixing tube</t>
  </si>
  <si>
    <t>Viral stock</t>
  </si>
  <si>
    <t>Carborundum</t>
  </si>
  <si>
    <t>Number of weeks per mission</t>
  </si>
  <si>
    <t>Process Inputs (per CM per mission)</t>
  </si>
  <si>
    <t>Waste Outputs (per CM per mission)</t>
  </si>
  <si>
    <t>Useful Outputs (per CM per mission)</t>
  </si>
  <si>
    <t>Mars Surface Shielded Volume ESM EQ Factors</t>
  </si>
  <si>
    <t>Concurrent Batches for weekly Batches</t>
  </si>
  <si>
    <r>
      <t>Volume (kg</t>
    </r>
    <r>
      <rPr>
        <b/>
        <vertAlign val="subscript"/>
        <sz val="11"/>
        <rFont val="Calibri"/>
        <family val="2"/>
      </rPr>
      <t>eq</t>
    </r>
    <r>
      <rPr>
        <b/>
        <sz val="11"/>
        <rFont val="Calibri"/>
        <family val="2"/>
      </rPr>
      <t>/m</t>
    </r>
    <r>
      <rPr>
        <b/>
        <vertAlign val="superscript"/>
        <sz val="11"/>
        <rFont val="Calibri"/>
        <family val="2"/>
      </rPr>
      <t>3</t>
    </r>
    <r>
      <rPr>
        <b/>
        <sz val="11"/>
        <rFont val="Calibri"/>
        <family val="2"/>
      </rPr>
      <t>)</t>
    </r>
  </si>
  <si>
    <r>
      <t>Power (kg</t>
    </r>
    <r>
      <rPr>
        <b/>
        <vertAlign val="subscript"/>
        <sz val="11"/>
        <rFont val="Calibri"/>
        <family val="2"/>
      </rPr>
      <t>eq</t>
    </r>
    <r>
      <rPr>
        <b/>
        <sz val="11"/>
        <rFont val="Calibri"/>
        <family val="2"/>
      </rPr>
      <t>/kW</t>
    </r>
    <r>
      <rPr>
        <b/>
        <vertAlign val="subscript"/>
        <sz val="11"/>
        <rFont val="Calibri"/>
        <family val="2"/>
      </rPr>
      <t>e</t>
    </r>
    <r>
      <rPr>
        <b/>
        <sz val="11"/>
        <rFont val="Calibri"/>
        <family val="2"/>
      </rPr>
      <t>)</t>
    </r>
  </si>
  <si>
    <r>
      <t>Thermal Control (kg</t>
    </r>
    <r>
      <rPr>
        <b/>
        <vertAlign val="subscript"/>
        <sz val="11"/>
        <rFont val="Calibri"/>
        <family val="2"/>
      </rPr>
      <t>eq</t>
    </r>
    <r>
      <rPr>
        <b/>
        <sz val="11"/>
        <rFont val="Calibri"/>
        <family val="2"/>
      </rPr>
      <t>/kW</t>
    </r>
    <r>
      <rPr>
        <b/>
        <vertAlign val="subscript"/>
        <sz val="11"/>
        <rFont val="Calibri"/>
        <family val="2"/>
      </rPr>
      <t>th</t>
    </r>
    <r>
      <rPr>
        <b/>
        <sz val="11"/>
        <rFont val="Calibri"/>
        <family val="2"/>
      </rPr>
      <t>)</t>
    </r>
  </si>
  <si>
    <r>
      <t>Cold Storage (kg</t>
    </r>
    <r>
      <rPr>
        <b/>
        <vertAlign val="subscript"/>
        <sz val="11"/>
        <rFont val="Calibri"/>
        <family val="2"/>
      </rPr>
      <t>eq</t>
    </r>
    <r>
      <rPr>
        <b/>
        <sz val="11"/>
        <rFont val="Calibri"/>
        <family val="2"/>
      </rPr>
      <t>/kg)</t>
    </r>
  </si>
  <si>
    <r>
      <t>Waste Storage (kg</t>
    </r>
    <r>
      <rPr>
        <b/>
        <vertAlign val="subscript"/>
        <sz val="11"/>
        <rFont val="Calibri"/>
        <family val="2"/>
      </rPr>
      <t>eq</t>
    </r>
    <r>
      <rPr>
        <b/>
        <sz val="11"/>
        <rFont val="Calibri"/>
        <family val="2"/>
      </rPr>
      <t>/kg)</t>
    </r>
  </si>
  <si>
    <r>
      <t>Water Treatment (kg</t>
    </r>
    <r>
      <rPr>
        <b/>
        <vertAlign val="subscript"/>
        <sz val="11"/>
        <rFont val="Calibri"/>
        <family val="2"/>
      </rPr>
      <t>eq</t>
    </r>
    <r>
      <rPr>
        <b/>
        <sz val="11"/>
        <rFont val="Calibri"/>
        <family val="2"/>
      </rPr>
      <t>/kg)</t>
    </r>
  </si>
  <si>
    <r>
      <t>Crew Time (kg</t>
    </r>
    <r>
      <rPr>
        <b/>
        <vertAlign val="subscript"/>
        <sz val="11"/>
        <rFont val="Calibri"/>
        <family val="2"/>
      </rPr>
      <t>eq</t>
    </r>
    <r>
      <rPr>
        <b/>
        <sz val="11"/>
        <rFont val="Calibri"/>
        <family val="2"/>
      </rPr>
      <t>/CM-h)</t>
    </r>
  </si>
  <si>
    <r>
      <t>inch</t>
    </r>
    <r>
      <rPr>
        <vertAlign val="superscript"/>
        <sz val="11"/>
        <color theme="1"/>
        <rFont val="Calibri"/>
        <family val="2"/>
        <scheme val="minor"/>
      </rPr>
      <t>3</t>
    </r>
  </si>
  <si>
    <r>
      <t>m</t>
    </r>
    <r>
      <rPr>
        <vertAlign val="superscript"/>
        <sz val="11"/>
        <color theme="1"/>
        <rFont val="Calibri"/>
        <family val="2"/>
        <scheme val="minor"/>
      </rPr>
      <t>3</t>
    </r>
  </si>
  <si>
    <r>
      <t>Volume (m</t>
    </r>
    <r>
      <rPr>
        <b/>
        <vertAlign val="superscript"/>
        <sz val="11"/>
        <rFont val="Calibri"/>
        <family val="2"/>
      </rPr>
      <t>3</t>
    </r>
    <r>
      <rPr>
        <b/>
        <sz val="11"/>
        <rFont val="Calibri"/>
        <family val="2"/>
      </rPr>
      <t>)</t>
    </r>
  </si>
  <si>
    <t>Crew Time (CM-hr)</t>
  </si>
  <si>
    <r>
      <t>Power (kW</t>
    </r>
    <r>
      <rPr>
        <b/>
        <vertAlign val="subscript"/>
        <sz val="11"/>
        <rFont val="Calibri"/>
        <family val="2"/>
      </rPr>
      <t>e</t>
    </r>
    <r>
      <rPr>
        <b/>
        <sz val="11"/>
        <rFont val="Calibri"/>
        <family val="2"/>
      </rPr>
      <t>)</t>
    </r>
  </si>
  <si>
    <r>
      <t>Volume (m</t>
    </r>
    <r>
      <rPr>
        <b/>
        <vertAlign val="superscript"/>
        <sz val="11"/>
        <color theme="1"/>
        <rFont val="Calibri"/>
        <family val="2"/>
        <scheme val="minor"/>
      </rPr>
      <t>3</t>
    </r>
    <r>
      <rPr>
        <b/>
        <sz val="11"/>
        <color theme="1"/>
        <rFont val="Calibri"/>
        <family val="2"/>
        <scheme val="minor"/>
      </rPr>
      <t>)</t>
    </r>
  </si>
  <si>
    <r>
      <t>Power (kW</t>
    </r>
    <r>
      <rPr>
        <b/>
        <vertAlign val="subscript"/>
        <sz val="11"/>
        <color theme="1"/>
        <rFont val="Calibri"/>
        <family val="2"/>
        <scheme val="minor"/>
      </rPr>
      <t>e</t>
    </r>
    <r>
      <rPr>
        <b/>
        <sz val="11"/>
        <color theme="1"/>
        <rFont val="Calibri"/>
        <family val="2"/>
        <scheme val="minor"/>
      </rPr>
      <t>)</t>
    </r>
  </si>
  <si>
    <r>
      <t>Thermal Control (kW</t>
    </r>
    <r>
      <rPr>
        <b/>
        <vertAlign val="subscript"/>
        <sz val="11"/>
        <color theme="1"/>
        <rFont val="Calibri"/>
        <family val="2"/>
        <scheme val="minor"/>
      </rPr>
      <t>th</t>
    </r>
    <r>
      <rPr>
        <b/>
        <sz val="11"/>
        <color theme="1"/>
        <rFont val="Calibri"/>
        <family val="2"/>
        <scheme val="minor"/>
      </rPr>
      <t>)</t>
    </r>
  </si>
  <si>
    <r>
      <t>ESM (kg</t>
    </r>
    <r>
      <rPr>
        <b/>
        <vertAlign val="subscript"/>
        <sz val="11"/>
        <color theme="1"/>
        <rFont val="Calibri"/>
        <family val="2"/>
        <scheme val="minor"/>
      </rPr>
      <t>eq</t>
    </r>
    <r>
      <rPr>
        <b/>
        <sz val="11"/>
        <color theme="1"/>
        <rFont val="Calibri"/>
        <family val="2"/>
        <scheme val="minor"/>
      </rPr>
      <t>)</t>
    </r>
  </si>
  <si>
    <r>
      <t>Volume (kg</t>
    </r>
    <r>
      <rPr>
        <b/>
        <vertAlign val="subscript"/>
        <sz val="11"/>
        <color theme="1"/>
        <rFont val="Calibri"/>
        <family val="2"/>
        <scheme val="minor"/>
      </rPr>
      <t>eq</t>
    </r>
    <r>
      <rPr>
        <b/>
        <sz val="11"/>
        <color theme="1"/>
        <rFont val="Calibri"/>
        <family val="2"/>
        <scheme val="minor"/>
      </rPr>
      <t>/m</t>
    </r>
    <r>
      <rPr>
        <b/>
        <vertAlign val="superscript"/>
        <sz val="11"/>
        <color theme="1"/>
        <rFont val="Calibri"/>
        <family val="2"/>
        <scheme val="minor"/>
      </rPr>
      <t>3</t>
    </r>
    <r>
      <rPr>
        <b/>
        <sz val="11"/>
        <color theme="1"/>
        <rFont val="Calibri"/>
        <family val="2"/>
        <scheme val="minor"/>
      </rPr>
      <t>)</t>
    </r>
  </si>
  <si>
    <r>
      <t>Power (kg</t>
    </r>
    <r>
      <rPr>
        <b/>
        <vertAlign val="subscript"/>
        <sz val="11"/>
        <color theme="1"/>
        <rFont val="Calibri"/>
        <family val="2"/>
        <scheme val="minor"/>
      </rPr>
      <t>eq</t>
    </r>
    <r>
      <rPr>
        <b/>
        <sz val="11"/>
        <color theme="1"/>
        <rFont val="Calibri"/>
        <family val="2"/>
        <scheme val="minor"/>
      </rPr>
      <t>/kW</t>
    </r>
    <r>
      <rPr>
        <b/>
        <vertAlign val="subscript"/>
        <sz val="11"/>
        <color theme="1"/>
        <rFont val="Calibri"/>
        <family val="2"/>
        <scheme val="minor"/>
      </rPr>
      <t>e</t>
    </r>
    <r>
      <rPr>
        <b/>
        <sz val="11"/>
        <color theme="1"/>
        <rFont val="Calibri"/>
        <family val="2"/>
        <scheme val="minor"/>
      </rPr>
      <t>)</t>
    </r>
  </si>
  <si>
    <r>
      <t>Thermal Control (kg</t>
    </r>
    <r>
      <rPr>
        <b/>
        <vertAlign val="subscript"/>
        <sz val="11"/>
        <color theme="1"/>
        <rFont val="Calibri"/>
        <family val="2"/>
        <scheme val="minor"/>
      </rPr>
      <t>eq</t>
    </r>
    <r>
      <rPr>
        <b/>
        <sz val="11"/>
        <color theme="1"/>
        <rFont val="Calibri"/>
        <family val="2"/>
        <scheme val="minor"/>
      </rPr>
      <t>/kW</t>
    </r>
    <r>
      <rPr>
        <b/>
        <vertAlign val="subscript"/>
        <sz val="11"/>
        <color theme="1"/>
        <rFont val="Calibri"/>
        <family val="2"/>
        <scheme val="minor"/>
      </rPr>
      <t>th</t>
    </r>
    <r>
      <rPr>
        <b/>
        <sz val="11"/>
        <color theme="1"/>
        <rFont val="Calibri"/>
        <family val="2"/>
        <scheme val="minor"/>
      </rPr>
      <t>)</t>
    </r>
  </si>
  <si>
    <r>
      <t>Cold Storage (kg</t>
    </r>
    <r>
      <rPr>
        <b/>
        <vertAlign val="subscript"/>
        <sz val="11"/>
        <color theme="1"/>
        <rFont val="Calibri"/>
        <family val="2"/>
        <scheme val="minor"/>
      </rPr>
      <t>eq</t>
    </r>
    <r>
      <rPr>
        <b/>
        <sz val="11"/>
        <color theme="1"/>
        <rFont val="Calibri"/>
        <family val="2"/>
        <scheme val="minor"/>
      </rPr>
      <t>/kg)</t>
    </r>
  </si>
  <si>
    <r>
      <t>Waste storage (kg</t>
    </r>
    <r>
      <rPr>
        <b/>
        <vertAlign val="subscript"/>
        <sz val="11"/>
        <color theme="1"/>
        <rFont val="Calibri"/>
        <family val="2"/>
        <scheme val="minor"/>
      </rPr>
      <t>eq</t>
    </r>
    <r>
      <rPr>
        <b/>
        <sz val="11"/>
        <color theme="1"/>
        <rFont val="Calibri"/>
        <family val="2"/>
        <scheme val="minor"/>
      </rPr>
      <t>/kg)</t>
    </r>
  </si>
  <si>
    <r>
      <t>Water Treatment (kg</t>
    </r>
    <r>
      <rPr>
        <b/>
        <vertAlign val="subscript"/>
        <sz val="11"/>
        <color theme="1"/>
        <rFont val="Calibri"/>
        <family val="2"/>
        <scheme val="minor"/>
      </rPr>
      <t>eq</t>
    </r>
    <r>
      <rPr>
        <b/>
        <sz val="11"/>
        <color theme="1"/>
        <rFont val="Calibri"/>
        <family val="2"/>
        <scheme val="minor"/>
      </rPr>
      <t>/kg)</t>
    </r>
  </si>
  <si>
    <r>
      <t>kg FW/m</t>
    </r>
    <r>
      <rPr>
        <vertAlign val="superscript"/>
        <sz val="11"/>
        <color theme="1"/>
        <rFont val="Calibri"/>
        <family val="2"/>
        <scheme val="minor"/>
      </rPr>
      <t>2</t>
    </r>
  </si>
  <si>
    <r>
      <t>plants/m</t>
    </r>
    <r>
      <rPr>
        <vertAlign val="superscript"/>
        <sz val="11"/>
        <color theme="1"/>
        <rFont val="Calibri"/>
        <family val="2"/>
        <scheme val="minor"/>
      </rPr>
      <t>2</t>
    </r>
  </si>
  <si>
    <r>
      <t>m</t>
    </r>
    <r>
      <rPr>
        <vertAlign val="superscript"/>
        <sz val="11"/>
        <color theme="1"/>
        <rFont val="Calibri"/>
        <family val="2"/>
        <scheme val="minor"/>
      </rPr>
      <t>2</t>
    </r>
  </si>
  <si>
    <t>Crew time (CM-hr)</t>
  </si>
  <si>
    <t>1: Plant Growth Infrastructure</t>
  </si>
  <si>
    <t>2: Leaf Harvest Infrastructure</t>
  </si>
  <si>
    <t>Process Operations (per CM per mission)</t>
  </si>
  <si>
    <t>Process Operations</t>
  </si>
  <si>
    <t>Input, Output, Waste FOM Metrics (1 cycle, 35-day batch time)</t>
  </si>
  <si>
    <r>
      <t>m</t>
    </r>
    <r>
      <rPr>
        <vertAlign val="superscript"/>
        <sz val="11"/>
        <rFont val="Calibri"/>
        <family val="2"/>
        <scheme val="minor"/>
      </rPr>
      <t>3</t>
    </r>
  </si>
  <si>
    <r>
      <t>kW</t>
    </r>
    <r>
      <rPr>
        <vertAlign val="subscript"/>
        <sz val="11"/>
        <rFont val="Calibri"/>
        <family val="2"/>
        <scheme val="minor"/>
      </rPr>
      <t>e</t>
    </r>
  </si>
  <si>
    <r>
      <t>V (m</t>
    </r>
    <r>
      <rPr>
        <b/>
        <vertAlign val="superscript"/>
        <sz val="11"/>
        <color theme="1"/>
        <rFont val="Calibri"/>
        <family val="2"/>
        <scheme val="minor"/>
      </rPr>
      <t>3</t>
    </r>
    <r>
      <rPr>
        <b/>
        <sz val="11"/>
        <color theme="1"/>
        <rFont val="Calibri"/>
        <family val="2"/>
        <scheme val="minor"/>
      </rPr>
      <t>)</t>
    </r>
  </si>
  <si>
    <r>
      <t>Thermal cooling (kW</t>
    </r>
    <r>
      <rPr>
        <b/>
        <vertAlign val="subscript"/>
        <sz val="11"/>
        <color theme="1"/>
        <rFont val="Calibri"/>
        <family val="2"/>
        <scheme val="minor"/>
      </rPr>
      <t>th</t>
    </r>
    <r>
      <rPr>
        <b/>
        <sz val="11"/>
        <color theme="1"/>
        <rFont val="Calibri"/>
        <family val="2"/>
        <scheme val="minor"/>
      </rPr>
      <t>)</t>
    </r>
  </si>
  <si>
    <r>
      <t>Total Gene Gun Components ESM (kg</t>
    </r>
    <r>
      <rPr>
        <b/>
        <vertAlign val="subscript"/>
        <sz val="11"/>
        <color theme="1"/>
        <rFont val="Calibri"/>
        <family val="2"/>
        <scheme val="minor"/>
      </rPr>
      <t>eq</t>
    </r>
    <r>
      <rPr>
        <b/>
        <sz val="11"/>
        <color theme="1"/>
        <rFont val="Calibri"/>
        <family val="2"/>
        <scheme val="minor"/>
      </rPr>
      <t>)</t>
    </r>
  </si>
  <si>
    <r>
      <t>Total Overall ESM (kg</t>
    </r>
    <r>
      <rPr>
        <b/>
        <vertAlign val="subscript"/>
        <sz val="11"/>
        <color theme="1"/>
        <rFont val="Calibri"/>
        <family val="2"/>
        <scheme val="minor"/>
      </rPr>
      <t>eq</t>
    </r>
    <r>
      <rPr>
        <b/>
        <sz val="11"/>
        <color theme="1"/>
        <rFont val="Calibri"/>
        <family val="2"/>
        <scheme val="minor"/>
      </rPr>
      <t>)</t>
    </r>
  </si>
  <si>
    <t>Equivalent System Mass Metrics - Gene Gun Components (1 CM, 600-day mission, 1 dose/week, entire mission)</t>
  </si>
  <si>
    <t>Equivalent System Mass Metrics (per CM for entire mission)</t>
  </si>
  <si>
    <t>Shared across crew, divided by crew size (Assumptions!B5)</t>
  </si>
  <si>
    <r>
      <t>Volume (mL/cm</t>
    </r>
    <r>
      <rPr>
        <b/>
        <vertAlign val="superscript"/>
        <sz val="11"/>
        <color theme="1"/>
        <rFont val="Calibri"/>
        <family val="2"/>
        <scheme val="minor"/>
      </rPr>
      <t>3</t>
    </r>
    <r>
      <rPr>
        <b/>
        <sz val="11"/>
        <color theme="1"/>
        <rFont val="Calibri"/>
        <family val="2"/>
        <scheme val="minor"/>
      </rPr>
      <t>)</t>
    </r>
  </si>
  <si>
    <r>
      <t>ESM</t>
    </r>
    <r>
      <rPr>
        <b/>
        <vertAlign val="subscript"/>
        <sz val="11"/>
        <color theme="1"/>
        <rFont val="Calibri"/>
        <family val="2"/>
        <scheme val="minor"/>
      </rPr>
      <t>BM</t>
    </r>
    <r>
      <rPr>
        <b/>
        <sz val="11"/>
        <color theme="1"/>
        <rFont val="Calibri"/>
        <family val="2"/>
        <scheme val="minor"/>
      </rPr>
      <t xml:space="preserve"> (kg</t>
    </r>
    <r>
      <rPr>
        <b/>
        <vertAlign val="subscript"/>
        <sz val="11"/>
        <color theme="1"/>
        <rFont val="Calibri"/>
        <family val="2"/>
        <scheme val="minor"/>
      </rPr>
      <t>eq</t>
    </r>
    <r>
      <rPr>
        <b/>
        <sz val="11"/>
        <color theme="1"/>
        <rFont val="Calibri"/>
        <family val="2"/>
        <scheme val="minor"/>
      </rPr>
      <t>)</t>
    </r>
  </si>
  <si>
    <r>
      <t>Plant Growth ESM</t>
    </r>
    <r>
      <rPr>
        <b/>
        <vertAlign val="subscript"/>
        <sz val="11"/>
        <color theme="1"/>
        <rFont val="Calibri"/>
        <family val="2"/>
        <scheme val="minor"/>
      </rPr>
      <t>BM</t>
    </r>
    <r>
      <rPr>
        <b/>
        <sz val="11"/>
        <color theme="1"/>
        <rFont val="Calibri"/>
        <family val="2"/>
        <scheme val="minor"/>
      </rPr>
      <t xml:space="preserve"> (kg</t>
    </r>
    <r>
      <rPr>
        <b/>
        <vertAlign val="subscript"/>
        <sz val="11"/>
        <color theme="1"/>
        <rFont val="Calibri"/>
        <family val="2"/>
        <scheme val="minor"/>
      </rPr>
      <t>eq</t>
    </r>
    <r>
      <rPr>
        <b/>
        <sz val="11"/>
        <color theme="1"/>
        <rFont val="Calibri"/>
        <family val="2"/>
        <scheme val="minor"/>
      </rPr>
      <t>)</t>
    </r>
  </si>
  <si>
    <r>
      <t>Total AGRO Components ESM</t>
    </r>
    <r>
      <rPr>
        <b/>
        <vertAlign val="subscript"/>
        <sz val="11"/>
        <color theme="1"/>
        <rFont val="Calibri"/>
        <family val="2"/>
        <scheme val="minor"/>
      </rPr>
      <t>BM</t>
    </r>
    <r>
      <rPr>
        <b/>
        <sz val="11"/>
        <color theme="1"/>
        <rFont val="Calibri"/>
        <family val="2"/>
        <scheme val="minor"/>
      </rPr>
      <t xml:space="preserve"> (kg</t>
    </r>
    <r>
      <rPr>
        <b/>
        <vertAlign val="subscript"/>
        <sz val="11"/>
        <color theme="1"/>
        <rFont val="Calibri"/>
        <family val="2"/>
        <scheme val="minor"/>
      </rPr>
      <t>eq</t>
    </r>
    <r>
      <rPr>
        <b/>
        <sz val="11"/>
        <color theme="1"/>
        <rFont val="Calibri"/>
        <family val="2"/>
        <scheme val="minor"/>
      </rPr>
      <t>)</t>
    </r>
  </si>
  <si>
    <r>
      <t>Total Plant Growth ESM</t>
    </r>
    <r>
      <rPr>
        <b/>
        <vertAlign val="subscript"/>
        <sz val="11"/>
        <color theme="1"/>
        <rFont val="Calibri"/>
        <family val="2"/>
        <scheme val="minor"/>
      </rPr>
      <t>BM</t>
    </r>
    <r>
      <rPr>
        <b/>
        <sz val="11"/>
        <color theme="1"/>
        <rFont val="Calibri"/>
        <family val="2"/>
        <scheme val="minor"/>
      </rPr>
      <t xml:space="preserve"> (kg</t>
    </r>
    <r>
      <rPr>
        <b/>
        <vertAlign val="subscript"/>
        <sz val="11"/>
        <color theme="1"/>
        <rFont val="Calibri"/>
        <family val="2"/>
        <scheme val="minor"/>
      </rPr>
      <t>eq</t>
    </r>
    <r>
      <rPr>
        <b/>
        <sz val="11"/>
        <color theme="1"/>
        <rFont val="Calibri"/>
        <family val="2"/>
        <scheme val="minor"/>
      </rPr>
      <t>)</t>
    </r>
  </si>
  <si>
    <r>
      <t>kg/m</t>
    </r>
    <r>
      <rPr>
        <vertAlign val="superscript"/>
        <sz val="11"/>
        <rFont val="Calibri"/>
        <family val="2"/>
        <scheme val="minor"/>
      </rPr>
      <t>3</t>
    </r>
  </si>
  <si>
    <r>
      <t>L = m</t>
    </r>
    <r>
      <rPr>
        <vertAlign val="superscript"/>
        <sz val="11"/>
        <rFont val="Calibri"/>
        <family val="2"/>
        <scheme val="minor"/>
      </rPr>
      <t>3</t>
    </r>
  </si>
  <si>
    <r>
      <t>g/cm</t>
    </r>
    <r>
      <rPr>
        <vertAlign val="superscript"/>
        <sz val="11"/>
        <color theme="1"/>
        <rFont val="Calibri"/>
        <family val="2"/>
        <scheme val="minor"/>
      </rPr>
      <t>3</t>
    </r>
  </si>
  <si>
    <r>
      <t>V (cm</t>
    </r>
    <r>
      <rPr>
        <b/>
        <vertAlign val="superscript"/>
        <sz val="11"/>
        <color theme="1"/>
        <rFont val="Calibri"/>
        <family val="2"/>
        <scheme val="minor"/>
      </rPr>
      <t>3</t>
    </r>
    <r>
      <rPr>
        <b/>
        <sz val="11"/>
        <color theme="1"/>
        <rFont val="Calibri"/>
        <family val="2"/>
        <scheme val="minor"/>
      </rPr>
      <t>)</t>
    </r>
  </si>
  <si>
    <r>
      <t>Total Overall ESM</t>
    </r>
    <r>
      <rPr>
        <b/>
        <vertAlign val="subscript"/>
        <sz val="11"/>
        <color theme="1"/>
        <rFont val="Calibri"/>
        <family val="2"/>
        <scheme val="minor"/>
      </rPr>
      <t>BM</t>
    </r>
    <r>
      <rPr>
        <b/>
        <sz val="11"/>
        <color theme="1"/>
        <rFont val="Calibri"/>
        <family val="2"/>
        <scheme val="minor"/>
      </rPr>
      <t xml:space="preserve"> (kg</t>
    </r>
    <r>
      <rPr>
        <b/>
        <vertAlign val="subscript"/>
        <sz val="11"/>
        <color theme="1"/>
        <rFont val="Calibri"/>
        <family val="2"/>
        <scheme val="minor"/>
      </rPr>
      <t>eq</t>
    </r>
    <r>
      <rPr>
        <b/>
        <sz val="11"/>
        <color theme="1"/>
        <rFont val="Calibri"/>
        <family val="2"/>
        <scheme val="minor"/>
      </rPr>
      <t>)</t>
    </r>
  </si>
  <si>
    <r>
      <t>Total VIRAL ESM</t>
    </r>
    <r>
      <rPr>
        <b/>
        <vertAlign val="subscript"/>
        <sz val="11"/>
        <color theme="1"/>
        <rFont val="Calibri"/>
        <family val="2"/>
        <scheme val="minor"/>
      </rPr>
      <t>BM</t>
    </r>
    <r>
      <rPr>
        <b/>
        <sz val="11"/>
        <color theme="1"/>
        <rFont val="Calibri"/>
        <family val="2"/>
        <scheme val="minor"/>
      </rPr>
      <t xml:space="preserve"> (kg</t>
    </r>
    <r>
      <rPr>
        <b/>
        <vertAlign val="subscript"/>
        <sz val="11"/>
        <color theme="1"/>
        <rFont val="Calibri"/>
        <family val="2"/>
        <scheme val="minor"/>
      </rPr>
      <t>eq</t>
    </r>
    <r>
      <rPr>
        <b/>
        <sz val="11"/>
        <color theme="1"/>
        <rFont val="Calibri"/>
        <family val="2"/>
        <scheme val="minor"/>
      </rPr>
      <t>)</t>
    </r>
  </si>
  <si>
    <t>Equivalent System Mass Metrics - VIRAL (1 CM, 600-day mission, 1 dose/week)</t>
  </si>
  <si>
    <t>Input, Output, and Waste FOM Metrics (600-day mission)</t>
  </si>
  <si>
    <t>Harvesting collection container</t>
  </si>
  <si>
    <t>Harvesting tools</t>
  </si>
  <si>
    <t>Biomass Waste</t>
  </si>
  <si>
    <t>Volume</t>
  </si>
  <si>
    <t>Power</t>
  </si>
  <si>
    <t>Crew time</t>
  </si>
  <si>
    <t>FOM Graphs</t>
  </si>
  <si>
    <t>Refrigerator/Freezer</t>
  </si>
  <si>
    <t>Refrigerator/Freezer mass</t>
  </si>
  <si>
    <t>Refrigerator/Freezer external volume</t>
  </si>
  <si>
    <t>Refrigerator/Freezer internal volume</t>
  </si>
  <si>
    <t>Refrigerator/Freezer power</t>
  </si>
  <si>
    <t>Required # refrigerators/freezers per batch</t>
  </si>
  <si>
    <t>Required # refrigerator/freezers per mission</t>
  </si>
  <si>
    <t>Harvesting container</t>
  </si>
  <si>
    <t>Dessicant pack</t>
  </si>
  <si>
    <t>N benthamiana seeds</t>
  </si>
  <si>
    <t>Plant growth nutrients</t>
  </si>
  <si>
    <t>Flask</t>
  </si>
  <si>
    <t>Cuvette</t>
  </si>
  <si>
    <t>Bottle</t>
  </si>
  <si>
    <t>Beaker</t>
  </si>
  <si>
    <t>Centrifuge tubes</t>
  </si>
  <si>
    <t>LB Media mix</t>
  </si>
  <si>
    <t>Kanamycin</t>
  </si>
  <si>
    <t>Tetracycline</t>
  </si>
  <si>
    <t>Rifampicin</t>
  </si>
  <si>
    <t>Acetosyringone</t>
  </si>
  <si>
    <t>MES</t>
  </si>
  <si>
    <t>MgCl2</t>
  </si>
  <si>
    <t>Silwet L-77</t>
  </si>
  <si>
    <r>
      <rPr>
        <i/>
        <sz val="11"/>
        <color theme="1"/>
        <rFont val="Calibri"/>
        <family val="2"/>
        <scheme val="minor"/>
      </rPr>
      <t>N benthamiana</t>
    </r>
    <r>
      <rPr>
        <sz val="11"/>
        <color theme="1"/>
        <rFont val="Calibri"/>
        <family val="2"/>
        <scheme val="minor"/>
      </rPr>
      <t xml:space="preserve"> seeds</t>
    </r>
  </si>
  <si>
    <t>Injection Pens (packaged)</t>
  </si>
  <si>
    <t>Used Injection Pens</t>
  </si>
  <si>
    <t>Waste Packaging</t>
  </si>
  <si>
    <t>• Each injection pen contains 0.600 mg of PTH-Fc per pen (2.4 mL with a 0.25 mg/mL concentration), the same as the mass of biologic in each Forteo injection pen</t>
  </si>
  <si>
    <t>• Shelf life at refrigerated conditions is assumed to be at least 2 years under refrigerated storage conditions based on https://www.ema.europa.eu/en/documents/scientific-discussion/forsteo-epar-scientific-discussion_en.pdf</t>
  </si>
  <si>
    <t>• 602 days of surface operation with 86 weekly batches</t>
  </si>
  <si>
    <t>mg PTH-Fc/CM/week</t>
  </si>
  <si>
    <t>mg PTH-Fc /wk/CM</t>
  </si>
  <si>
    <t>mg PTH-Fc/wk/CM</t>
  </si>
  <si>
    <t>mg PTH-Fc /kg FW</t>
  </si>
  <si>
    <t>mg PTH-Fc/CM/mission</t>
  </si>
  <si>
    <t>Number of batches in mission duration (weeks)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</si>
</sst>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"/>
    <numFmt numFmtId="166" formatCode="0.0000"/>
  </numFmts>
  <fonts count="30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0"/>
      <name val="Calibri"/>
      <family val="2"/>
    </font>
    <font>
      <b/>
      <sz val="20"/>
      <color rgb="FFFFFFFF"/>
      <name val="Calibri"/>
      <family val="2"/>
    </font>
    <font>
      <b/>
      <sz val="11"/>
      <color rgb="FFFFFFFF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b/>
      <sz val="11"/>
      <color rgb="FFFF0000"/>
      <name val="Calibri"/>
      <family val="2"/>
    </font>
    <font>
      <b/>
      <sz val="11"/>
      <color rgb="FFFF0000"/>
      <name val="Calibri"/>
      <family val="2"/>
      <scheme val="minor"/>
    </font>
    <font>
      <b/>
      <sz val="14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rgb="FF222222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vertAlign val="superscript"/>
      <sz val="11"/>
      <name val="Calibri"/>
      <family val="2"/>
    </font>
    <font>
      <b/>
      <vertAlign val="subscript"/>
      <sz val="11"/>
      <name val="Calibri"/>
      <family val="2"/>
    </font>
    <font>
      <vertAlign val="superscript"/>
      <sz val="11"/>
      <color theme="1"/>
      <name val="Calibri"/>
      <family val="2"/>
      <scheme val="minor"/>
    </font>
    <font>
      <b/>
      <vertAlign val="subscript"/>
      <sz val="11"/>
      <color theme="1"/>
      <name val="Calibri"/>
      <family val="2"/>
      <scheme val="minor"/>
    </font>
    <font>
      <b/>
      <vertAlign val="superscript"/>
      <sz val="11"/>
      <color theme="1"/>
      <name val="Calibri"/>
      <family val="2"/>
      <scheme val="minor"/>
    </font>
    <font>
      <vertAlign val="superscript"/>
      <sz val="11"/>
      <name val="Calibri"/>
      <family val="2"/>
      <scheme val="minor"/>
    </font>
    <font>
      <vertAlign val="subscript"/>
      <sz val="11"/>
      <name val="Calibri"/>
      <family val="2"/>
      <scheme val="minor"/>
    </font>
  </fonts>
  <fills count="2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1F3864"/>
        <bgColor rgb="FF1F38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002060"/>
        <bgColor rgb="FF1F3864"/>
      </patternFill>
    </fill>
    <fill>
      <patternFill patternType="solid">
        <fgColor theme="2"/>
        <bgColor indexed="64"/>
      </patternFill>
    </fill>
    <fill>
      <patternFill patternType="solid">
        <fgColor theme="8" tint="0.59999389629810485"/>
        <bgColor rgb="FFD9E1F2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CDACE6"/>
        <bgColor rgb="FFB4C6E7"/>
      </patternFill>
    </fill>
    <fill>
      <patternFill patternType="solid">
        <fgColor rgb="FFCDACE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59999389629810485"/>
        <bgColor rgb="FFB4C6E7"/>
      </patternFill>
    </fill>
  </fills>
  <borders count="61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</borders>
  <cellStyleXfs count="2">
    <xf numFmtId="0" fontId="0" fillId="0" borderId="0"/>
    <xf numFmtId="0" fontId="17" fillId="0" borderId="0"/>
  </cellStyleXfs>
  <cellXfs count="401">
    <xf numFmtId="0" fontId="0" fillId="0" borderId="0" xfId="0"/>
    <xf numFmtId="0" fontId="2" fillId="0" borderId="5" xfId="0" applyFont="1" applyBorder="1"/>
    <xf numFmtId="0" fontId="2" fillId="2" borderId="6" xfId="0" applyFont="1" applyFill="1" applyBorder="1" applyAlignment="1">
      <alignment horizontal="center"/>
    </xf>
    <xf numFmtId="0" fontId="0" fillId="0" borderId="7" xfId="0" applyBorder="1"/>
    <xf numFmtId="0" fontId="2" fillId="2" borderId="8" xfId="0" applyFont="1" applyFill="1" applyBorder="1" applyAlignment="1">
      <alignment horizontal="center"/>
    </xf>
    <xf numFmtId="0" fontId="2" fillId="0" borderId="9" xfId="0" applyFont="1" applyBorder="1" applyAlignment="1">
      <alignment horizontal="left"/>
    </xf>
    <xf numFmtId="0" fontId="2" fillId="2" borderId="10" xfId="0" applyFont="1" applyFill="1" applyBorder="1" applyAlignment="1">
      <alignment horizontal="center"/>
    </xf>
    <xf numFmtId="0" fontId="0" fillId="0" borderId="11" xfId="0" applyBorder="1"/>
    <xf numFmtId="0" fontId="0" fillId="3" borderId="12" xfId="0" applyFill="1" applyBorder="1" applyAlignment="1">
      <alignment horizontal="center"/>
    </xf>
    <xf numFmtId="0" fontId="2" fillId="0" borderId="0" xfId="0" applyFont="1" applyAlignment="1">
      <alignment horizontal="left"/>
    </xf>
    <xf numFmtId="0" fontId="2" fillId="0" borderId="15" xfId="0" applyFont="1" applyBorder="1" applyAlignment="1">
      <alignment horizontal="left"/>
    </xf>
    <xf numFmtId="0" fontId="0" fillId="0" borderId="7" xfId="0" applyBorder="1" applyAlignment="1">
      <alignment horizontal="left"/>
    </xf>
    <xf numFmtId="0" fontId="2" fillId="0" borderId="5" xfId="0" applyFont="1" applyBorder="1" applyAlignment="1">
      <alignment horizontal="left"/>
    </xf>
    <xf numFmtId="164" fontId="0" fillId="0" borderId="0" xfId="0" applyNumberFormat="1" applyAlignment="1">
      <alignment horizontal="center"/>
    </xf>
    <xf numFmtId="0" fontId="2" fillId="2" borderId="16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2" fillId="0" borderId="5" xfId="0" applyFont="1" applyBorder="1" applyAlignment="1">
      <alignment horizontal="left" wrapText="1"/>
    </xf>
    <xf numFmtId="164" fontId="0" fillId="0" borderId="0" xfId="0" applyNumberFormat="1" applyAlignment="1">
      <alignment horizontal="center" vertical="center"/>
    </xf>
    <xf numFmtId="0" fontId="0" fillId="0" borderId="7" xfId="0" applyBorder="1" applyAlignment="1">
      <alignment horizontal="left" vertical="center"/>
    </xf>
    <xf numFmtId="0" fontId="3" fillId="0" borderId="0" xfId="0" applyFont="1" applyAlignment="1">
      <alignment horizontal="left"/>
    </xf>
    <xf numFmtId="0" fontId="4" fillId="0" borderId="0" xfId="0" applyFont="1"/>
    <xf numFmtId="1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164" fontId="0" fillId="0" borderId="17" xfId="0" applyNumberFormat="1" applyBorder="1" applyAlignment="1">
      <alignment horizontal="center"/>
    </xf>
    <xf numFmtId="0" fontId="0" fillId="0" borderId="11" xfId="0" applyBorder="1" applyAlignment="1">
      <alignment horizontal="left"/>
    </xf>
    <xf numFmtId="11" fontId="5" fillId="0" borderId="0" xfId="0" applyNumberFormat="1" applyFont="1" applyAlignment="1">
      <alignment horizontal="center"/>
    </xf>
    <xf numFmtId="11" fontId="0" fillId="0" borderId="0" xfId="0" applyNumberFormat="1" applyAlignment="1">
      <alignment horizontal="center"/>
    </xf>
    <xf numFmtId="11" fontId="5" fillId="3" borderId="7" xfId="0" applyNumberFormat="1" applyFont="1" applyFill="1" applyBorder="1" applyAlignment="1">
      <alignment horizontal="center"/>
    </xf>
    <xf numFmtId="0" fontId="0" fillId="0" borderId="21" xfId="0" applyBorder="1"/>
    <xf numFmtId="0" fontId="0" fillId="0" borderId="21" xfId="0" applyBorder="1" applyAlignment="1">
      <alignment horizontal="center"/>
    </xf>
    <xf numFmtId="11" fontId="0" fillId="0" borderId="21" xfId="0" applyNumberFormat="1" applyBorder="1" applyAlignment="1">
      <alignment horizontal="center"/>
    </xf>
    <xf numFmtId="11" fontId="5" fillId="0" borderId="21" xfId="0" applyNumberFormat="1" applyFont="1" applyBorder="1" applyAlignment="1">
      <alignment horizontal="center"/>
    </xf>
    <xf numFmtId="11" fontId="0" fillId="3" borderId="22" xfId="0" applyNumberFormat="1" applyFill="1" applyBorder="1" applyAlignment="1">
      <alignment horizontal="center"/>
    </xf>
    <xf numFmtId="0" fontId="5" fillId="0" borderId="0" xfId="0" applyFont="1" applyAlignment="1">
      <alignment horizontal="left"/>
    </xf>
    <xf numFmtId="0" fontId="5" fillId="0" borderId="0" xfId="0" applyFont="1" applyAlignment="1">
      <alignment horizontal="center" vertical="center" wrapText="1"/>
    </xf>
    <xf numFmtId="11" fontId="0" fillId="0" borderId="0" xfId="0" applyNumberFormat="1" applyAlignment="1">
      <alignment horizontal="center" vertical="center" wrapText="1"/>
    </xf>
    <xf numFmtId="11" fontId="5" fillId="0" borderId="0" xfId="0" applyNumberFormat="1" applyFont="1" applyAlignment="1">
      <alignment horizontal="center" vertical="center" wrapText="1"/>
    </xf>
    <xf numFmtId="11" fontId="5" fillId="3" borderId="7" xfId="0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left"/>
    </xf>
    <xf numFmtId="0" fontId="5" fillId="0" borderId="0" xfId="0" applyFont="1" applyAlignment="1">
      <alignment horizontal="center"/>
    </xf>
    <xf numFmtId="2" fontId="0" fillId="3" borderId="0" xfId="0" applyNumberFormat="1" applyFill="1" applyAlignment="1">
      <alignment horizontal="center" vertical="center" wrapText="1"/>
    </xf>
    <xf numFmtId="2" fontId="0" fillId="3" borderId="7" xfId="0" applyNumberFormat="1" applyFill="1" applyBorder="1" applyAlignment="1">
      <alignment horizontal="center" vertical="center" wrapText="1"/>
    </xf>
    <xf numFmtId="0" fontId="0" fillId="0" borderId="17" xfId="0" applyBorder="1" applyAlignment="1">
      <alignment horizontal="left"/>
    </xf>
    <xf numFmtId="0" fontId="5" fillId="0" borderId="17" xfId="0" applyFont="1" applyBorder="1" applyAlignment="1">
      <alignment horizontal="center"/>
    </xf>
    <xf numFmtId="11" fontId="0" fillId="0" borderId="17" xfId="0" applyNumberFormat="1" applyBorder="1" applyAlignment="1">
      <alignment horizontal="center"/>
    </xf>
    <xf numFmtId="2" fontId="0" fillId="3" borderId="17" xfId="0" applyNumberFormat="1" applyFill="1" applyBorder="1" applyAlignment="1">
      <alignment horizontal="center" vertical="center" wrapText="1"/>
    </xf>
    <xf numFmtId="2" fontId="0" fillId="3" borderId="11" xfId="0" applyNumberFormat="1" applyFill="1" applyBorder="1" applyAlignment="1">
      <alignment horizontal="center" vertical="center" wrapText="1"/>
    </xf>
    <xf numFmtId="0" fontId="2" fillId="0" borderId="0" xfId="0" applyFont="1"/>
    <xf numFmtId="0" fontId="0" fillId="0" borderId="17" xfId="0" applyBorder="1"/>
    <xf numFmtId="0" fontId="0" fillId="3" borderId="0" xfId="0" applyFill="1" applyAlignment="1">
      <alignment horizontal="center"/>
    </xf>
    <xf numFmtId="11" fontId="0" fillId="0" borderId="7" xfId="0" applyNumberFormat="1" applyBorder="1" applyAlignment="1">
      <alignment horizontal="center"/>
    </xf>
    <xf numFmtId="11" fontId="0" fillId="0" borderId="0" xfId="0" applyNumberFormat="1"/>
    <xf numFmtId="11" fontId="0" fillId="3" borderId="0" xfId="0" applyNumberFormat="1" applyFill="1" applyAlignment="1">
      <alignment horizontal="center"/>
    </xf>
    <xf numFmtId="11" fontId="0" fillId="0" borderId="7" xfId="0" applyNumberFormat="1" applyBorder="1" applyAlignment="1">
      <alignment horizontal="center" vertical="center"/>
    </xf>
    <xf numFmtId="0" fontId="0" fillId="3" borderId="7" xfId="0" applyFill="1" applyBorder="1"/>
    <xf numFmtId="0" fontId="0" fillId="3" borderId="17" xfId="0" applyFill="1" applyBorder="1" applyAlignment="1">
      <alignment horizontal="center"/>
    </xf>
    <xf numFmtId="165" fontId="0" fillId="0" borderId="0" xfId="0" applyNumberFormat="1"/>
    <xf numFmtId="11" fontId="1" fillId="3" borderId="11" xfId="0" applyNumberFormat="1" applyFont="1" applyFill="1" applyBorder="1" applyAlignment="1">
      <alignment horizontal="center" vertical="center"/>
    </xf>
    <xf numFmtId="0" fontId="2" fillId="0" borderId="8" xfId="0" applyFont="1" applyBorder="1" applyAlignment="1">
      <alignment horizontal="center"/>
    </xf>
    <xf numFmtId="0" fontId="0" fillId="3" borderId="0" xfId="0" applyFill="1"/>
    <xf numFmtId="164" fontId="0" fillId="3" borderId="0" xfId="0" applyNumberFormat="1" applyFill="1" applyAlignment="1">
      <alignment horizontal="center"/>
    </xf>
    <xf numFmtId="0" fontId="0" fillId="3" borderId="7" xfId="0" applyFill="1" applyBorder="1" applyAlignment="1">
      <alignment horizontal="center"/>
    </xf>
    <xf numFmtId="11" fontId="5" fillId="3" borderId="0" xfId="0" applyNumberFormat="1" applyFont="1" applyFill="1" applyAlignment="1">
      <alignment horizontal="center"/>
    </xf>
    <xf numFmtId="11" fontId="5" fillId="0" borderId="7" xfId="0" applyNumberFormat="1" applyFont="1" applyBorder="1" applyAlignment="1">
      <alignment horizontal="center"/>
    </xf>
    <xf numFmtId="0" fontId="6" fillId="0" borderId="8" xfId="0" applyFont="1" applyBorder="1" applyAlignment="1">
      <alignment horizontal="center"/>
    </xf>
    <xf numFmtId="164" fontId="5" fillId="3" borderId="0" xfId="0" applyNumberFormat="1" applyFont="1" applyFill="1" applyAlignment="1">
      <alignment horizontal="center" vertical="center" wrapText="1"/>
    </xf>
    <xf numFmtId="0" fontId="2" fillId="0" borderId="12" xfId="0" applyFont="1" applyBorder="1" applyAlignment="1">
      <alignment horizontal="center"/>
    </xf>
    <xf numFmtId="0" fontId="5" fillId="3" borderId="17" xfId="0" applyFont="1" applyFill="1" applyBorder="1" applyAlignment="1">
      <alignment horizontal="center"/>
    </xf>
    <xf numFmtId="0" fontId="6" fillId="0" borderId="9" xfId="0" applyFont="1" applyBorder="1" applyAlignment="1">
      <alignment horizontal="center"/>
    </xf>
    <xf numFmtId="0" fontId="0" fillId="0" borderId="17" xfId="0" applyBorder="1" applyAlignment="1">
      <alignment horizontal="center"/>
    </xf>
    <xf numFmtId="0" fontId="2" fillId="0" borderId="19" xfId="0" applyFont="1" applyBorder="1" applyAlignment="1">
      <alignment horizontal="center"/>
    </xf>
    <xf numFmtId="0" fontId="0" fillId="0" borderId="26" xfId="0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28" xfId="0" applyBorder="1" applyAlignment="1">
      <alignment horizontal="center"/>
    </xf>
    <xf numFmtId="0" fontId="2" fillId="0" borderId="29" xfId="0" applyFont="1" applyBorder="1" applyAlignment="1">
      <alignment horizontal="center"/>
    </xf>
    <xf numFmtId="0" fontId="6" fillId="2" borderId="10" xfId="0" applyFont="1" applyFill="1" applyBorder="1" applyAlignment="1">
      <alignment horizontal="center"/>
    </xf>
    <xf numFmtId="11" fontId="5" fillId="0" borderId="15" xfId="0" applyNumberFormat="1" applyFont="1" applyBorder="1" applyAlignment="1">
      <alignment horizontal="center" vertical="center" wrapText="1"/>
    </xf>
    <xf numFmtId="11" fontId="0" fillId="0" borderId="15" xfId="0" applyNumberFormat="1" applyBorder="1" applyAlignment="1">
      <alignment vertical="center" wrapText="1"/>
    </xf>
    <xf numFmtId="0" fontId="0" fillId="4" borderId="19" xfId="0" applyFill="1" applyBorder="1"/>
    <xf numFmtId="0" fontId="0" fillId="4" borderId="9" xfId="0" applyFill="1" applyBorder="1"/>
    <xf numFmtId="0" fontId="0" fillId="0" borderId="15" xfId="0" applyBorder="1"/>
    <xf numFmtId="0" fontId="0" fillId="0" borderId="28" xfId="0" applyBorder="1"/>
    <xf numFmtId="0" fontId="2" fillId="0" borderId="29" xfId="0" applyFont="1" applyBorder="1"/>
    <xf numFmtId="0" fontId="2" fillId="0" borderId="19" xfId="0" applyFont="1" applyBorder="1"/>
    <xf numFmtId="0" fontId="0" fillId="0" borderId="26" xfId="0" applyBorder="1"/>
    <xf numFmtId="166" fontId="0" fillId="0" borderId="0" xfId="0" applyNumberFormat="1"/>
    <xf numFmtId="0" fontId="0" fillId="5" borderId="0" xfId="0" applyFill="1"/>
    <xf numFmtId="2" fontId="0" fillId="0" borderId="0" xfId="0" applyNumberFormat="1"/>
    <xf numFmtId="0" fontId="8" fillId="0" borderId="0" xfId="0" applyFont="1"/>
    <xf numFmtId="0" fontId="11" fillId="0" borderId="0" xfId="0" applyFont="1"/>
    <xf numFmtId="0" fontId="2" fillId="7" borderId="2" xfId="0" applyFont="1" applyFill="1" applyBorder="1" applyAlignment="1">
      <alignment horizontal="center"/>
    </xf>
    <xf numFmtId="0" fontId="2" fillId="7" borderId="3" xfId="0" applyFont="1" applyFill="1" applyBorder="1" applyAlignment="1">
      <alignment horizontal="center"/>
    </xf>
    <xf numFmtId="0" fontId="2" fillId="7" borderId="4" xfId="0" applyFont="1" applyFill="1" applyBorder="1" applyAlignment="1">
      <alignment horizontal="center"/>
    </xf>
    <xf numFmtId="0" fontId="0" fillId="7" borderId="19" xfId="0" applyFill="1" applyBorder="1"/>
    <xf numFmtId="0" fontId="2" fillId="7" borderId="30" xfId="0" applyFont="1" applyFill="1" applyBorder="1" applyAlignment="1">
      <alignment horizontal="center"/>
    </xf>
    <xf numFmtId="0" fontId="2" fillId="7" borderId="26" xfId="0" applyFont="1" applyFill="1" applyBorder="1" applyAlignment="1">
      <alignment horizontal="center"/>
    </xf>
    <xf numFmtId="0" fontId="12" fillId="0" borderId="0" xfId="0" applyFont="1"/>
    <xf numFmtId="0" fontId="13" fillId="0" borderId="0" xfId="0" applyFont="1"/>
    <xf numFmtId="0" fontId="12" fillId="11" borderId="18" xfId="0" applyFont="1" applyFill="1" applyBorder="1"/>
    <xf numFmtId="0" fontId="13" fillId="7" borderId="2" xfId="0" applyFont="1" applyFill="1" applyBorder="1"/>
    <xf numFmtId="0" fontId="13" fillId="7" borderId="3" xfId="0" applyFont="1" applyFill="1" applyBorder="1"/>
    <xf numFmtId="0" fontId="14" fillId="0" borderId="0" xfId="0" applyFont="1"/>
    <xf numFmtId="0" fontId="0" fillId="0" borderId="30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3" borderId="11" xfId="0" applyFill="1" applyBorder="1" applyAlignment="1">
      <alignment horizontal="center"/>
    </xf>
    <xf numFmtId="0" fontId="0" fillId="0" borderId="29" xfId="0" applyBorder="1"/>
    <xf numFmtId="0" fontId="0" fillId="0" borderId="33" xfId="0" applyBorder="1" applyAlignment="1">
      <alignment horizontal="center"/>
    </xf>
    <xf numFmtId="0" fontId="0" fillId="0" borderId="10" xfId="0" applyBorder="1" applyAlignment="1">
      <alignment horizontal="center"/>
    </xf>
    <xf numFmtId="0" fontId="5" fillId="0" borderId="10" xfId="0" applyFont="1" applyBorder="1" applyAlignment="1">
      <alignment horizontal="center"/>
    </xf>
    <xf numFmtId="2" fontId="0" fillId="0" borderId="36" xfId="0" applyNumberFormat="1" applyBorder="1" applyAlignment="1">
      <alignment horizontal="center"/>
    </xf>
    <xf numFmtId="0" fontId="7" fillId="0" borderId="0" xfId="0" applyFont="1" applyAlignment="1">
      <alignment horizontal="center"/>
    </xf>
    <xf numFmtId="0" fontId="7" fillId="0" borderId="17" xfId="0" applyFont="1" applyBorder="1" applyAlignment="1">
      <alignment horizontal="center"/>
    </xf>
    <xf numFmtId="0" fontId="0" fillId="0" borderId="34" xfId="0" applyBorder="1"/>
    <xf numFmtId="0" fontId="0" fillId="0" borderId="30" xfId="0" applyBorder="1"/>
    <xf numFmtId="0" fontId="2" fillId="0" borderId="5" xfId="0" applyFont="1" applyBorder="1" applyAlignment="1">
      <alignment horizontal="center"/>
    </xf>
    <xf numFmtId="0" fontId="6" fillId="0" borderId="5" xfId="0" applyFont="1" applyBorder="1" applyAlignment="1">
      <alignment horizontal="center"/>
    </xf>
    <xf numFmtId="0" fontId="2" fillId="0" borderId="0" xfId="0" applyFont="1" applyAlignment="1">
      <alignment horizontal="center"/>
    </xf>
    <xf numFmtId="164" fontId="2" fillId="0" borderId="0" xfId="0" applyNumberFormat="1" applyFont="1" applyAlignment="1">
      <alignment horizontal="center"/>
    </xf>
    <xf numFmtId="0" fontId="18" fillId="0" borderId="0" xfId="0" applyFont="1" applyAlignment="1">
      <alignment horizontal="left"/>
    </xf>
    <xf numFmtId="0" fontId="19" fillId="0" borderId="0" xfId="0" applyFont="1"/>
    <xf numFmtId="0" fontId="5" fillId="0" borderId="0" xfId="0" applyFont="1"/>
    <xf numFmtId="0" fontId="2" fillId="2" borderId="38" xfId="0" applyFont="1" applyFill="1" applyBorder="1" applyAlignment="1">
      <alignment horizontal="center" vertical="center"/>
    </xf>
    <xf numFmtId="0" fontId="0" fillId="0" borderId="39" xfId="0" applyBorder="1"/>
    <xf numFmtId="0" fontId="0" fillId="0" borderId="40" xfId="0" applyBorder="1"/>
    <xf numFmtId="0" fontId="2" fillId="2" borderId="21" xfId="0" applyFont="1" applyFill="1" applyBorder="1" applyAlignment="1">
      <alignment horizontal="center" vertical="center"/>
    </xf>
    <xf numFmtId="0" fontId="13" fillId="0" borderId="0" xfId="0" applyFont="1" applyAlignment="1">
      <alignment horizontal="center"/>
    </xf>
    <xf numFmtId="0" fontId="18" fillId="0" borderId="0" xfId="0" applyFont="1" applyAlignment="1">
      <alignment horizontal="center"/>
    </xf>
    <xf numFmtId="0" fontId="2" fillId="0" borderId="34" xfId="0" applyFont="1" applyBorder="1" applyAlignment="1">
      <alignment horizontal="left"/>
    </xf>
    <xf numFmtId="0" fontId="2" fillId="0" borderId="30" xfId="0" applyFont="1" applyBorder="1" applyAlignment="1">
      <alignment horizontal="left"/>
    </xf>
    <xf numFmtId="0" fontId="0" fillId="13" borderId="14" xfId="0" applyFill="1" applyBorder="1"/>
    <xf numFmtId="11" fontId="0" fillId="3" borderId="17" xfId="0" applyNumberFormat="1" applyFill="1" applyBorder="1" applyAlignment="1">
      <alignment horizontal="center"/>
    </xf>
    <xf numFmtId="0" fontId="2" fillId="0" borderId="34" xfId="0" applyFont="1" applyBorder="1"/>
    <xf numFmtId="0" fontId="2" fillId="0" borderId="29" xfId="0" applyFont="1" applyBorder="1" applyAlignment="1">
      <alignment horizontal="left"/>
    </xf>
    <xf numFmtId="0" fontId="2" fillId="2" borderId="44" xfId="0" applyFont="1" applyFill="1" applyBorder="1" applyAlignment="1">
      <alignment horizontal="center"/>
    </xf>
    <xf numFmtId="0" fontId="2" fillId="2" borderId="27" xfId="0" applyFont="1" applyFill="1" applyBorder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3" borderId="0" xfId="0" applyNumberFormat="1" applyFill="1" applyAlignment="1">
      <alignment horizontal="center"/>
    </xf>
    <xf numFmtId="2" fontId="0" fillId="0" borderId="17" xfId="0" applyNumberFormat="1" applyBorder="1" applyAlignment="1">
      <alignment horizontal="center"/>
    </xf>
    <xf numFmtId="0" fontId="20" fillId="0" borderId="0" xfId="0" applyFont="1" applyAlignment="1">
      <alignment wrapText="1"/>
    </xf>
    <xf numFmtId="0" fontId="2" fillId="0" borderId="11" xfId="0" applyFont="1" applyBorder="1"/>
    <xf numFmtId="11" fontId="5" fillId="3" borderId="0" xfId="0" applyNumberFormat="1" applyFont="1" applyFill="1" applyAlignment="1">
      <alignment horizontal="center" vertical="center" wrapText="1"/>
    </xf>
    <xf numFmtId="11" fontId="5" fillId="3" borderId="17" xfId="0" applyNumberFormat="1" applyFont="1" applyFill="1" applyBorder="1" applyAlignment="1">
      <alignment horizontal="center"/>
    </xf>
    <xf numFmtId="0" fontId="2" fillId="16" borderId="4" xfId="0" applyFont="1" applyFill="1" applyBorder="1" applyAlignment="1">
      <alignment horizontal="center"/>
    </xf>
    <xf numFmtId="0" fontId="2" fillId="8" borderId="3" xfId="0" applyFont="1" applyFill="1" applyBorder="1" applyAlignment="1">
      <alignment horizontal="center"/>
    </xf>
    <xf numFmtId="0" fontId="0" fillId="0" borderId="37" xfId="0" applyBorder="1" applyAlignment="1">
      <alignment horizontal="center"/>
    </xf>
    <xf numFmtId="0" fontId="2" fillId="8" borderId="17" xfId="0" applyFont="1" applyFill="1" applyBorder="1" applyAlignment="1">
      <alignment horizontal="center"/>
    </xf>
    <xf numFmtId="0" fontId="2" fillId="8" borderId="11" xfId="0" applyFont="1" applyFill="1" applyBorder="1" applyAlignment="1">
      <alignment horizontal="center"/>
    </xf>
    <xf numFmtId="0" fontId="2" fillId="8" borderId="45" xfId="0" applyFont="1" applyFill="1" applyBorder="1" applyAlignment="1">
      <alignment horizontal="center"/>
    </xf>
    <xf numFmtId="0" fontId="16" fillId="12" borderId="18" xfId="0" applyFont="1" applyFill="1" applyBorder="1"/>
    <xf numFmtId="0" fontId="0" fillId="12" borderId="2" xfId="0" applyFill="1" applyBorder="1"/>
    <xf numFmtId="0" fontId="0" fillId="12" borderId="3" xfId="0" applyFill="1" applyBorder="1"/>
    <xf numFmtId="0" fontId="0" fillId="8" borderId="33" xfId="0" applyFill="1" applyBorder="1"/>
    <xf numFmtId="0" fontId="2" fillId="8" borderId="29" xfId="0" applyFont="1" applyFill="1" applyBorder="1" applyAlignment="1">
      <alignment horizontal="center"/>
    </xf>
    <xf numFmtId="0" fontId="2" fillId="14" borderId="41" xfId="0" applyFont="1" applyFill="1" applyBorder="1" applyAlignment="1">
      <alignment horizontal="left" vertical="top"/>
    </xf>
    <xf numFmtId="0" fontId="2" fillId="14" borderId="13" xfId="0" applyFont="1" applyFill="1" applyBorder="1" applyAlignment="1">
      <alignment horizontal="left" vertical="top"/>
    </xf>
    <xf numFmtId="0" fontId="2" fillId="14" borderId="14" xfId="0" applyFont="1" applyFill="1" applyBorder="1" applyAlignment="1">
      <alignment horizontal="left" vertical="top"/>
    </xf>
    <xf numFmtId="0" fontId="0" fillId="14" borderId="13" xfId="0" applyFill="1" applyBorder="1"/>
    <xf numFmtId="0" fontId="2" fillId="14" borderId="13" xfId="0" applyFont="1" applyFill="1" applyBorder="1"/>
    <xf numFmtId="0" fontId="0" fillId="14" borderId="14" xfId="0" applyFill="1" applyBorder="1"/>
    <xf numFmtId="0" fontId="2" fillId="8" borderId="23" xfId="0" applyFont="1" applyFill="1" applyBorder="1" applyAlignment="1">
      <alignment horizontal="center"/>
    </xf>
    <xf numFmtId="0" fontId="2" fillId="8" borderId="24" xfId="0" applyFont="1" applyFill="1" applyBorder="1" applyAlignment="1">
      <alignment horizontal="center"/>
    </xf>
    <xf numFmtId="0" fontId="2" fillId="8" borderId="25" xfId="0" applyFont="1" applyFill="1" applyBorder="1" applyAlignment="1">
      <alignment horizontal="center"/>
    </xf>
    <xf numFmtId="0" fontId="2" fillId="8" borderId="18" xfId="0" applyFont="1" applyFill="1" applyBorder="1" applyAlignment="1">
      <alignment horizontal="center"/>
    </xf>
    <xf numFmtId="0" fontId="2" fillId="0" borderId="0" xfId="0" applyFont="1" applyAlignment="1">
      <alignment horizontal="center" vertical="center"/>
    </xf>
    <xf numFmtId="0" fontId="2" fillId="8" borderId="42" xfId="0" applyFont="1" applyFill="1" applyBorder="1" applyAlignment="1">
      <alignment horizontal="center"/>
    </xf>
    <xf numFmtId="0" fontId="2" fillId="8" borderId="38" xfId="0" applyFont="1" applyFill="1" applyBorder="1" applyAlignment="1">
      <alignment horizontal="center"/>
    </xf>
    <xf numFmtId="0" fontId="6" fillId="8" borderId="43" xfId="0" applyFont="1" applyFill="1" applyBorder="1" applyAlignment="1">
      <alignment horizontal="center"/>
    </xf>
    <xf numFmtId="0" fontId="0" fillId="0" borderId="15" xfId="0" applyBorder="1" applyAlignment="1">
      <alignment horizontal="left"/>
    </xf>
    <xf numFmtId="0" fontId="2" fillId="14" borderId="41" xfId="0" applyFont="1" applyFill="1" applyBorder="1"/>
    <xf numFmtId="0" fontId="0" fillId="8" borderId="9" xfId="0" applyFill="1" applyBorder="1"/>
    <xf numFmtId="0" fontId="5" fillId="0" borderId="15" xfId="0" applyFont="1" applyBorder="1"/>
    <xf numFmtId="0" fontId="5" fillId="0" borderId="7" xfId="0" applyFont="1" applyBorder="1" applyAlignment="1">
      <alignment horizontal="center"/>
    </xf>
    <xf numFmtId="0" fontId="0" fillId="0" borderId="29" xfId="0" applyBorder="1" applyAlignment="1">
      <alignment horizontal="left"/>
    </xf>
    <xf numFmtId="0" fontId="5" fillId="0" borderId="11" xfId="0" applyFont="1" applyBorder="1" applyAlignment="1">
      <alignment horizontal="center"/>
    </xf>
    <xf numFmtId="0" fontId="17" fillId="0" borderId="7" xfId="1" applyBorder="1" applyAlignment="1">
      <alignment horizontal="left"/>
    </xf>
    <xf numFmtId="0" fontId="5" fillId="0" borderId="15" xfId="0" applyFont="1" applyBorder="1" applyAlignment="1">
      <alignment horizontal="left"/>
    </xf>
    <xf numFmtId="11" fontId="5" fillId="0" borderId="0" xfId="0" applyNumberFormat="1" applyFont="1"/>
    <xf numFmtId="0" fontId="5" fillId="0" borderId="7" xfId="0" applyFont="1" applyBorder="1" applyAlignment="1">
      <alignment horizontal="left"/>
    </xf>
    <xf numFmtId="0" fontId="5" fillId="0" borderId="29" xfId="0" applyFont="1" applyBorder="1" applyAlignment="1">
      <alignment horizontal="left"/>
    </xf>
    <xf numFmtId="11" fontId="5" fillId="0" borderId="17" xfId="0" applyNumberFormat="1" applyFont="1" applyBorder="1" applyAlignment="1">
      <alignment horizontal="center"/>
    </xf>
    <xf numFmtId="0" fontId="5" fillId="0" borderId="17" xfId="0" applyFont="1" applyBorder="1"/>
    <xf numFmtId="0" fontId="5" fillId="0" borderId="11" xfId="0" applyFont="1" applyBorder="1" applyAlignment="1">
      <alignment horizontal="left"/>
    </xf>
    <xf numFmtId="0" fontId="13" fillId="0" borderId="7" xfId="0" applyFont="1" applyBorder="1" applyAlignment="1">
      <alignment horizontal="center"/>
    </xf>
    <xf numFmtId="0" fontId="2" fillId="5" borderId="0" xfId="0" applyFont="1" applyFill="1"/>
    <xf numFmtId="164" fontId="2" fillId="5" borderId="0" xfId="0" applyNumberFormat="1" applyFont="1" applyFill="1" applyAlignment="1">
      <alignment horizontal="center"/>
    </xf>
    <xf numFmtId="0" fontId="2" fillId="4" borderId="19" xfId="0" applyFont="1" applyFill="1" applyBorder="1" applyAlignment="1">
      <alignment horizontal="center"/>
    </xf>
    <xf numFmtId="0" fontId="6" fillId="4" borderId="9" xfId="0" applyFont="1" applyFill="1" applyBorder="1" applyAlignment="1">
      <alignment horizontal="center"/>
    </xf>
    <xf numFmtId="0" fontId="5" fillId="0" borderId="7" xfId="0" applyFont="1" applyBorder="1"/>
    <xf numFmtId="0" fontId="5" fillId="0" borderId="29" xfId="0" applyFont="1" applyBorder="1"/>
    <xf numFmtId="0" fontId="0" fillId="0" borderId="0" xfId="0" quotePrefix="1" applyAlignment="1">
      <alignment horizontal="center"/>
    </xf>
    <xf numFmtId="0" fontId="5" fillId="0" borderId="11" xfId="0" applyFont="1" applyBorder="1"/>
    <xf numFmtId="0" fontId="2" fillId="0" borderId="7" xfId="0" applyFont="1" applyBorder="1"/>
    <xf numFmtId="0" fontId="2" fillId="2" borderId="48" xfId="0" applyFont="1" applyFill="1" applyBorder="1" applyAlignment="1">
      <alignment horizontal="center"/>
    </xf>
    <xf numFmtId="0" fontId="8" fillId="15" borderId="18" xfId="0" applyFont="1" applyFill="1" applyBorder="1"/>
    <xf numFmtId="0" fontId="8" fillId="15" borderId="2" xfId="0" applyFont="1" applyFill="1" applyBorder="1"/>
    <xf numFmtId="0" fontId="8" fillId="15" borderId="3" xfId="0" applyFont="1" applyFill="1" applyBorder="1"/>
    <xf numFmtId="0" fontId="8" fillId="15" borderId="32" xfId="0" applyFont="1" applyFill="1" applyBorder="1" applyAlignment="1">
      <alignment horizontal="center"/>
    </xf>
    <xf numFmtId="0" fontId="8" fillId="15" borderId="6" xfId="0" applyFont="1" applyFill="1" applyBorder="1" applyAlignment="1">
      <alignment horizontal="center"/>
    </xf>
    <xf numFmtId="0" fontId="8" fillId="15" borderId="35" xfId="0" applyFont="1" applyFill="1" applyBorder="1" applyAlignment="1">
      <alignment horizontal="center"/>
    </xf>
    <xf numFmtId="0" fontId="8" fillId="15" borderId="18" xfId="0" applyFont="1" applyFill="1" applyBorder="1" applyAlignment="1">
      <alignment horizontal="center"/>
    </xf>
    <xf numFmtId="0" fontId="8" fillId="15" borderId="2" xfId="0" applyFont="1" applyFill="1" applyBorder="1" applyAlignment="1">
      <alignment horizontal="center"/>
    </xf>
    <xf numFmtId="0" fontId="8" fillId="15" borderId="2" xfId="0" applyFont="1" applyFill="1" applyBorder="1" applyAlignment="1">
      <alignment horizontal="center" wrapText="1"/>
    </xf>
    <xf numFmtId="0" fontId="0" fillId="0" borderId="29" xfId="0" applyBorder="1" applyAlignment="1">
      <alignment horizontal="center"/>
    </xf>
    <xf numFmtId="0" fontId="12" fillId="0" borderId="0" xfId="0" applyFont="1" applyAlignment="1">
      <alignment horizontal="center"/>
    </xf>
    <xf numFmtId="2" fontId="0" fillId="0" borderId="11" xfId="0" applyNumberFormat="1" applyBorder="1" applyAlignment="1">
      <alignment horizontal="center"/>
    </xf>
    <xf numFmtId="0" fontId="6" fillId="4" borderId="9" xfId="0" applyFont="1" applyFill="1" applyBorder="1"/>
    <xf numFmtId="0" fontId="2" fillId="0" borderId="33" xfId="0" applyFont="1" applyBorder="1" applyAlignment="1">
      <alignment horizontal="center"/>
    </xf>
    <xf numFmtId="0" fontId="8" fillId="15" borderId="3" xfId="0" applyFont="1" applyFill="1" applyBorder="1" applyAlignment="1">
      <alignment horizontal="center" wrapText="1"/>
    </xf>
    <xf numFmtId="0" fontId="2" fillId="0" borderId="16" xfId="0" applyFont="1" applyBorder="1" applyAlignment="1">
      <alignment horizontal="center"/>
    </xf>
    <xf numFmtId="0" fontId="0" fillId="3" borderId="26" xfId="0" applyFill="1" applyBorder="1"/>
    <xf numFmtId="0" fontId="0" fillId="3" borderId="11" xfId="0" applyFill="1" applyBorder="1"/>
    <xf numFmtId="11" fontId="0" fillId="17" borderId="0" xfId="0" applyNumberFormat="1" applyFill="1" applyAlignment="1">
      <alignment horizontal="center"/>
    </xf>
    <xf numFmtId="0" fontId="0" fillId="14" borderId="50" xfId="0" applyFill="1" applyBorder="1"/>
    <xf numFmtId="0" fontId="0" fillId="3" borderId="52" xfId="0" applyFill="1" applyBorder="1" applyAlignment="1">
      <alignment horizontal="center"/>
    </xf>
    <xf numFmtId="0" fontId="0" fillId="3" borderId="52" xfId="0" applyFill="1" applyBorder="1"/>
    <xf numFmtId="11" fontId="0" fillId="0" borderId="52" xfId="0" applyNumberFormat="1" applyBorder="1"/>
    <xf numFmtId="0" fontId="5" fillId="3" borderId="21" xfId="0" applyFont="1" applyFill="1" applyBorder="1" applyAlignment="1">
      <alignment horizontal="center"/>
    </xf>
    <xf numFmtId="0" fontId="0" fillId="3" borderId="53" xfId="0" applyFill="1" applyBorder="1"/>
    <xf numFmtId="0" fontId="2" fillId="8" borderId="49" xfId="0" applyFont="1" applyFill="1" applyBorder="1" applyAlignment="1">
      <alignment horizontal="center"/>
    </xf>
    <xf numFmtId="164" fontId="5" fillId="0" borderId="0" xfId="0" applyNumberFormat="1" applyFont="1" applyAlignment="1">
      <alignment horizontal="center" vertical="center" wrapText="1"/>
    </xf>
    <xf numFmtId="0" fontId="0" fillId="14" borderId="51" xfId="0" applyFill="1" applyBorder="1"/>
    <xf numFmtId="0" fontId="0" fillId="0" borderId="52" xfId="0" applyBorder="1"/>
    <xf numFmtId="164" fontId="5" fillId="17" borderId="0" xfId="0" applyNumberFormat="1" applyFont="1" applyFill="1" applyAlignment="1">
      <alignment horizontal="center" vertical="center" wrapText="1"/>
    </xf>
    <xf numFmtId="11" fontId="0" fillId="3" borderId="0" xfId="0" applyNumberFormat="1" applyFill="1"/>
    <xf numFmtId="11" fontId="0" fillId="3" borderId="17" xfId="0" applyNumberFormat="1" applyFill="1" applyBorder="1"/>
    <xf numFmtId="0" fontId="2" fillId="8" borderId="24" xfId="0" applyFont="1" applyFill="1" applyBorder="1" applyAlignment="1">
      <alignment horizontal="center" vertical="center"/>
    </xf>
    <xf numFmtId="0" fontId="2" fillId="8" borderId="17" xfId="0" applyFont="1" applyFill="1" applyBorder="1" applyAlignment="1">
      <alignment horizontal="center" vertical="center"/>
    </xf>
    <xf numFmtId="0" fontId="0" fillId="14" borderId="26" xfId="0" applyFill="1" applyBorder="1"/>
    <xf numFmtId="11" fontId="0" fillId="0" borderId="7" xfId="0" applyNumberFormat="1" applyBorder="1"/>
    <xf numFmtId="165" fontId="0" fillId="0" borderId="7" xfId="0" applyNumberFormat="1" applyBorder="1" applyAlignment="1">
      <alignment horizontal="center"/>
    </xf>
    <xf numFmtId="165" fontId="5" fillId="0" borderId="7" xfId="0" applyNumberFormat="1" applyFont="1" applyBorder="1" applyAlignment="1">
      <alignment horizontal="center"/>
    </xf>
    <xf numFmtId="165" fontId="5" fillId="0" borderId="22" xfId="0" applyNumberFormat="1" applyFont="1" applyBorder="1" applyAlignment="1">
      <alignment horizontal="center"/>
    </xf>
    <xf numFmtId="165" fontId="2" fillId="0" borderId="11" xfId="0" applyNumberFormat="1" applyFont="1" applyBorder="1" applyAlignment="1">
      <alignment horizontal="center"/>
    </xf>
    <xf numFmtId="165" fontId="0" fillId="0" borderId="22" xfId="0" applyNumberFormat="1" applyBorder="1" applyAlignment="1">
      <alignment horizontal="center"/>
    </xf>
    <xf numFmtId="11" fontId="5" fillId="17" borderId="0" xfId="0" applyNumberFormat="1" applyFont="1" applyFill="1" applyAlignment="1">
      <alignment horizontal="center"/>
    </xf>
    <xf numFmtId="0" fontId="0" fillId="0" borderId="37" xfId="0" applyBorder="1"/>
    <xf numFmtId="0" fontId="2" fillId="19" borderId="55" xfId="0" applyFont="1" applyFill="1" applyBorder="1" applyAlignment="1">
      <alignment horizontal="center" vertical="center"/>
    </xf>
    <xf numFmtId="0" fontId="2" fillId="19" borderId="17" xfId="0" applyFont="1" applyFill="1" applyBorder="1" applyAlignment="1">
      <alignment horizontal="center"/>
    </xf>
    <xf numFmtId="0" fontId="2" fillId="19" borderId="11" xfId="0" applyFont="1" applyFill="1" applyBorder="1" applyAlignment="1">
      <alignment horizontal="center"/>
    </xf>
    <xf numFmtId="11" fontId="0" fillId="0" borderId="37" xfId="0" applyNumberFormat="1" applyBorder="1"/>
    <xf numFmtId="0" fontId="2" fillId="19" borderId="17" xfId="0" applyFont="1" applyFill="1" applyBorder="1" applyAlignment="1">
      <alignment horizontal="center" vertical="center"/>
    </xf>
    <xf numFmtId="0" fontId="0" fillId="0" borderId="55" xfId="0" applyBorder="1"/>
    <xf numFmtId="11" fontId="0" fillId="0" borderId="17" xfId="0" applyNumberFormat="1" applyBorder="1"/>
    <xf numFmtId="0" fontId="2" fillId="12" borderId="18" xfId="0" applyFont="1" applyFill="1" applyBorder="1"/>
    <xf numFmtId="0" fontId="0" fillId="0" borderId="0" xfId="0" applyAlignment="1">
      <alignment vertical="center"/>
    </xf>
    <xf numFmtId="0" fontId="17" fillId="0" borderId="0" xfId="1"/>
    <xf numFmtId="2" fontId="0" fillId="0" borderId="34" xfId="0" applyNumberFormat="1" applyBorder="1" applyAlignment="1">
      <alignment horizontal="center"/>
    </xf>
    <xf numFmtId="2" fontId="0" fillId="3" borderId="30" xfId="0" applyNumberFormat="1" applyFill="1" applyBorder="1" applyAlignment="1">
      <alignment horizontal="center"/>
    </xf>
    <xf numFmtId="2" fontId="0" fillId="17" borderId="30" xfId="0" applyNumberFormat="1" applyFill="1" applyBorder="1" applyAlignment="1">
      <alignment horizontal="center"/>
    </xf>
    <xf numFmtId="2" fontId="0" fillId="0" borderId="15" xfId="0" applyNumberFormat="1" applyBorder="1" applyAlignment="1">
      <alignment horizontal="center"/>
    </xf>
    <xf numFmtId="2" fontId="0" fillId="17" borderId="0" xfId="0" applyNumberFormat="1" applyFill="1" applyAlignment="1">
      <alignment horizontal="center"/>
    </xf>
    <xf numFmtId="2" fontId="0" fillId="3" borderId="15" xfId="0" applyNumberFormat="1" applyFill="1" applyBorder="1" applyAlignment="1">
      <alignment horizontal="center"/>
    </xf>
    <xf numFmtId="2" fontId="0" fillId="17" borderId="15" xfId="0" applyNumberFormat="1" applyFill="1" applyBorder="1" applyAlignment="1">
      <alignment horizontal="center"/>
    </xf>
    <xf numFmtId="2" fontId="0" fillId="3" borderId="29" xfId="0" applyNumberFormat="1" applyFill="1" applyBorder="1" applyAlignment="1">
      <alignment horizontal="center"/>
    </xf>
    <xf numFmtId="2" fontId="0" fillId="3" borderId="17" xfId="0" applyNumberFormat="1" applyFill="1" applyBorder="1" applyAlignment="1">
      <alignment horizontal="center"/>
    </xf>
    <xf numFmtId="0" fontId="0" fillId="20" borderId="2" xfId="0" applyFill="1" applyBorder="1"/>
    <xf numFmtId="0" fontId="0" fillId="20" borderId="3" xfId="0" applyFill="1" applyBorder="1"/>
    <xf numFmtId="0" fontId="2" fillId="20" borderId="41" xfId="0" applyFont="1" applyFill="1" applyBorder="1" applyAlignment="1">
      <alignment horizontal="left"/>
    </xf>
    <xf numFmtId="0" fontId="0" fillId="20" borderId="13" xfId="0" applyFill="1" applyBorder="1" applyAlignment="1">
      <alignment horizontal="left"/>
    </xf>
    <xf numFmtId="0" fontId="0" fillId="20" borderId="14" xfId="0" applyFill="1" applyBorder="1" applyAlignment="1">
      <alignment horizontal="left"/>
    </xf>
    <xf numFmtId="0" fontId="2" fillId="20" borderId="13" xfId="0" applyFont="1" applyFill="1" applyBorder="1" applyAlignment="1">
      <alignment horizontal="left"/>
    </xf>
    <xf numFmtId="0" fontId="0" fillId="20" borderId="13" xfId="0" applyFill="1" applyBorder="1"/>
    <xf numFmtId="0" fontId="0" fillId="20" borderId="14" xfId="0" applyFill="1" applyBorder="1"/>
    <xf numFmtId="0" fontId="18" fillId="20" borderId="13" xfId="0" applyFont="1" applyFill="1" applyBorder="1" applyAlignment="1">
      <alignment horizontal="left"/>
    </xf>
    <xf numFmtId="0" fontId="19" fillId="20" borderId="13" xfId="0" applyFont="1" applyFill="1" applyBorder="1"/>
    <xf numFmtId="0" fontId="19" fillId="20" borderId="14" xfId="0" applyFont="1" applyFill="1" applyBorder="1"/>
    <xf numFmtId="0" fontId="12" fillId="20" borderId="41" xfId="0" applyFont="1" applyFill="1" applyBorder="1" applyAlignment="1">
      <alignment horizontal="left"/>
    </xf>
    <xf numFmtId="0" fontId="8" fillId="20" borderId="41" xfId="0" applyFont="1" applyFill="1" applyBorder="1" applyAlignment="1">
      <alignment horizontal="left"/>
    </xf>
    <xf numFmtId="0" fontId="0" fillId="20" borderId="13" xfId="0" applyFill="1" applyBorder="1" applyAlignment="1">
      <alignment horizontal="center"/>
    </xf>
    <xf numFmtId="0" fontId="0" fillId="20" borderId="51" xfId="0" applyFill="1" applyBorder="1"/>
    <xf numFmtId="0" fontId="12" fillId="20" borderId="41" xfId="0" applyFont="1" applyFill="1" applyBorder="1"/>
    <xf numFmtId="0" fontId="2" fillId="21" borderId="29" xfId="0" applyFont="1" applyFill="1" applyBorder="1" applyAlignment="1">
      <alignment horizontal="center"/>
    </xf>
    <xf numFmtId="0" fontId="2" fillId="21" borderId="17" xfId="0" applyFont="1" applyFill="1" applyBorder="1" applyAlignment="1">
      <alignment horizontal="center"/>
    </xf>
    <xf numFmtId="0" fontId="2" fillId="21" borderId="11" xfId="0" applyFont="1" applyFill="1" applyBorder="1" applyAlignment="1">
      <alignment horizontal="center"/>
    </xf>
    <xf numFmtId="0" fontId="2" fillId="21" borderId="4" xfId="0" applyFont="1" applyFill="1" applyBorder="1"/>
    <xf numFmtId="0" fontId="2" fillId="21" borderId="42" xfId="0" applyFont="1" applyFill="1" applyBorder="1" applyAlignment="1">
      <alignment horizontal="center"/>
    </xf>
    <xf numFmtId="0" fontId="2" fillId="21" borderId="38" xfId="0" applyFont="1" applyFill="1" applyBorder="1" applyAlignment="1">
      <alignment horizontal="center"/>
    </xf>
    <xf numFmtId="0" fontId="2" fillId="21" borderId="43" xfId="0" applyFont="1" applyFill="1" applyBorder="1" applyAlignment="1">
      <alignment horizontal="center"/>
    </xf>
    <xf numFmtId="0" fontId="12" fillId="22" borderId="29" xfId="0" applyFont="1" applyFill="1" applyBorder="1" applyAlignment="1">
      <alignment horizontal="center"/>
    </xf>
    <xf numFmtId="0" fontId="12" fillId="22" borderId="17" xfId="0" applyFont="1" applyFill="1" applyBorder="1" applyAlignment="1">
      <alignment horizontal="center"/>
    </xf>
    <xf numFmtId="0" fontId="8" fillId="22" borderId="17" xfId="0" applyFont="1" applyFill="1" applyBorder="1" applyAlignment="1">
      <alignment horizontal="center"/>
    </xf>
    <xf numFmtId="0" fontId="9" fillId="22" borderId="11" xfId="0" applyFont="1" applyFill="1" applyBorder="1" applyAlignment="1">
      <alignment horizontal="center"/>
    </xf>
    <xf numFmtId="0" fontId="2" fillId="21" borderId="54" xfId="0" applyFont="1" applyFill="1" applyBorder="1" applyAlignment="1">
      <alignment horizontal="center"/>
    </xf>
    <xf numFmtId="0" fontId="9" fillId="22" borderId="29" xfId="0" applyFont="1" applyFill="1" applyBorder="1" applyAlignment="1">
      <alignment horizontal="center"/>
    </xf>
    <xf numFmtId="0" fontId="2" fillId="21" borderId="17" xfId="0" applyFont="1" applyFill="1" applyBorder="1" applyAlignment="1">
      <alignment horizontal="center" vertical="center"/>
    </xf>
    <xf numFmtId="0" fontId="2" fillId="21" borderId="11" xfId="0" applyFont="1" applyFill="1" applyBorder="1" applyAlignment="1">
      <alignment horizontal="center" vertical="center"/>
    </xf>
    <xf numFmtId="0" fontId="2" fillId="21" borderId="18" xfId="0" applyFont="1" applyFill="1" applyBorder="1" applyAlignment="1">
      <alignment horizontal="center"/>
    </xf>
    <xf numFmtId="0" fontId="2" fillId="21" borderId="3" xfId="0" applyFont="1" applyFill="1" applyBorder="1" applyAlignment="1">
      <alignment horizontal="center"/>
    </xf>
    <xf numFmtId="0" fontId="2" fillId="18" borderId="41" xfId="0" applyFont="1" applyFill="1" applyBorder="1"/>
    <xf numFmtId="0" fontId="0" fillId="18" borderId="14" xfId="0" applyFill="1" applyBorder="1"/>
    <xf numFmtId="0" fontId="2" fillId="19" borderId="29" xfId="0" applyFont="1" applyFill="1" applyBorder="1" applyAlignment="1">
      <alignment horizontal="center"/>
    </xf>
    <xf numFmtId="0" fontId="0" fillId="7" borderId="1" xfId="0" applyFill="1" applyBorder="1"/>
    <xf numFmtId="0" fontId="0" fillId="20" borderId="19" xfId="0" applyFill="1" applyBorder="1"/>
    <xf numFmtId="0" fontId="2" fillId="20" borderId="30" xfId="0" applyFont="1" applyFill="1" applyBorder="1" applyAlignment="1">
      <alignment horizontal="center"/>
    </xf>
    <xf numFmtId="0" fontId="2" fillId="20" borderId="26" xfId="0" applyFont="1" applyFill="1" applyBorder="1" applyAlignment="1">
      <alignment horizontal="center"/>
    </xf>
    <xf numFmtId="0" fontId="2" fillId="20" borderId="4" xfId="0" applyFont="1" applyFill="1" applyBorder="1" applyAlignment="1">
      <alignment horizontal="center"/>
    </xf>
    <xf numFmtId="0" fontId="0" fillId="20" borderId="26" xfId="0" applyFill="1" applyBorder="1"/>
    <xf numFmtId="0" fontId="8" fillId="20" borderId="41" xfId="0" applyFont="1" applyFill="1" applyBorder="1"/>
    <xf numFmtId="0" fontId="8" fillId="22" borderId="29" xfId="0" applyFont="1" applyFill="1" applyBorder="1" applyAlignment="1">
      <alignment horizontal="center"/>
    </xf>
    <xf numFmtId="0" fontId="8" fillId="22" borderId="17" xfId="0" applyFont="1" applyFill="1" applyBorder="1" applyAlignment="1">
      <alignment horizontal="center" vertical="center"/>
    </xf>
    <xf numFmtId="0" fontId="8" fillId="22" borderId="11" xfId="0" applyFont="1" applyFill="1" applyBorder="1" applyAlignment="1">
      <alignment horizontal="center"/>
    </xf>
    <xf numFmtId="0" fontId="0" fillId="21" borderId="17" xfId="0" applyFill="1" applyBorder="1" applyAlignment="1">
      <alignment horizontal="center"/>
    </xf>
    <xf numFmtId="0" fontId="12" fillId="22" borderId="0" xfId="0" applyFont="1" applyFill="1" applyAlignment="1">
      <alignment horizontal="center"/>
    </xf>
    <xf numFmtId="0" fontId="2" fillId="21" borderId="0" xfId="0" applyFont="1" applyFill="1" applyAlignment="1">
      <alignment horizontal="center"/>
    </xf>
    <xf numFmtId="0" fontId="2" fillId="21" borderId="0" xfId="0" applyFont="1" applyFill="1" applyAlignment="1">
      <alignment horizontal="center" vertical="center"/>
    </xf>
    <xf numFmtId="0" fontId="9" fillId="22" borderId="7" xfId="0" applyFont="1" applyFill="1" applyBorder="1" applyAlignment="1">
      <alignment horizontal="center"/>
    </xf>
    <xf numFmtId="0" fontId="2" fillId="18" borderId="41" xfId="0" applyFont="1" applyFill="1" applyBorder="1" applyAlignment="1">
      <alignment horizontal="center"/>
    </xf>
    <xf numFmtId="0" fontId="0" fillId="18" borderId="13" xfId="0" applyFill="1" applyBorder="1"/>
    <xf numFmtId="0" fontId="0" fillId="19" borderId="57" xfId="0" applyFill="1" applyBorder="1"/>
    <xf numFmtId="0" fontId="2" fillId="19" borderId="9" xfId="0" applyFont="1" applyFill="1" applyBorder="1"/>
    <xf numFmtId="0" fontId="12" fillId="22" borderId="18" xfId="0" applyFont="1" applyFill="1" applyBorder="1" applyAlignment="1">
      <alignment horizontal="center"/>
    </xf>
    <xf numFmtId="0" fontId="12" fillId="22" borderId="30" xfId="0" applyFont="1" applyFill="1" applyBorder="1" applyAlignment="1">
      <alignment horizontal="center"/>
    </xf>
    <xf numFmtId="0" fontId="12" fillId="22" borderId="2" xfId="0" applyFont="1" applyFill="1" applyBorder="1" applyAlignment="1">
      <alignment horizontal="center"/>
    </xf>
    <xf numFmtId="0" fontId="12" fillId="22" borderId="3" xfId="0" applyFont="1" applyFill="1" applyBorder="1" applyAlignment="1">
      <alignment horizontal="center"/>
    </xf>
    <xf numFmtId="0" fontId="2" fillId="10" borderId="9" xfId="0" applyFont="1" applyFill="1" applyBorder="1" applyAlignment="1">
      <alignment horizontal="center"/>
    </xf>
    <xf numFmtId="0" fontId="15" fillId="20" borderId="13" xfId="0" applyFont="1" applyFill="1" applyBorder="1"/>
    <xf numFmtId="164" fontId="0" fillId="17" borderId="0" xfId="0" applyNumberFormat="1" applyFill="1" applyAlignment="1">
      <alignment horizontal="center"/>
    </xf>
    <xf numFmtId="0" fontId="12" fillId="22" borderId="9" xfId="0" applyFont="1" applyFill="1" applyBorder="1" applyAlignment="1">
      <alignment horizontal="center"/>
    </xf>
    <xf numFmtId="0" fontId="8" fillId="22" borderId="12" xfId="0" applyFont="1" applyFill="1" applyBorder="1" applyAlignment="1">
      <alignment horizontal="center"/>
    </xf>
    <xf numFmtId="0" fontId="2" fillId="20" borderId="41" xfId="0" applyFont="1" applyFill="1" applyBorder="1"/>
    <xf numFmtId="0" fontId="2" fillId="20" borderId="13" xfId="0" applyFont="1" applyFill="1" applyBorder="1"/>
    <xf numFmtId="0" fontId="2" fillId="21" borderId="9" xfId="0" applyFont="1" applyFill="1" applyBorder="1" applyAlignment="1">
      <alignment horizontal="center"/>
    </xf>
    <xf numFmtId="0" fontId="2" fillId="21" borderId="58" xfId="0" applyFont="1" applyFill="1" applyBorder="1" applyAlignment="1">
      <alignment horizontal="center"/>
    </xf>
    <xf numFmtId="0" fontId="2" fillId="21" borderId="27" xfId="0" applyFont="1" applyFill="1" applyBorder="1" applyAlignment="1">
      <alignment horizontal="center"/>
    </xf>
    <xf numFmtId="0" fontId="2" fillId="21" borderId="55" xfId="0" applyFont="1" applyFill="1" applyBorder="1" applyAlignment="1">
      <alignment horizontal="center"/>
    </xf>
    <xf numFmtId="0" fontId="2" fillId="21" borderId="40" xfId="0" applyFont="1" applyFill="1" applyBorder="1" applyAlignment="1">
      <alignment horizontal="center"/>
    </xf>
    <xf numFmtId="0" fontId="0" fillId="0" borderId="37" xfId="0" applyBorder="1" applyAlignment="1">
      <alignment horizontal="left"/>
    </xf>
    <xf numFmtId="0" fontId="12" fillId="22" borderId="42" xfId="0" applyFont="1" applyFill="1" applyBorder="1" applyAlignment="1">
      <alignment horizontal="center"/>
    </xf>
    <xf numFmtId="11" fontId="0" fillId="0" borderId="59" xfId="0" applyNumberFormat="1" applyBorder="1"/>
    <xf numFmtId="0" fontId="0" fillId="0" borderId="4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60" xfId="0" applyBorder="1"/>
    <xf numFmtId="0" fontId="0" fillId="0" borderId="59" xfId="0" applyBorder="1"/>
    <xf numFmtId="11" fontId="0" fillId="0" borderId="34" xfId="0" applyNumberFormat="1" applyBorder="1" applyAlignment="1">
      <alignment horizontal="center"/>
    </xf>
    <xf numFmtId="0" fontId="0" fillId="0" borderId="60" xfId="0" applyBorder="1" applyAlignment="1">
      <alignment horizontal="center"/>
    </xf>
    <xf numFmtId="11" fontId="0" fillId="0" borderId="15" xfId="0" applyNumberFormat="1" applyBorder="1" applyAlignment="1">
      <alignment horizontal="center"/>
    </xf>
    <xf numFmtId="0" fontId="0" fillId="0" borderId="52" xfId="0" applyBorder="1" applyAlignment="1">
      <alignment horizontal="center"/>
    </xf>
    <xf numFmtId="11" fontId="0" fillId="0" borderId="52" xfId="0" applyNumberFormat="1" applyBorder="1" applyAlignment="1">
      <alignment horizontal="center"/>
    </xf>
    <xf numFmtId="11" fontId="0" fillId="0" borderId="29" xfId="0" applyNumberFormat="1" applyBorder="1" applyAlignment="1">
      <alignment horizontal="center"/>
    </xf>
    <xf numFmtId="0" fontId="0" fillId="0" borderId="58" xfId="0" applyBorder="1" applyAlignment="1">
      <alignment horizontal="center"/>
    </xf>
    <xf numFmtId="0" fontId="0" fillId="0" borderId="58" xfId="0" applyBorder="1"/>
    <xf numFmtId="11" fontId="0" fillId="0" borderId="59" xfId="0" applyNumberFormat="1" applyBorder="1" applyAlignment="1">
      <alignment horizontal="center"/>
    </xf>
    <xf numFmtId="0" fontId="0" fillId="0" borderId="59" xfId="0" applyBorder="1" applyAlignment="1">
      <alignment horizontal="center"/>
    </xf>
    <xf numFmtId="11" fontId="0" fillId="0" borderId="37" xfId="0" applyNumberFormat="1" applyBorder="1" applyAlignment="1">
      <alignment horizontal="center"/>
    </xf>
    <xf numFmtId="0" fontId="0" fillId="0" borderId="55" xfId="0" applyBorder="1" applyAlignment="1">
      <alignment horizontal="center"/>
    </xf>
    <xf numFmtId="11" fontId="0" fillId="0" borderId="58" xfId="0" applyNumberFormat="1" applyBorder="1" applyAlignment="1">
      <alignment horizontal="center"/>
    </xf>
    <xf numFmtId="0" fontId="2" fillId="0" borderId="15" xfId="0" applyFont="1" applyBorder="1" applyAlignment="1">
      <alignment horizontal="center"/>
    </xf>
    <xf numFmtId="11" fontId="0" fillId="0" borderId="55" xfId="0" applyNumberFormat="1" applyBorder="1" applyAlignment="1">
      <alignment horizontal="center"/>
    </xf>
    <xf numFmtId="11" fontId="0" fillId="0" borderId="30" xfId="0" applyNumberFormat="1" applyBorder="1" applyAlignment="1">
      <alignment horizontal="center"/>
    </xf>
    <xf numFmtId="11" fontId="0" fillId="0" borderId="55" xfId="0" applyNumberFormat="1" applyBorder="1"/>
    <xf numFmtId="11" fontId="0" fillId="0" borderId="58" xfId="0" applyNumberFormat="1" applyBorder="1"/>
    <xf numFmtId="11" fontId="0" fillId="0" borderId="11" xfId="0" applyNumberFormat="1" applyBorder="1"/>
    <xf numFmtId="164" fontId="0" fillId="0" borderId="52" xfId="0" applyNumberFormat="1" applyBorder="1"/>
    <xf numFmtId="164" fontId="0" fillId="0" borderId="0" xfId="0" applyNumberFormat="1"/>
    <xf numFmtId="164" fontId="0" fillId="0" borderId="58" xfId="0" applyNumberFormat="1" applyBorder="1"/>
    <xf numFmtId="0" fontId="10" fillId="6" borderId="0" xfId="0" applyFont="1" applyFill="1"/>
    <xf numFmtId="0" fontId="0" fillId="0" borderId="0" xfId="0"/>
    <xf numFmtId="0" fontId="2" fillId="19" borderId="56" xfId="0" applyFont="1" applyFill="1" applyBorder="1" applyAlignment="1">
      <alignment horizontal="center"/>
    </xf>
    <xf numFmtId="0" fontId="2" fillId="19" borderId="21" xfId="0" applyFont="1" applyFill="1" applyBorder="1" applyAlignment="1">
      <alignment horizontal="center"/>
    </xf>
    <xf numFmtId="0" fontId="2" fillId="19" borderId="22" xfId="0" applyFont="1" applyFill="1" applyBorder="1" applyAlignment="1">
      <alignment horizontal="center"/>
    </xf>
    <xf numFmtId="0" fontId="2" fillId="10" borderId="9" xfId="0" applyFont="1" applyFill="1" applyBorder="1" applyAlignment="1">
      <alignment horizontal="center" vertical="center"/>
    </xf>
    <xf numFmtId="0" fontId="0" fillId="0" borderId="5" xfId="0" applyBorder="1"/>
    <xf numFmtId="0" fontId="0" fillId="0" borderId="9" xfId="0" applyBorder="1"/>
    <xf numFmtId="0" fontId="0" fillId="5" borderId="0" xfId="0" applyFill="1" applyAlignment="1">
      <alignment horizontal="center"/>
    </xf>
    <xf numFmtId="0" fontId="2" fillId="19" borderId="53" xfId="0" applyFont="1" applyFill="1" applyBorder="1" applyAlignment="1">
      <alignment horizontal="center"/>
    </xf>
    <xf numFmtId="11" fontId="0" fillId="0" borderId="22" xfId="0" applyNumberFormat="1" applyBorder="1" applyAlignment="1">
      <alignment horizontal="center" vertical="center"/>
    </xf>
    <xf numFmtId="0" fontId="0" fillId="0" borderId="7" xfId="0" applyBorder="1"/>
    <xf numFmtId="0" fontId="0" fillId="0" borderId="22" xfId="0" applyBorder="1"/>
    <xf numFmtId="0" fontId="2" fillId="4" borderId="9" xfId="0" applyFont="1" applyFill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2" fillId="4" borderId="20" xfId="0" applyFont="1" applyFill="1" applyBorder="1" applyAlignment="1">
      <alignment horizontal="center" vertical="center"/>
    </xf>
    <xf numFmtId="0" fontId="0" fillId="0" borderId="20" xfId="0" applyBorder="1"/>
    <xf numFmtId="0" fontId="10" fillId="9" borderId="0" xfId="0" applyFont="1" applyFill="1"/>
    <xf numFmtId="0" fontId="2" fillId="14" borderId="47" xfId="0" applyFont="1" applyFill="1" applyBorder="1" applyAlignment="1">
      <alignment horizontal="left"/>
    </xf>
    <xf numFmtId="0" fontId="0" fillId="0" borderId="30" xfId="0" applyBorder="1"/>
    <xf numFmtId="0" fontId="0" fillId="0" borderId="26" xfId="0" applyBorder="1"/>
    <xf numFmtId="0" fontId="2" fillId="8" borderId="46" xfId="0" applyFont="1" applyFill="1" applyBorder="1" applyAlignment="1">
      <alignment horizontal="center"/>
    </xf>
    <xf numFmtId="0" fontId="0" fillId="0" borderId="24" xfId="0" applyBorder="1"/>
    <xf numFmtId="0" fontId="0" fillId="0" borderId="25" xfId="0" applyBorder="1"/>
    <xf numFmtId="0" fontId="2" fillId="8" borderId="31" xfId="0" applyFont="1" applyFill="1" applyBorder="1" applyAlignment="1">
      <alignment horizontal="center"/>
    </xf>
    <xf numFmtId="0" fontId="0" fillId="0" borderId="13" xfId="0" applyBorder="1"/>
    <xf numFmtId="0" fontId="0" fillId="0" borderId="14" xfId="0" applyBorder="1"/>
    <xf numFmtId="0" fontId="2" fillId="4" borderId="33" xfId="0" applyFont="1" applyFill="1" applyBorder="1" applyAlignment="1">
      <alignment horizontal="center" vertical="center"/>
    </xf>
    <xf numFmtId="0" fontId="0" fillId="0" borderId="15" xfId="0" applyBorder="1"/>
    <xf numFmtId="0" fontId="2" fillId="14" borderId="41" xfId="0" applyFont="1" applyFill="1" applyBorder="1" applyAlignment="1">
      <alignment horizontal="left"/>
    </xf>
    <xf numFmtId="0" fontId="2" fillId="0" borderId="17" xfId="0" applyFont="1" applyBorder="1" applyAlignment="1">
      <alignment horizontal="center"/>
    </xf>
    <xf numFmtId="0" fontId="0" fillId="0" borderId="17" xfId="0" applyBorder="1"/>
    <xf numFmtId="11" fontId="0" fillId="0" borderId="7" xfId="0" applyNumberFormat="1" applyBorder="1" applyAlignment="1">
      <alignment horizontal="center" vertical="center"/>
    </xf>
    <xf numFmtId="0" fontId="2" fillId="4" borderId="32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11" fontId="0" fillId="0" borderId="15" xfId="0" applyNumberFormat="1" applyBorder="1" applyAlignment="1">
      <alignment horizontal="center" vertical="center" wrapText="1"/>
    </xf>
    <xf numFmtId="0" fontId="16" fillId="20" borderId="18" xfId="0" applyFont="1" applyFill="1" applyBorder="1" applyAlignment="1">
      <alignment horizontal="left"/>
    </xf>
    <xf numFmtId="0" fontId="0" fillId="20" borderId="2" xfId="0" applyFill="1" applyBorder="1"/>
    <xf numFmtId="0" fontId="11" fillId="6" borderId="0" xfId="0" applyFont="1" applyFill="1"/>
    <xf numFmtId="0" fontId="2" fillId="20" borderId="18" xfId="0" applyFont="1" applyFill="1" applyBorder="1" applyAlignment="1">
      <alignment horizontal="left"/>
    </xf>
    <xf numFmtId="0" fontId="2" fillId="19" borderId="23" xfId="0" applyFont="1" applyFill="1" applyBorder="1" applyAlignment="1">
      <alignment horizontal="center"/>
    </xf>
    <xf numFmtId="0" fontId="2" fillId="19" borderId="24" xfId="0" applyFont="1" applyFill="1" applyBorder="1" applyAlignment="1">
      <alignment horizontal="center"/>
    </xf>
    <xf numFmtId="0" fontId="2" fillId="19" borderId="49" xfId="0" applyFont="1" applyFill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mruColors>
      <color rgb="FFB4C6E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none" strike="noStrike" kern="1200" spc="0" baseline="0">
                <a:solidFill>
                  <a:sysClr val="windowText" lastClr="000000"/>
                </a:solidFill>
              </a:rPr>
              <a:t>FLOWN Mass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FLOWN!$A$63</c:f>
              <c:strCache>
                <c:ptCount val="1"/>
                <c:pt idx="0">
                  <c:v>Refrigerator/Freezer</c:v>
                </c:pt>
              </c:strCache>
            </c:strRef>
          </c:tx>
          <c:spPr>
            <a:solidFill>
              <a:schemeClr val="accent5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FLOWN!$B$62:$E$62</c:f>
              <c:strCache>
                <c:ptCount val="4"/>
                <c:pt idx="0">
                  <c:v>System</c:v>
                </c:pt>
                <c:pt idx="1">
                  <c:v>Input</c:v>
                </c:pt>
                <c:pt idx="2">
                  <c:v>Output</c:v>
                </c:pt>
                <c:pt idx="3">
                  <c:v>Waste</c:v>
                </c:pt>
              </c:strCache>
            </c:strRef>
          </c:cat>
          <c:val>
            <c:numRef>
              <c:f>FLOWN!$B$63:$E$63</c:f>
              <c:numCache>
                <c:formatCode>General</c:formatCode>
                <c:ptCount val="4"/>
                <c:pt idx="0">
                  <c:v>412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5191-4A2B-BA2F-7434CC4E992B}"/>
            </c:ext>
          </c:extLst>
        </c:ser>
        <c:ser>
          <c:idx val="1"/>
          <c:order val="1"/>
          <c:tx>
            <c:strRef>
              <c:f>FLOWN!$A$64</c:f>
              <c:strCache>
                <c:ptCount val="1"/>
                <c:pt idx="0">
                  <c:v>Injection Pens (packaged)</c:v>
                </c:pt>
              </c:strCache>
            </c:strRef>
          </c:tx>
          <c:spPr>
            <a:solidFill>
              <a:schemeClr val="accent2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FLOWN!$B$62:$E$62</c:f>
              <c:strCache>
                <c:ptCount val="4"/>
                <c:pt idx="0">
                  <c:v>System</c:v>
                </c:pt>
                <c:pt idx="1">
                  <c:v>Input</c:v>
                </c:pt>
                <c:pt idx="2">
                  <c:v>Output</c:v>
                </c:pt>
                <c:pt idx="3">
                  <c:v>Waste</c:v>
                </c:pt>
              </c:strCache>
            </c:strRef>
          </c:cat>
          <c:val>
            <c:numRef>
              <c:f>FLOWN!$B$64:$E$64</c:f>
              <c:numCache>
                <c:formatCode>0.000</c:formatCode>
                <c:ptCount val="4"/>
                <c:pt idx="1">
                  <c:v>66.816000000000003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5191-4A2B-BA2F-7434CC4E992B}"/>
            </c:ext>
          </c:extLst>
        </c:ser>
        <c:ser>
          <c:idx val="2"/>
          <c:order val="2"/>
          <c:tx>
            <c:strRef>
              <c:f>FLOWN!$A$65</c:f>
              <c:strCache>
                <c:ptCount val="1"/>
                <c:pt idx="0">
                  <c:v>Used Injection Pens</c:v>
                </c:pt>
              </c:strCache>
            </c:strRef>
          </c:tx>
          <c:spPr>
            <a:solidFill>
              <a:schemeClr val="accent5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FLOWN!$B$62:$E$62</c:f>
              <c:strCache>
                <c:ptCount val="4"/>
                <c:pt idx="0">
                  <c:v>System</c:v>
                </c:pt>
                <c:pt idx="1">
                  <c:v>Input</c:v>
                </c:pt>
                <c:pt idx="2">
                  <c:v>Output</c:v>
                </c:pt>
                <c:pt idx="3">
                  <c:v>Waste</c:v>
                </c:pt>
              </c:strCache>
            </c:strRef>
          </c:cat>
          <c:val>
            <c:numRef>
              <c:f>FLOWN!$B$65:$E$65</c:f>
              <c:numCache>
                <c:formatCode>General</c:formatCode>
                <c:ptCount val="4"/>
                <c:pt idx="3" formatCode="0.000">
                  <c:v>26.88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5191-4A2B-BA2F-7434CC4E992B}"/>
            </c:ext>
          </c:extLst>
        </c:ser>
        <c:ser>
          <c:idx val="3"/>
          <c:order val="3"/>
          <c:tx>
            <c:strRef>
              <c:f>FLOWN!$A$66</c:f>
              <c:strCache>
                <c:ptCount val="1"/>
                <c:pt idx="0">
                  <c:v>Waste Packaging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FLOWN!$B$62:$E$62</c:f>
              <c:strCache>
                <c:ptCount val="4"/>
                <c:pt idx="0">
                  <c:v>System</c:v>
                </c:pt>
                <c:pt idx="1">
                  <c:v>Input</c:v>
                </c:pt>
                <c:pt idx="2">
                  <c:v>Output</c:v>
                </c:pt>
                <c:pt idx="3">
                  <c:v>Waste</c:v>
                </c:pt>
              </c:strCache>
            </c:strRef>
          </c:cat>
          <c:val>
            <c:numRef>
              <c:f>FLOWN!$B$66:$E$66</c:f>
              <c:numCache>
                <c:formatCode>General</c:formatCode>
                <c:ptCount val="4"/>
                <c:pt idx="3" formatCode="0.000">
                  <c:v>39.936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5191-4A2B-BA2F-7434CC4E99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0"/>
        <c:overlap val="100"/>
        <c:axId val="312382031"/>
        <c:axId val="312385871"/>
      </c:barChart>
      <c:catAx>
        <c:axId val="3123820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2385871"/>
        <c:crosses val="autoZero"/>
        <c:auto val="1"/>
        <c:lblAlgn val="ctr"/>
        <c:lblOffset val="100"/>
        <c:noMultiLvlLbl val="0"/>
      </c:catAx>
      <c:valAx>
        <c:axId val="312385871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1" i="0" u="none" strike="noStrike" kern="1200" baseline="0">
                    <a:solidFill>
                      <a:sysClr val="windowText" lastClr="000000"/>
                    </a:solidFill>
                  </a:rPr>
                  <a:t>Mass (kg/CM/Mission)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#,##0" sourceLinked="0"/>
        <c:majorTickMark val="out"/>
        <c:minorTickMark val="none"/>
        <c:tickLblPos val="nextTo"/>
        <c:spPr>
          <a:noFill/>
          <a:ln w="9525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2382031"/>
        <c:crosses val="autoZero"/>
        <c:crossBetween val="between"/>
      </c:valAx>
      <c:spPr>
        <a:ln>
          <a:solidFill>
            <a:schemeClr val="tx1"/>
          </a:solidFill>
        </a:ln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2"/>
      </a:solidFill>
      <a:round/>
    </a:ln>
    <a:effectLst/>
  </c:spPr>
  <c:txPr>
    <a:bodyPr/>
    <a:lstStyle/>
    <a:p>
      <a:pPr>
        <a:defRPr sz="1000" b="1"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none" strike="noStrike" kern="1200" spc="0" baseline="0">
                <a:solidFill>
                  <a:schemeClr val="tx1"/>
                </a:solidFill>
              </a:rPr>
              <a:t>FLOWN Volume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FLOWN!$A$63</c:f>
              <c:strCache>
                <c:ptCount val="1"/>
                <c:pt idx="0">
                  <c:v>Refrigerator/Freezer</c:v>
                </c:pt>
              </c:strCache>
            </c:strRef>
          </c:tx>
          <c:spPr>
            <a:solidFill>
              <a:schemeClr val="accent5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FLOWN!$F$62:$I$62</c:f>
              <c:strCache>
                <c:ptCount val="4"/>
                <c:pt idx="0">
                  <c:v>System</c:v>
                </c:pt>
                <c:pt idx="1">
                  <c:v>Input</c:v>
                </c:pt>
                <c:pt idx="2">
                  <c:v>Output</c:v>
                </c:pt>
                <c:pt idx="3">
                  <c:v>Waste</c:v>
                </c:pt>
              </c:strCache>
            </c:strRef>
          </c:cat>
          <c:val>
            <c:numRef>
              <c:f>FLOWN!$F$63:$I$63</c:f>
              <c:numCache>
                <c:formatCode>General</c:formatCode>
                <c:ptCount val="4"/>
                <c:pt idx="0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88C-44CC-B575-80F181E638A9}"/>
            </c:ext>
          </c:extLst>
        </c:ser>
        <c:ser>
          <c:idx val="1"/>
          <c:order val="1"/>
          <c:tx>
            <c:strRef>
              <c:f>FLOWN!$A$64</c:f>
              <c:strCache>
                <c:ptCount val="1"/>
                <c:pt idx="0">
                  <c:v>Injection Pens (packaged)</c:v>
                </c:pt>
              </c:strCache>
            </c:strRef>
          </c:tx>
          <c:spPr>
            <a:solidFill>
              <a:schemeClr val="accent2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FLOWN!$F$62:$I$62</c:f>
              <c:strCache>
                <c:ptCount val="4"/>
                <c:pt idx="0">
                  <c:v>System</c:v>
                </c:pt>
                <c:pt idx="1">
                  <c:v>Input</c:v>
                </c:pt>
                <c:pt idx="2">
                  <c:v>Output</c:v>
                </c:pt>
                <c:pt idx="3">
                  <c:v>Waste</c:v>
                </c:pt>
              </c:strCache>
            </c:strRef>
          </c:cat>
          <c:val>
            <c:numRef>
              <c:f>FLOWN!$F$64:$I$64</c:f>
              <c:numCache>
                <c:formatCode>0.000</c:formatCode>
                <c:ptCount val="4"/>
                <c:pt idx="1">
                  <c:v>0.37755648000000003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88C-44CC-B575-80F181E638A9}"/>
            </c:ext>
          </c:extLst>
        </c:ser>
        <c:ser>
          <c:idx val="2"/>
          <c:order val="2"/>
          <c:tx>
            <c:strRef>
              <c:f>FLOWN!$A$65</c:f>
              <c:strCache>
                <c:ptCount val="1"/>
                <c:pt idx="0">
                  <c:v>Used Injection Pens</c:v>
                </c:pt>
              </c:strCache>
            </c:strRef>
          </c:tx>
          <c:spPr>
            <a:solidFill>
              <a:schemeClr val="accent5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FLOWN!$F$62:$I$62</c:f>
              <c:strCache>
                <c:ptCount val="4"/>
                <c:pt idx="0">
                  <c:v>System</c:v>
                </c:pt>
                <c:pt idx="1">
                  <c:v>Input</c:v>
                </c:pt>
                <c:pt idx="2">
                  <c:v>Output</c:v>
                </c:pt>
                <c:pt idx="3">
                  <c:v>Waste</c:v>
                </c:pt>
              </c:strCache>
            </c:strRef>
          </c:cat>
          <c:val>
            <c:numRef>
              <c:f>FLOWN!$F$65:$I$65</c:f>
              <c:numCache>
                <c:formatCode>General</c:formatCode>
                <c:ptCount val="4"/>
                <c:pt idx="3" formatCode="0.000">
                  <c:v>2.0136424243200002E-2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988C-44CC-B575-80F181E638A9}"/>
            </c:ext>
          </c:extLst>
        </c:ser>
        <c:ser>
          <c:idx val="3"/>
          <c:order val="3"/>
          <c:tx>
            <c:strRef>
              <c:f>FLOWN!$A$66</c:f>
              <c:strCache>
                <c:ptCount val="1"/>
                <c:pt idx="0">
                  <c:v>Waste Packaging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FLOWN!$F$62:$I$62</c:f>
              <c:strCache>
                <c:ptCount val="4"/>
                <c:pt idx="0">
                  <c:v>System</c:v>
                </c:pt>
                <c:pt idx="1">
                  <c:v>Input</c:v>
                </c:pt>
                <c:pt idx="2">
                  <c:v>Output</c:v>
                </c:pt>
                <c:pt idx="3">
                  <c:v>Waste</c:v>
                </c:pt>
              </c:strCache>
            </c:strRef>
          </c:cat>
          <c:val>
            <c:numRef>
              <c:f>FLOWN!$F$66:$I$66</c:f>
              <c:numCache>
                <c:formatCode>General</c:formatCode>
                <c:ptCount val="4"/>
                <c:pt idx="3" formatCode="0.000">
                  <c:v>0.11326738636799999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988C-44CC-B575-80F181E638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0"/>
        <c:overlap val="100"/>
        <c:axId val="312382031"/>
        <c:axId val="312385871"/>
      </c:barChart>
      <c:catAx>
        <c:axId val="3123820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2385871"/>
        <c:crosses val="autoZero"/>
        <c:auto val="1"/>
        <c:lblAlgn val="ctr"/>
        <c:lblOffset val="100"/>
        <c:noMultiLvlLbl val="0"/>
      </c:catAx>
      <c:valAx>
        <c:axId val="312385871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1" i="0" u="none" strike="noStrike" kern="1200" baseline="0">
                    <a:solidFill>
                      <a:schemeClr val="tx1"/>
                    </a:solidFill>
                  </a:rPr>
                  <a:t>Volume (m</a:t>
                </a:r>
                <a:r>
                  <a:rPr lang="en-US" sz="1000" b="1" i="0" u="none" strike="noStrike" kern="1200" baseline="30000">
                    <a:solidFill>
                      <a:schemeClr val="tx1"/>
                    </a:solidFill>
                  </a:rPr>
                  <a:t>3</a:t>
                </a:r>
                <a:r>
                  <a:rPr lang="en-US" sz="1000" b="1" i="0" u="none" strike="noStrike" kern="1200" baseline="0">
                    <a:solidFill>
                      <a:schemeClr val="tx1"/>
                    </a:solidFill>
                  </a:rPr>
                  <a:t>/CM/Mission)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#,##0.0" sourceLinked="0"/>
        <c:majorTickMark val="out"/>
        <c:minorTickMark val="none"/>
        <c:tickLblPos val="nextTo"/>
        <c:spPr>
          <a:noFill/>
          <a:ln w="9525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2382031"/>
        <c:crosses val="autoZero"/>
        <c:crossBetween val="between"/>
      </c:valAx>
      <c:spPr>
        <a:ln>
          <a:solidFill>
            <a:schemeClr val="tx1"/>
          </a:solidFill>
        </a:ln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2"/>
      </a:solidFill>
      <a:round/>
    </a:ln>
    <a:effectLst/>
  </c:spPr>
  <c:txPr>
    <a:bodyPr/>
    <a:lstStyle/>
    <a:p>
      <a:pPr>
        <a:defRPr sz="1000" b="1"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none" strike="noStrike" kern="1200" spc="0" baseline="0">
                <a:solidFill>
                  <a:schemeClr val="tx1"/>
                </a:solidFill>
              </a:rPr>
              <a:t>FLOWN Power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FLOWN!$A$63</c:f>
              <c:strCache>
                <c:ptCount val="1"/>
                <c:pt idx="0">
                  <c:v>Refrigerator/Freezer</c:v>
                </c:pt>
              </c:strCache>
            </c:strRef>
          </c:tx>
          <c:spPr>
            <a:solidFill>
              <a:schemeClr val="accent5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FLOWN!$J$62:$M$62</c:f>
              <c:strCache>
                <c:ptCount val="4"/>
                <c:pt idx="0">
                  <c:v>System</c:v>
                </c:pt>
                <c:pt idx="1">
                  <c:v>Input</c:v>
                </c:pt>
                <c:pt idx="2">
                  <c:v>Output</c:v>
                </c:pt>
                <c:pt idx="3">
                  <c:v>Waste</c:v>
                </c:pt>
              </c:strCache>
            </c:strRef>
          </c:cat>
          <c:val>
            <c:numRef>
              <c:f>FLOWN!$J$63:$M$63</c:f>
              <c:numCache>
                <c:formatCode>General</c:formatCode>
                <c:ptCount val="4"/>
                <c:pt idx="0">
                  <c:v>0.20499999999999999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88C-44CC-B575-80F181E638A9}"/>
            </c:ext>
          </c:extLst>
        </c:ser>
        <c:ser>
          <c:idx val="1"/>
          <c:order val="1"/>
          <c:tx>
            <c:strRef>
              <c:f>FLOWN!$A$64</c:f>
              <c:strCache>
                <c:ptCount val="1"/>
                <c:pt idx="0">
                  <c:v>Injection Pens (packaged)</c:v>
                </c:pt>
              </c:strCache>
            </c:strRef>
          </c:tx>
          <c:spPr>
            <a:solidFill>
              <a:schemeClr val="accent2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FLOWN!$J$62:$M$62</c:f>
              <c:strCache>
                <c:ptCount val="4"/>
                <c:pt idx="0">
                  <c:v>System</c:v>
                </c:pt>
                <c:pt idx="1">
                  <c:v>Input</c:v>
                </c:pt>
                <c:pt idx="2">
                  <c:v>Output</c:v>
                </c:pt>
                <c:pt idx="3">
                  <c:v>Waste</c:v>
                </c:pt>
              </c:strCache>
            </c:strRef>
          </c:cat>
          <c:val>
            <c:numRef>
              <c:f>FLOWN!$J$64:$M$64</c:f>
              <c:numCache>
                <c:formatCode>General</c:formatCode>
                <c:ptCount val="4"/>
              </c:numCache>
            </c:numRef>
          </c:val>
          <c:extLst>
            <c:ext xmlns:c16="http://schemas.microsoft.com/office/drawing/2014/chart" uri="{C3380CC4-5D6E-409C-BE32-E72D297353CC}">
              <c16:uniqueId val="{00000003-988C-44CC-B575-80F181E638A9}"/>
            </c:ext>
          </c:extLst>
        </c:ser>
        <c:ser>
          <c:idx val="2"/>
          <c:order val="2"/>
          <c:tx>
            <c:strRef>
              <c:f>FLOWN!$A$65</c:f>
              <c:strCache>
                <c:ptCount val="1"/>
                <c:pt idx="0">
                  <c:v>Used Injection Pens</c:v>
                </c:pt>
              </c:strCache>
            </c:strRef>
          </c:tx>
          <c:spPr>
            <a:solidFill>
              <a:schemeClr val="accent5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FLOWN!$J$62:$M$62</c:f>
              <c:strCache>
                <c:ptCount val="4"/>
                <c:pt idx="0">
                  <c:v>System</c:v>
                </c:pt>
                <c:pt idx="1">
                  <c:v>Input</c:v>
                </c:pt>
                <c:pt idx="2">
                  <c:v>Output</c:v>
                </c:pt>
                <c:pt idx="3">
                  <c:v>Waste</c:v>
                </c:pt>
              </c:strCache>
            </c:strRef>
          </c:cat>
          <c:val>
            <c:numRef>
              <c:f>FLOWN!$J$65:$M$65</c:f>
              <c:numCache>
                <c:formatCode>General</c:formatCode>
                <c:ptCount val="4"/>
              </c:numCache>
            </c:numRef>
          </c:val>
          <c:extLst>
            <c:ext xmlns:c16="http://schemas.microsoft.com/office/drawing/2014/chart" uri="{C3380CC4-5D6E-409C-BE32-E72D297353CC}">
              <c16:uniqueId val="{00000005-988C-44CC-B575-80F181E638A9}"/>
            </c:ext>
          </c:extLst>
        </c:ser>
        <c:ser>
          <c:idx val="3"/>
          <c:order val="3"/>
          <c:tx>
            <c:strRef>
              <c:f>FLOWN!$A$66</c:f>
              <c:strCache>
                <c:ptCount val="1"/>
                <c:pt idx="0">
                  <c:v>Waste Packaging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FLOWN!$J$62:$M$62</c:f>
              <c:strCache>
                <c:ptCount val="4"/>
                <c:pt idx="0">
                  <c:v>System</c:v>
                </c:pt>
                <c:pt idx="1">
                  <c:v>Input</c:v>
                </c:pt>
                <c:pt idx="2">
                  <c:v>Output</c:v>
                </c:pt>
                <c:pt idx="3">
                  <c:v>Waste</c:v>
                </c:pt>
              </c:strCache>
            </c:strRef>
          </c:cat>
          <c:val>
            <c:numRef>
              <c:f>FLOWN!$J$66:$M$66</c:f>
              <c:numCache>
                <c:formatCode>General</c:formatCode>
                <c:ptCount val="4"/>
              </c:numCache>
            </c:numRef>
          </c:val>
          <c:extLst>
            <c:ext xmlns:c16="http://schemas.microsoft.com/office/drawing/2014/chart" uri="{C3380CC4-5D6E-409C-BE32-E72D297353CC}">
              <c16:uniqueId val="{00000007-988C-44CC-B575-80F181E638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0"/>
        <c:overlap val="100"/>
        <c:axId val="312382031"/>
        <c:axId val="312385871"/>
      </c:barChart>
      <c:catAx>
        <c:axId val="3123820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2385871"/>
        <c:crosses val="autoZero"/>
        <c:auto val="1"/>
        <c:lblAlgn val="ctr"/>
        <c:lblOffset val="100"/>
        <c:noMultiLvlLbl val="0"/>
      </c:catAx>
      <c:valAx>
        <c:axId val="312385871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1" i="0" u="none" strike="noStrike" kern="1200" baseline="0">
                    <a:solidFill>
                      <a:schemeClr val="tx1"/>
                    </a:solidFill>
                  </a:rPr>
                  <a:t>Power (kW/CM/Mission) 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#,##0.00" sourceLinked="0"/>
        <c:majorTickMark val="out"/>
        <c:minorTickMark val="none"/>
        <c:tickLblPos val="nextTo"/>
        <c:spPr>
          <a:noFill/>
          <a:ln w="9525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2382031"/>
        <c:crosses val="autoZero"/>
        <c:crossBetween val="between"/>
      </c:valAx>
      <c:spPr>
        <a:ln>
          <a:solidFill>
            <a:schemeClr val="tx1"/>
          </a:solidFill>
        </a:ln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2"/>
      </a:solidFill>
      <a:round/>
    </a:ln>
    <a:effectLst/>
  </c:spPr>
  <c:txPr>
    <a:bodyPr/>
    <a:lstStyle/>
    <a:p>
      <a:pPr>
        <a:defRPr sz="1000" b="1"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sz="1400"/>
              <a:t>TRANSGENIC</a:t>
            </a:r>
            <a:r>
              <a:rPr lang="en-US" sz="1400" baseline="0"/>
              <a:t> - LETTUCE Mass</a:t>
            </a:r>
            <a:endParaRPr lang="en-US" sz="1400"/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'TRANSGENIC-LETTUCE'!$A$86</c:f>
              <c:strCache>
                <c:ptCount val="1"/>
                <c:pt idx="0">
                  <c:v>Harvesting collection container</c:v>
                </c:pt>
              </c:strCache>
            </c:strRef>
          </c:tx>
          <c:spPr>
            <a:solidFill>
              <a:schemeClr val="accent2">
                <a:lumMod val="20000"/>
                <a:lumOff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'TRANSGENIC-LETTUCE'!$B$85:$E$85</c:f>
              <c:strCache>
                <c:ptCount val="4"/>
                <c:pt idx="0">
                  <c:v>System</c:v>
                </c:pt>
                <c:pt idx="1">
                  <c:v>Input</c:v>
                </c:pt>
                <c:pt idx="2">
                  <c:v>Output</c:v>
                </c:pt>
                <c:pt idx="3">
                  <c:v>Waste</c:v>
                </c:pt>
              </c:strCache>
            </c:strRef>
          </c:cat>
          <c:val>
            <c:numRef>
              <c:f>'TRANSGENIC-LETTUCE'!$B$86:$E$86</c:f>
              <c:numCache>
                <c:formatCode>General</c:formatCode>
                <c:ptCount val="4"/>
                <c:pt idx="0" formatCode="0.00E+00">
                  <c:v>4.1476269599999997E-2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1-A0CC-446E-A2CD-D541C0C6B9D0}"/>
            </c:ext>
          </c:extLst>
        </c:ser>
        <c:ser>
          <c:idx val="1"/>
          <c:order val="1"/>
          <c:tx>
            <c:strRef>
              <c:f>'TRANSGENIC-LETTUCE'!$A$87</c:f>
              <c:strCache>
                <c:ptCount val="1"/>
                <c:pt idx="0">
                  <c:v>Harvesting tools</c:v>
                </c:pt>
              </c:strCache>
            </c:strRef>
          </c:tx>
          <c:spPr>
            <a:solidFill>
              <a:schemeClr val="accent2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'TRANSGENIC-LETTUCE'!$B$85:$E$85</c:f>
              <c:strCache>
                <c:ptCount val="4"/>
                <c:pt idx="0">
                  <c:v>System</c:v>
                </c:pt>
                <c:pt idx="1">
                  <c:v>Input</c:v>
                </c:pt>
                <c:pt idx="2">
                  <c:v>Output</c:v>
                </c:pt>
                <c:pt idx="3">
                  <c:v>Waste</c:v>
                </c:pt>
              </c:strCache>
            </c:strRef>
          </c:cat>
          <c:val>
            <c:numRef>
              <c:f>'TRANSGENIC-LETTUCE'!$B$87:$E$87</c:f>
              <c:numCache>
                <c:formatCode>General</c:formatCode>
                <c:ptCount val="4"/>
                <c:pt idx="0" formatCode="0.00E+00">
                  <c:v>3.4018333333333338E-2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3-A0CC-446E-A2CD-D541C0C6B9D0}"/>
            </c:ext>
          </c:extLst>
        </c:ser>
        <c:ser>
          <c:idx val="2"/>
          <c:order val="2"/>
          <c:tx>
            <c:strRef>
              <c:f>'TRANSGENIC-LETTUCE'!$A$88</c:f>
              <c:strCache>
                <c:ptCount val="1"/>
                <c:pt idx="0">
                  <c:v>Refrigerator/Freezer</c:v>
                </c:pt>
              </c:strCache>
            </c:strRef>
          </c:tx>
          <c:spPr>
            <a:solidFill>
              <a:schemeClr val="accent2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'TRANSGENIC-LETTUCE'!$B$85:$E$85</c:f>
              <c:strCache>
                <c:ptCount val="4"/>
                <c:pt idx="0">
                  <c:v>System</c:v>
                </c:pt>
                <c:pt idx="1">
                  <c:v>Input</c:v>
                </c:pt>
                <c:pt idx="2">
                  <c:v>Output</c:v>
                </c:pt>
                <c:pt idx="3">
                  <c:v>Waste</c:v>
                </c:pt>
              </c:strCache>
            </c:strRef>
          </c:cat>
          <c:val>
            <c:numRef>
              <c:f>'TRANSGENIC-LETTUCE'!$B$88:$E$88</c:f>
              <c:numCache>
                <c:formatCode>General</c:formatCode>
                <c:ptCount val="4"/>
                <c:pt idx="0" formatCode="0.00E+00">
                  <c:v>1.1493125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5-A0CC-446E-A2CD-D541C0C6B9D0}"/>
            </c:ext>
          </c:extLst>
        </c:ser>
        <c:ser>
          <c:idx val="3"/>
          <c:order val="3"/>
          <c:tx>
            <c:strRef>
              <c:f>'TRANSGENIC-LETTUCE'!$A$89</c:f>
              <c:strCache>
                <c:ptCount val="1"/>
                <c:pt idx="0">
                  <c:v>Lighting panels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'TRANSGENIC-LETTUCE'!$B$85:$E$85</c:f>
              <c:strCache>
                <c:ptCount val="4"/>
                <c:pt idx="0">
                  <c:v>System</c:v>
                </c:pt>
                <c:pt idx="1">
                  <c:v>Input</c:v>
                </c:pt>
                <c:pt idx="2">
                  <c:v>Output</c:v>
                </c:pt>
                <c:pt idx="3">
                  <c:v>Waste</c:v>
                </c:pt>
              </c:strCache>
            </c:strRef>
          </c:cat>
          <c:val>
            <c:numRef>
              <c:f>'TRANSGENIC-LETTUCE'!$B$89:$E$89</c:f>
              <c:numCache>
                <c:formatCode>General</c:formatCode>
                <c:ptCount val="4"/>
                <c:pt idx="0" formatCode="0.00E+00">
                  <c:v>1.944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7-A0CC-446E-A2CD-D541C0C6B9D0}"/>
            </c:ext>
          </c:extLst>
        </c:ser>
        <c:ser>
          <c:idx val="4"/>
          <c:order val="4"/>
          <c:tx>
            <c:strRef>
              <c:f>'TRANSGENIC-LETTUCE'!$A$90</c:f>
              <c:strCache>
                <c:ptCount val="1"/>
                <c:pt idx="0">
                  <c:v>Plant growth chamber</c:v>
                </c:pt>
              </c:strCache>
            </c:strRef>
          </c:tx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strRef>
              <c:f>'TRANSGENIC-LETTUCE'!$B$85:$E$85</c:f>
              <c:strCache>
                <c:ptCount val="4"/>
                <c:pt idx="0">
                  <c:v>System</c:v>
                </c:pt>
                <c:pt idx="1">
                  <c:v>Input</c:v>
                </c:pt>
                <c:pt idx="2">
                  <c:v>Output</c:v>
                </c:pt>
                <c:pt idx="3">
                  <c:v>Waste</c:v>
                </c:pt>
              </c:strCache>
            </c:strRef>
          </c:cat>
          <c:val>
            <c:numRef>
              <c:f>'TRANSGENIC-LETTUCE'!$B$90:$E$90</c:f>
              <c:numCache>
                <c:formatCode>General</c:formatCode>
                <c:ptCount val="4"/>
                <c:pt idx="0" formatCode="0.00E+00">
                  <c:v>58.499999999999993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9-A0CC-446E-A2CD-D541C0C6B9D0}"/>
            </c:ext>
          </c:extLst>
        </c:ser>
        <c:ser>
          <c:idx val="5"/>
          <c:order val="5"/>
          <c:tx>
            <c:strRef>
              <c:f>'TRANSGENIC-LETTUCE'!$A$91</c:f>
              <c:strCache>
                <c:ptCount val="1"/>
                <c:pt idx="0">
                  <c:v>Lettuce seeds</c:v>
                </c:pt>
              </c:strCache>
            </c:strRef>
          </c:tx>
          <c:spPr>
            <a:solidFill>
              <a:schemeClr val="accent4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strRef>
              <c:f>'TRANSGENIC-LETTUCE'!$B$85:$E$85</c:f>
              <c:strCache>
                <c:ptCount val="4"/>
                <c:pt idx="0">
                  <c:v>System</c:v>
                </c:pt>
                <c:pt idx="1">
                  <c:v>Input</c:v>
                </c:pt>
                <c:pt idx="2">
                  <c:v>Output</c:v>
                </c:pt>
                <c:pt idx="3">
                  <c:v>Waste</c:v>
                </c:pt>
              </c:strCache>
            </c:strRef>
          </c:cat>
          <c:val>
            <c:numRef>
              <c:f>'TRANSGENIC-LETTUCE'!$B$91:$E$91</c:f>
              <c:numCache>
                <c:formatCode>0.00E+00</c:formatCode>
                <c:ptCount val="4"/>
                <c:pt idx="1">
                  <c:v>3.4744000000000002E-4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B-A0CC-446E-A2CD-D541C0C6B9D0}"/>
            </c:ext>
          </c:extLst>
        </c:ser>
        <c:ser>
          <c:idx val="6"/>
          <c:order val="6"/>
          <c:tx>
            <c:strRef>
              <c:f>'TRANSGENIC-LETTUCE'!$A$92</c:f>
              <c:strCache>
                <c:ptCount val="1"/>
                <c:pt idx="0">
                  <c:v>Water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'TRANSGENIC-LETTUCE'!$B$85:$E$85</c:f>
              <c:strCache>
                <c:ptCount val="4"/>
                <c:pt idx="0">
                  <c:v>System</c:v>
                </c:pt>
                <c:pt idx="1">
                  <c:v>Input</c:v>
                </c:pt>
                <c:pt idx="2">
                  <c:v>Output</c:v>
                </c:pt>
                <c:pt idx="3">
                  <c:v>Waste</c:v>
                </c:pt>
              </c:strCache>
            </c:strRef>
          </c:cat>
          <c:val>
            <c:numRef>
              <c:f>'TRANSGENIC-LETTUCE'!$B$92:$E$92</c:f>
              <c:numCache>
                <c:formatCode>0.00E+00</c:formatCode>
                <c:ptCount val="4"/>
                <c:pt idx="1">
                  <c:v>1245.1366666666668</c:v>
                </c:pt>
                <c:pt idx="2">
                  <c:v>1112.8045250000002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D-A0CC-446E-A2CD-D541C0C6B9D0}"/>
            </c:ext>
          </c:extLst>
        </c:ser>
        <c:ser>
          <c:idx val="7"/>
          <c:order val="7"/>
          <c:tx>
            <c:strRef>
              <c:f>'TRANSGENIC-LETTUCE'!$A$93</c:f>
              <c:strCache>
                <c:ptCount val="1"/>
                <c:pt idx="0">
                  <c:v>Plant nutrients</c:v>
                </c:pt>
              </c:strCache>
            </c:strRef>
          </c:tx>
          <c:spPr>
            <a:solidFill>
              <a:schemeClr val="accent4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'TRANSGENIC-LETTUCE'!$B$85:$E$85</c:f>
              <c:strCache>
                <c:ptCount val="4"/>
                <c:pt idx="0">
                  <c:v>System</c:v>
                </c:pt>
                <c:pt idx="1">
                  <c:v>Input</c:v>
                </c:pt>
                <c:pt idx="2">
                  <c:v>Output</c:v>
                </c:pt>
                <c:pt idx="3">
                  <c:v>Waste</c:v>
                </c:pt>
              </c:strCache>
            </c:strRef>
          </c:cat>
          <c:val>
            <c:numRef>
              <c:f>'TRANSGENIC-LETTUCE'!$B$93:$E$93</c:f>
              <c:numCache>
                <c:formatCode>0.00E+00</c:formatCode>
                <c:ptCount val="4"/>
                <c:pt idx="1">
                  <c:v>47.79332581333334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F-A0CC-446E-A2CD-D541C0C6B9D0}"/>
            </c:ext>
          </c:extLst>
        </c:ser>
        <c:ser>
          <c:idx val="8"/>
          <c:order val="8"/>
          <c:tx>
            <c:strRef>
              <c:f>'TRANSGENIC-LETTUCE'!$A$94</c:f>
              <c:strCache>
                <c:ptCount val="1"/>
                <c:pt idx="0">
                  <c:v>Carbon dioxide</c:v>
                </c:pt>
              </c:strCache>
            </c:strRef>
          </c:tx>
          <c:spPr>
            <a:solidFill>
              <a:schemeClr val="accent4">
                <a:lumMod val="20000"/>
                <a:lumOff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'TRANSGENIC-LETTUCE'!$B$85:$E$85</c:f>
              <c:strCache>
                <c:ptCount val="4"/>
                <c:pt idx="0">
                  <c:v>System</c:v>
                </c:pt>
                <c:pt idx="1">
                  <c:v>Input</c:v>
                </c:pt>
                <c:pt idx="2">
                  <c:v>Output</c:v>
                </c:pt>
                <c:pt idx="3">
                  <c:v>Waste</c:v>
                </c:pt>
              </c:strCache>
            </c:strRef>
          </c:cat>
          <c:val>
            <c:numRef>
              <c:f>'TRANSGENIC-LETTUCE'!$B$94:$E$94</c:f>
              <c:numCache>
                <c:formatCode>0.00E+00</c:formatCode>
                <c:ptCount val="4"/>
                <c:pt idx="1">
                  <c:v>5.3678333333333326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1-A0CC-446E-A2CD-D541C0C6B9D0}"/>
            </c:ext>
          </c:extLst>
        </c:ser>
        <c:ser>
          <c:idx val="9"/>
          <c:order val="9"/>
          <c:tx>
            <c:strRef>
              <c:f>'TRANSGENIC-LETTUCE'!$A$95</c:f>
              <c:strCache>
                <c:ptCount val="1"/>
                <c:pt idx="0">
                  <c:v>PTH-Fc</c:v>
                </c:pt>
              </c:strCache>
            </c:strRef>
          </c:tx>
          <c:spPr>
            <a:solidFill>
              <a:srgbClr val="FFC000"/>
            </a:solidFill>
            <a:ln>
              <a:noFill/>
            </a:ln>
            <a:effectLst/>
          </c:spPr>
          <c:invertIfNegative val="0"/>
          <c:cat>
            <c:strRef>
              <c:f>'TRANSGENIC-LETTUCE'!$B$85:$E$85</c:f>
              <c:strCache>
                <c:ptCount val="4"/>
                <c:pt idx="0">
                  <c:v>System</c:v>
                </c:pt>
                <c:pt idx="1">
                  <c:v>Input</c:v>
                </c:pt>
                <c:pt idx="2">
                  <c:v>Output</c:v>
                </c:pt>
                <c:pt idx="3">
                  <c:v>Waste</c:v>
                </c:pt>
              </c:strCache>
            </c:strRef>
          </c:cat>
          <c:val>
            <c:numRef>
              <c:f>'TRANSGENIC-LETTUCE'!$B$95:$E$95</c:f>
              <c:numCache>
                <c:formatCode>General</c:formatCode>
                <c:ptCount val="4"/>
                <c:pt idx="2" formatCode="0.00E+00">
                  <c:v>4.2999999999999994E-4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3-A0CC-446E-A2CD-D541C0C6B9D0}"/>
            </c:ext>
          </c:extLst>
        </c:ser>
        <c:ser>
          <c:idx val="10"/>
          <c:order val="10"/>
          <c:tx>
            <c:strRef>
              <c:f>'TRANSGENIC-LETTUCE'!$A$96</c:f>
              <c:strCache>
                <c:ptCount val="1"/>
                <c:pt idx="0">
                  <c:v>Plant biomass</c:v>
                </c:pt>
              </c:strCache>
            </c:strRef>
          </c:tx>
          <c:spPr>
            <a:solidFill>
              <a:schemeClr val="accent6">
                <a:lumMod val="75000"/>
              </a:schemeClr>
            </a:solidFill>
          </c:spPr>
          <c:invertIfNegative val="0"/>
          <c:cat>
            <c:strRef>
              <c:f>'TRANSGENIC-LETTUCE'!$B$85:$E$85</c:f>
              <c:strCache>
                <c:ptCount val="4"/>
                <c:pt idx="0">
                  <c:v>System</c:v>
                </c:pt>
                <c:pt idx="1">
                  <c:v>Input</c:v>
                </c:pt>
                <c:pt idx="2">
                  <c:v>Output</c:v>
                </c:pt>
                <c:pt idx="3">
                  <c:v>Waste</c:v>
                </c:pt>
              </c:strCache>
            </c:strRef>
          </c:cat>
          <c:val>
            <c:numRef>
              <c:f>'TRANSGENIC-LETTUCE'!$B$96:$E$96</c:f>
              <c:numCache>
                <c:formatCode>General</c:formatCode>
                <c:ptCount val="4"/>
                <c:pt idx="2" formatCode="0.00E+00">
                  <c:v>6.5893916666666694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5-A0CC-446E-A2CD-D541C0C6B9D0}"/>
            </c:ext>
          </c:extLst>
        </c:ser>
        <c:ser>
          <c:idx val="11"/>
          <c:order val="11"/>
          <c:tx>
            <c:strRef>
              <c:f>'TRANSGENIC-LETTUCE'!$A$97</c:f>
              <c:strCache>
                <c:ptCount val="1"/>
                <c:pt idx="0">
                  <c:v>Calories</c:v>
                </c:pt>
              </c:strCache>
            </c:strRef>
          </c:tx>
          <c:spPr>
            <a:solidFill>
              <a:schemeClr val="accent3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'TRANSGENIC-LETTUCE'!$B$85:$E$85</c:f>
              <c:strCache>
                <c:ptCount val="4"/>
                <c:pt idx="0">
                  <c:v>System</c:v>
                </c:pt>
                <c:pt idx="1">
                  <c:v>Input</c:v>
                </c:pt>
                <c:pt idx="2">
                  <c:v>Output</c:v>
                </c:pt>
                <c:pt idx="3">
                  <c:v>Waste</c:v>
                </c:pt>
              </c:strCache>
            </c:strRef>
          </c:cat>
          <c:val>
            <c:numRef>
              <c:f>'TRANSGENIC-LETTUCE'!$B$97:$E$97</c:f>
              <c:numCache>
                <c:formatCode>General</c:formatCode>
                <c:ptCount val="4"/>
              </c:numCache>
            </c:numRef>
          </c:val>
          <c:extLst>
            <c:ext xmlns:c16="http://schemas.microsoft.com/office/drawing/2014/chart" uri="{C3380CC4-5D6E-409C-BE32-E72D297353CC}">
              <c16:uniqueId val="{00000027-A0CC-446E-A2CD-D541C0C6B9D0}"/>
            </c:ext>
          </c:extLst>
        </c:ser>
        <c:ser>
          <c:idx val="12"/>
          <c:order val="12"/>
          <c:tx>
            <c:strRef>
              <c:f>'TRANSGENIC-LETTUCE'!$A$98</c:f>
              <c:strCache>
                <c:ptCount val="1"/>
                <c:pt idx="0">
                  <c:v>Macronutrients</c:v>
                </c:pt>
              </c:strCache>
            </c:strRef>
          </c:tx>
          <c:spPr>
            <a:solidFill>
              <a:schemeClr val="accent5"/>
            </a:solidFill>
          </c:spPr>
          <c:invertIfNegative val="0"/>
          <c:cat>
            <c:strRef>
              <c:f>'TRANSGENIC-LETTUCE'!$B$85:$E$85</c:f>
              <c:strCache>
                <c:ptCount val="4"/>
                <c:pt idx="0">
                  <c:v>System</c:v>
                </c:pt>
                <c:pt idx="1">
                  <c:v>Input</c:v>
                </c:pt>
                <c:pt idx="2">
                  <c:v>Output</c:v>
                </c:pt>
                <c:pt idx="3">
                  <c:v>Waste</c:v>
                </c:pt>
              </c:strCache>
            </c:strRef>
          </c:cat>
          <c:val>
            <c:numRef>
              <c:f>'TRANSGENIC-LETTUCE'!$B$98:$E$98</c:f>
              <c:numCache>
                <c:formatCode>General</c:formatCode>
                <c:ptCount val="4"/>
                <c:pt idx="2" formatCode="0.00E+00">
                  <c:v>3.0442989499999995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9-A0CC-446E-A2CD-D541C0C6B9D0}"/>
            </c:ext>
          </c:extLst>
        </c:ser>
        <c:ser>
          <c:idx val="13"/>
          <c:order val="13"/>
          <c:tx>
            <c:strRef>
              <c:f>'TRANSGENIC-LETTUCE'!$A$99</c:f>
              <c:strCache>
                <c:ptCount val="1"/>
                <c:pt idx="0">
                  <c:v>Micronutrients</c:v>
                </c:pt>
              </c:strCache>
            </c:strRef>
          </c:tx>
          <c:invertIfNegative val="0"/>
          <c:cat>
            <c:strRef>
              <c:f>'TRANSGENIC-LETTUCE'!$B$85:$E$85</c:f>
              <c:strCache>
                <c:ptCount val="4"/>
                <c:pt idx="0">
                  <c:v>System</c:v>
                </c:pt>
                <c:pt idx="1">
                  <c:v>Input</c:v>
                </c:pt>
                <c:pt idx="2">
                  <c:v>Output</c:v>
                </c:pt>
                <c:pt idx="3">
                  <c:v>Waste</c:v>
                </c:pt>
              </c:strCache>
            </c:strRef>
          </c:cat>
          <c:val>
            <c:numRef>
              <c:f>'TRANSGENIC-LETTUCE'!$B$99:$E$99</c:f>
              <c:numCache>
                <c:formatCode>General</c:formatCode>
                <c:ptCount val="4"/>
                <c:pt idx="2" formatCode="0.00E+00">
                  <c:v>0.12845986107208329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B-A0CC-446E-A2CD-D541C0C6B9D0}"/>
            </c:ext>
          </c:extLst>
        </c:ser>
        <c:ser>
          <c:idx val="14"/>
          <c:order val="14"/>
          <c:tx>
            <c:strRef>
              <c:f>'TRANSGENIC-LETTUCE'!$A$100</c:f>
              <c:strCache>
                <c:ptCount val="1"/>
                <c:pt idx="0">
                  <c:v>Oxygen</c:v>
                </c:pt>
              </c:strCache>
            </c:strRef>
          </c:tx>
          <c:invertIfNegative val="0"/>
          <c:cat>
            <c:strRef>
              <c:f>'TRANSGENIC-LETTUCE'!$B$85:$E$85</c:f>
              <c:strCache>
                <c:ptCount val="4"/>
                <c:pt idx="0">
                  <c:v>System</c:v>
                </c:pt>
                <c:pt idx="1">
                  <c:v>Input</c:v>
                </c:pt>
                <c:pt idx="2">
                  <c:v>Output</c:v>
                </c:pt>
                <c:pt idx="3">
                  <c:v>Waste</c:v>
                </c:pt>
              </c:strCache>
            </c:strRef>
          </c:cat>
          <c:val>
            <c:numRef>
              <c:f>'TRANSGENIC-LETTUCE'!$B$100:$E$100</c:f>
              <c:numCache>
                <c:formatCode>General</c:formatCode>
                <c:ptCount val="4"/>
                <c:pt idx="2" formatCode="0.00E+00">
                  <c:v>3.9029666666666665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D-A0CC-446E-A2CD-D541C0C6B9D0}"/>
            </c:ext>
          </c:extLst>
        </c:ser>
        <c:ser>
          <c:idx val="15"/>
          <c:order val="15"/>
          <c:tx>
            <c:strRef>
              <c:f>'TRANSGENIC-LETTUCE'!$A$101</c:f>
              <c:strCache>
                <c:ptCount val="1"/>
                <c:pt idx="0">
                  <c:v>Biomass Waste</c:v>
                </c:pt>
              </c:strCache>
            </c:strRef>
          </c:tx>
          <c:invertIfNegative val="0"/>
          <c:cat>
            <c:strRef>
              <c:f>'TRANSGENIC-LETTUCE'!$B$85:$E$85</c:f>
              <c:strCache>
                <c:ptCount val="4"/>
                <c:pt idx="0">
                  <c:v>System</c:v>
                </c:pt>
                <c:pt idx="1">
                  <c:v>Input</c:v>
                </c:pt>
                <c:pt idx="2">
                  <c:v>Output</c:v>
                </c:pt>
                <c:pt idx="3">
                  <c:v>Waste</c:v>
                </c:pt>
              </c:strCache>
            </c:strRef>
          </c:cat>
          <c:val>
            <c:numRef>
              <c:f>'TRANSGENIC-LETTUCE'!$B$101:$E$101</c:f>
              <c:numCache>
                <c:formatCode>General</c:formatCode>
                <c:ptCount val="4"/>
                <c:pt idx="3" formatCode="0.00E+00">
                  <c:v>3.6621666666666668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F-A0CC-446E-A2CD-D541C0C6B9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0"/>
        <c:overlap val="100"/>
        <c:axId val="312382031"/>
        <c:axId val="312385871"/>
      </c:barChart>
      <c:catAx>
        <c:axId val="3123820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2385871"/>
        <c:crosses val="autoZero"/>
        <c:auto val="1"/>
        <c:lblAlgn val="ctr"/>
        <c:lblOffset val="100"/>
        <c:noMultiLvlLbl val="0"/>
      </c:catAx>
      <c:valAx>
        <c:axId val="312385871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1" i="0" u="none" strike="noStrike" kern="1200" baseline="0">
                    <a:solidFill>
                      <a:sysClr val="windowText" lastClr="000000"/>
                    </a:solidFill>
                  </a:rPr>
                  <a:t>Mass (kg/CM/Mission)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#,##0" sourceLinked="0"/>
        <c:majorTickMark val="out"/>
        <c:minorTickMark val="none"/>
        <c:tickLblPos val="nextTo"/>
        <c:spPr>
          <a:noFill/>
          <a:ln w="9525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2382031"/>
        <c:crosses val="autoZero"/>
        <c:crossBetween val="between"/>
      </c:valAx>
      <c:spPr>
        <a:ln>
          <a:solidFill>
            <a:schemeClr val="tx1"/>
          </a:solidFill>
        </a:ln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2"/>
      </a:solidFill>
      <a:round/>
    </a:ln>
    <a:effectLst/>
  </c:spPr>
  <c:txPr>
    <a:bodyPr/>
    <a:lstStyle/>
    <a:p>
      <a:pPr>
        <a:defRPr sz="1000" b="1"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none" strike="noStrike" kern="1200" spc="0" baseline="0">
                <a:solidFill>
                  <a:sysClr val="windowText" lastClr="000000"/>
                </a:solidFill>
              </a:rPr>
              <a:t>TRANSGENIC - LETTUCE Volume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'TRANSGENIC-LETTUCE'!$A$86</c:f>
              <c:strCache>
                <c:ptCount val="1"/>
                <c:pt idx="0">
                  <c:v>Harvesting collection container</c:v>
                </c:pt>
              </c:strCache>
            </c:strRef>
          </c:tx>
          <c:spPr>
            <a:solidFill>
              <a:schemeClr val="accent2">
                <a:lumMod val="20000"/>
                <a:lumOff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'TRANSGENIC-LETTUCE'!$F$85:$I$85</c:f>
              <c:strCache>
                <c:ptCount val="4"/>
                <c:pt idx="0">
                  <c:v>System</c:v>
                </c:pt>
                <c:pt idx="1">
                  <c:v>Input</c:v>
                </c:pt>
                <c:pt idx="2">
                  <c:v>Output</c:v>
                </c:pt>
                <c:pt idx="3">
                  <c:v>Waste</c:v>
                </c:pt>
              </c:strCache>
            </c:strRef>
          </c:cat>
          <c:val>
            <c:numRef>
              <c:f>'TRANSGENIC-LETTUCE'!$F$86:$I$86</c:f>
              <c:numCache>
                <c:formatCode>General</c:formatCode>
                <c:ptCount val="4"/>
                <c:pt idx="0" formatCode="0.00E+00">
                  <c:v>2.23757919E-5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1-24B2-4E57-A3D5-0448A95223CA}"/>
            </c:ext>
          </c:extLst>
        </c:ser>
        <c:ser>
          <c:idx val="1"/>
          <c:order val="1"/>
          <c:tx>
            <c:strRef>
              <c:f>'TRANSGENIC-LETTUCE'!$A$87</c:f>
              <c:strCache>
                <c:ptCount val="1"/>
                <c:pt idx="0">
                  <c:v>Harvesting tools</c:v>
                </c:pt>
              </c:strCache>
            </c:strRef>
          </c:tx>
          <c:spPr>
            <a:solidFill>
              <a:schemeClr val="accent2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'TRANSGENIC-LETTUCE'!$F$85:$I$85</c:f>
              <c:strCache>
                <c:ptCount val="4"/>
                <c:pt idx="0">
                  <c:v>System</c:v>
                </c:pt>
                <c:pt idx="1">
                  <c:v>Input</c:v>
                </c:pt>
                <c:pt idx="2">
                  <c:v>Output</c:v>
                </c:pt>
                <c:pt idx="3">
                  <c:v>Waste</c:v>
                </c:pt>
              </c:strCache>
            </c:strRef>
          </c:cat>
          <c:val>
            <c:numRef>
              <c:f>'TRANSGENIC-LETTUCE'!$F$87:$I$87</c:f>
              <c:numCache>
                <c:formatCode>General</c:formatCode>
                <c:ptCount val="4"/>
                <c:pt idx="0" formatCode="0.00E+00">
                  <c:v>1.0735999999999999E-4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3-24B2-4E57-A3D5-0448A95223CA}"/>
            </c:ext>
          </c:extLst>
        </c:ser>
        <c:ser>
          <c:idx val="2"/>
          <c:order val="2"/>
          <c:tx>
            <c:strRef>
              <c:f>'TRANSGENIC-LETTUCE'!$A$88</c:f>
              <c:strCache>
                <c:ptCount val="1"/>
                <c:pt idx="0">
                  <c:v>Refrigerator/Freezer</c:v>
                </c:pt>
              </c:strCache>
            </c:strRef>
          </c:tx>
          <c:spPr>
            <a:solidFill>
              <a:schemeClr val="accent2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'TRANSGENIC-LETTUCE'!$F$85:$I$85</c:f>
              <c:strCache>
                <c:ptCount val="4"/>
                <c:pt idx="0">
                  <c:v>System</c:v>
                </c:pt>
                <c:pt idx="1">
                  <c:v>Input</c:v>
                </c:pt>
                <c:pt idx="2">
                  <c:v>Output</c:v>
                </c:pt>
                <c:pt idx="3">
                  <c:v>Waste</c:v>
                </c:pt>
              </c:strCache>
            </c:strRef>
          </c:cat>
          <c:val>
            <c:numRef>
              <c:f>'TRANSGENIC-LETTUCE'!$F$88:$I$88</c:f>
              <c:numCache>
                <c:formatCode>General</c:formatCode>
                <c:ptCount val="4"/>
                <c:pt idx="0" formatCode="0.00E+00">
                  <c:v>6.0223975000000003E-3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5-24B2-4E57-A3D5-0448A95223CA}"/>
            </c:ext>
          </c:extLst>
        </c:ser>
        <c:ser>
          <c:idx val="3"/>
          <c:order val="3"/>
          <c:tx>
            <c:strRef>
              <c:f>'TRANSGENIC-LETTUCE'!$A$89</c:f>
              <c:strCache>
                <c:ptCount val="1"/>
                <c:pt idx="0">
                  <c:v>Lighting panels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'TRANSGENIC-LETTUCE'!$F$85:$I$85</c:f>
              <c:strCache>
                <c:ptCount val="4"/>
                <c:pt idx="0">
                  <c:v>System</c:v>
                </c:pt>
                <c:pt idx="1">
                  <c:v>Input</c:v>
                </c:pt>
                <c:pt idx="2">
                  <c:v>Output</c:v>
                </c:pt>
                <c:pt idx="3">
                  <c:v>Waste</c:v>
                </c:pt>
              </c:strCache>
            </c:strRef>
          </c:cat>
          <c:val>
            <c:numRef>
              <c:f>'TRANSGENIC-LETTUCE'!$F$89:$I$89</c:f>
              <c:numCache>
                <c:formatCode>General</c:formatCode>
                <c:ptCount val="4"/>
                <c:pt idx="0" formatCode="0.00E+00">
                  <c:v>7.1999999999999994E-4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7-24B2-4E57-A3D5-0448A95223CA}"/>
            </c:ext>
          </c:extLst>
        </c:ser>
        <c:ser>
          <c:idx val="4"/>
          <c:order val="4"/>
          <c:tx>
            <c:strRef>
              <c:f>'TRANSGENIC-LETTUCE'!$A$90</c:f>
              <c:strCache>
                <c:ptCount val="1"/>
                <c:pt idx="0">
                  <c:v>Plant growth chamber</c:v>
                </c:pt>
              </c:strCache>
            </c:strRef>
          </c:tx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strRef>
              <c:f>'TRANSGENIC-LETTUCE'!$F$85:$I$85</c:f>
              <c:strCache>
                <c:ptCount val="4"/>
                <c:pt idx="0">
                  <c:v>System</c:v>
                </c:pt>
                <c:pt idx="1">
                  <c:v>Input</c:v>
                </c:pt>
                <c:pt idx="2">
                  <c:v>Output</c:v>
                </c:pt>
                <c:pt idx="3">
                  <c:v>Waste</c:v>
                </c:pt>
              </c:strCache>
            </c:strRef>
          </c:cat>
          <c:val>
            <c:numRef>
              <c:f>'TRANSGENIC-LETTUCE'!$F$90:$I$90</c:f>
              <c:numCache>
                <c:formatCode>General</c:formatCode>
                <c:ptCount val="4"/>
                <c:pt idx="0" formatCode="0.00E+00">
                  <c:v>0.65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9-24B2-4E57-A3D5-0448A95223CA}"/>
            </c:ext>
          </c:extLst>
        </c:ser>
        <c:ser>
          <c:idx val="5"/>
          <c:order val="5"/>
          <c:tx>
            <c:strRef>
              <c:f>'TRANSGENIC-LETTUCE'!$A$91</c:f>
              <c:strCache>
                <c:ptCount val="1"/>
                <c:pt idx="0">
                  <c:v>Lettuce seeds</c:v>
                </c:pt>
              </c:strCache>
            </c:strRef>
          </c:tx>
          <c:spPr>
            <a:solidFill>
              <a:schemeClr val="accent4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strRef>
              <c:f>'TRANSGENIC-LETTUCE'!$F$85:$I$85</c:f>
              <c:strCache>
                <c:ptCount val="4"/>
                <c:pt idx="0">
                  <c:v>System</c:v>
                </c:pt>
                <c:pt idx="1">
                  <c:v>Input</c:v>
                </c:pt>
                <c:pt idx="2">
                  <c:v>Output</c:v>
                </c:pt>
                <c:pt idx="3">
                  <c:v>Waste</c:v>
                </c:pt>
              </c:strCache>
            </c:strRef>
          </c:cat>
          <c:val>
            <c:numRef>
              <c:f>'TRANSGENIC-LETTUCE'!$F$91:$I$91</c:f>
              <c:numCache>
                <c:formatCode>0.00E+00</c:formatCode>
                <c:ptCount val="4"/>
                <c:pt idx="1">
                  <c:v>1.1979249600000001E-6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B-24B2-4E57-A3D5-0448A95223CA}"/>
            </c:ext>
          </c:extLst>
        </c:ser>
        <c:ser>
          <c:idx val="6"/>
          <c:order val="6"/>
          <c:tx>
            <c:strRef>
              <c:f>'TRANSGENIC-LETTUCE'!$A$92</c:f>
              <c:strCache>
                <c:ptCount val="1"/>
                <c:pt idx="0">
                  <c:v>Water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'TRANSGENIC-LETTUCE'!$F$85:$I$85</c:f>
              <c:strCache>
                <c:ptCount val="4"/>
                <c:pt idx="0">
                  <c:v>System</c:v>
                </c:pt>
                <c:pt idx="1">
                  <c:v>Input</c:v>
                </c:pt>
                <c:pt idx="2">
                  <c:v>Output</c:v>
                </c:pt>
                <c:pt idx="3">
                  <c:v>Waste</c:v>
                </c:pt>
              </c:strCache>
            </c:strRef>
          </c:cat>
          <c:val>
            <c:numRef>
              <c:f>'TRANSGENIC-LETTUCE'!$F$92:$I$92</c:f>
              <c:numCache>
                <c:formatCode>0.00E+00</c:formatCode>
                <c:ptCount val="4"/>
                <c:pt idx="1">
                  <c:v>1.2451366666666668</c:v>
                </c:pt>
                <c:pt idx="2">
                  <c:v>1.1128045250000003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D-24B2-4E57-A3D5-0448A95223CA}"/>
            </c:ext>
          </c:extLst>
        </c:ser>
        <c:ser>
          <c:idx val="7"/>
          <c:order val="7"/>
          <c:tx>
            <c:strRef>
              <c:f>'TRANSGENIC-LETTUCE'!$A$93</c:f>
              <c:strCache>
                <c:ptCount val="1"/>
                <c:pt idx="0">
                  <c:v>Plant nutrients</c:v>
                </c:pt>
              </c:strCache>
            </c:strRef>
          </c:tx>
          <c:spPr>
            <a:solidFill>
              <a:schemeClr val="accent4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'TRANSGENIC-LETTUCE'!$F$85:$I$85</c:f>
              <c:strCache>
                <c:ptCount val="4"/>
                <c:pt idx="0">
                  <c:v>System</c:v>
                </c:pt>
                <c:pt idx="1">
                  <c:v>Input</c:v>
                </c:pt>
                <c:pt idx="2">
                  <c:v>Output</c:v>
                </c:pt>
                <c:pt idx="3">
                  <c:v>Waste</c:v>
                </c:pt>
              </c:strCache>
            </c:strRef>
          </c:cat>
          <c:val>
            <c:numRef>
              <c:f>'TRANSGENIC-LETTUCE'!$F$93:$I$93</c:f>
              <c:numCache>
                <c:formatCode>0.00E+00</c:formatCode>
                <c:ptCount val="4"/>
              </c:numCache>
            </c:numRef>
          </c:val>
          <c:extLst>
            <c:ext xmlns:c16="http://schemas.microsoft.com/office/drawing/2014/chart" uri="{C3380CC4-5D6E-409C-BE32-E72D297353CC}">
              <c16:uniqueId val="{0000001F-24B2-4E57-A3D5-0448A95223CA}"/>
            </c:ext>
          </c:extLst>
        </c:ser>
        <c:ser>
          <c:idx val="8"/>
          <c:order val="8"/>
          <c:tx>
            <c:strRef>
              <c:f>'TRANSGENIC-LETTUCE'!$A$94</c:f>
              <c:strCache>
                <c:ptCount val="1"/>
                <c:pt idx="0">
                  <c:v>Carbon dioxide</c:v>
                </c:pt>
              </c:strCache>
            </c:strRef>
          </c:tx>
          <c:spPr>
            <a:solidFill>
              <a:schemeClr val="accent4">
                <a:lumMod val="20000"/>
                <a:lumOff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'TRANSGENIC-LETTUCE'!$F$85:$I$85</c:f>
              <c:strCache>
                <c:ptCount val="4"/>
                <c:pt idx="0">
                  <c:v>System</c:v>
                </c:pt>
                <c:pt idx="1">
                  <c:v>Input</c:v>
                </c:pt>
                <c:pt idx="2">
                  <c:v>Output</c:v>
                </c:pt>
                <c:pt idx="3">
                  <c:v>Waste</c:v>
                </c:pt>
              </c:strCache>
            </c:strRef>
          </c:cat>
          <c:val>
            <c:numRef>
              <c:f>'TRANSGENIC-LETTUCE'!$F$94:$I$94</c:f>
              <c:numCache>
                <c:formatCode>0.00E+00</c:formatCode>
                <c:ptCount val="4"/>
                <c:pt idx="1">
                  <c:v>2.9493589743589741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1-24B2-4E57-A3D5-0448A95223CA}"/>
            </c:ext>
          </c:extLst>
        </c:ser>
        <c:ser>
          <c:idx val="9"/>
          <c:order val="9"/>
          <c:tx>
            <c:strRef>
              <c:f>'TRANSGENIC-LETTUCE'!$A$95</c:f>
              <c:strCache>
                <c:ptCount val="1"/>
                <c:pt idx="0">
                  <c:v>PTH-Fc</c:v>
                </c:pt>
              </c:strCache>
            </c:strRef>
          </c:tx>
          <c:spPr>
            <a:solidFill>
              <a:srgbClr val="FFC000"/>
            </a:solidFill>
            <a:ln>
              <a:noFill/>
            </a:ln>
            <a:effectLst/>
          </c:spPr>
          <c:invertIfNegative val="0"/>
          <c:cat>
            <c:strRef>
              <c:f>'TRANSGENIC-LETTUCE'!$F$85:$I$85</c:f>
              <c:strCache>
                <c:ptCount val="4"/>
                <c:pt idx="0">
                  <c:v>System</c:v>
                </c:pt>
                <c:pt idx="1">
                  <c:v>Input</c:v>
                </c:pt>
                <c:pt idx="2">
                  <c:v>Output</c:v>
                </c:pt>
                <c:pt idx="3">
                  <c:v>Waste</c:v>
                </c:pt>
              </c:strCache>
            </c:strRef>
          </c:cat>
          <c:val>
            <c:numRef>
              <c:f>'TRANSGENIC-LETTUCE'!$F$95:$I$95</c:f>
              <c:numCache>
                <c:formatCode>General</c:formatCode>
                <c:ptCount val="4"/>
                <c:pt idx="2" formatCode="0.00E+0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3-24B2-4E57-A3D5-0448A95223CA}"/>
            </c:ext>
          </c:extLst>
        </c:ser>
        <c:ser>
          <c:idx val="10"/>
          <c:order val="10"/>
          <c:tx>
            <c:strRef>
              <c:f>'TRANSGENIC-LETTUCE'!$A$96</c:f>
              <c:strCache>
                <c:ptCount val="1"/>
                <c:pt idx="0">
                  <c:v>Plant biomass</c:v>
                </c:pt>
              </c:strCache>
            </c:strRef>
          </c:tx>
          <c:spPr>
            <a:solidFill>
              <a:schemeClr val="accent6">
                <a:lumMod val="75000"/>
              </a:schemeClr>
            </a:solidFill>
          </c:spPr>
          <c:invertIfNegative val="0"/>
          <c:cat>
            <c:strRef>
              <c:f>'TRANSGENIC-LETTUCE'!$F$85:$I$85</c:f>
              <c:strCache>
                <c:ptCount val="4"/>
                <c:pt idx="0">
                  <c:v>System</c:v>
                </c:pt>
                <c:pt idx="1">
                  <c:v>Input</c:v>
                </c:pt>
                <c:pt idx="2">
                  <c:v>Output</c:v>
                </c:pt>
                <c:pt idx="3">
                  <c:v>Waste</c:v>
                </c:pt>
              </c:strCache>
            </c:strRef>
          </c:cat>
          <c:val>
            <c:numRef>
              <c:f>'TRANSGENIC-LETTUCE'!$F$96:$I$96</c:f>
              <c:numCache>
                <c:formatCode>General</c:formatCode>
                <c:ptCount val="4"/>
                <c:pt idx="2" formatCode="0.00E+00">
                  <c:v>1.7905955615942035E-2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5-24B2-4E57-A3D5-0448A95223CA}"/>
            </c:ext>
          </c:extLst>
        </c:ser>
        <c:ser>
          <c:idx val="11"/>
          <c:order val="11"/>
          <c:tx>
            <c:strRef>
              <c:f>'TRANSGENIC-LETTUCE'!$A$97</c:f>
              <c:strCache>
                <c:ptCount val="1"/>
                <c:pt idx="0">
                  <c:v>Calories</c:v>
                </c:pt>
              </c:strCache>
            </c:strRef>
          </c:tx>
          <c:spPr>
            <a:solidFill>
              <a:schemeClr val="accent6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'TRANSGENIC-LETTUCE'!$F$85:$I$85</c:f>
              <c:strCache>
                <c:ptCount val="4"/>
                <c:pt idx="0">
                  <c:v>System</c:v>
                </c:pt>
                <c:pt idx="1">
                  <c:v>Input</c:v>
                </c:pt>
                <c:pt idx="2">
                  <c:v>Output</c:v>
                </c:pt>
                <c:pt idx="3">
                  <c:v>Waste</c:v>
                </c:pt>
              </c:strCache>
            </c:strRef>
          </c:cat>
          <c:val>
            <c:numRef>
              <c:f>'TRANSGENIC-LETTUCE'!$F$97:$I$97</c:f>
              <c:numCache>
                <c:formatCode>General</c:formatCode>
                <c:ptCount val="4"/>
              </c:numCache>
            </c:numRef>
          </c:val>
          <c:extLst>
            <c:ext xmlns:c16="http://schemas.microsoft.com/office/drawing/2014/chart" uri="{C3380CC4-5D6E-409C-BE32-E72D297353CC}">
              <c16:uniqueId val="{00000027-24B2-4E57-A3D5-0448A95223CA}"/>
            </c:ext>
          </c:extLst>
        </c:ser>
        <c:ser>
          <c:idx val="12"/>
          <c:order val="12"/>
          <c:tx>
            <c:strRef>
              <c:f>'TRANSGENIC-LETTUCE'!$A$98</c:f>
              <c:strCache>
                <c:ptCount val="1"/>
                <c:pt idx="0">
                  <c:v>Macronutrients</c:v>
                </c:pt>
              </c:strCache>
            </c:strRef>
          </c:tx>
          <c:spPr>
            <a:solidFill>
              <a:schemeClr val="accent6">
                <a:lumMod val="40000"/>
                <a:lumOff val="60000"/>
              </a:schemeClr>
            </a:solidFill>
          </c:spPr>
          <c:invertIfNegative val="0"/>
          <c:cat>
            <c:strRef>
              <c:f>'TRANSGENIC-LETTUCE'!$F$85:$I$85</c:f>
              <c:strCache>
                <c:ptCount val="4"/>
                <c:pt idx="0">
                  <c:v>System</c:v>
                </c:pt>
                <c:pt idx="1">
                  <c:v>Input</c:v>
                </c:pt>
                <c:pt idx="2">
                  <c:v>Output</c:v>
                </c:pt>
                <c:pt idx="3">
                  <c:v>Waste</c:v>
                </c:pt>
              </c:strCache>
            </c:strRef>
          </c:cat>
          <c:val>
            <c:numRef>
              <c:f>'TRANSGENIC-LETTUCE'!$F$98:$I$98</c:f>
              <c:numCache>
                <c:formatCode>General</c:formatCode>
                <c:ptCount val="4"/>
              </c:numCache>
            </c:numRef>
          </c:val>
          <c:extLst>
            <c:ext xmlns:c16="http://schemas.microsoft.com/office/drawing/2014/chart" uri="{C3380CC4-5D6E-409C-BE32-E72D297353CC}">
              <c16:uniqueId val="{00000029-24B2-4E57-A3D5-0448A95223CA}"/>
            </c:ext>
          </c:extLst>
        </c:ser>
        <c:ser>
          <c:idx val="13"/>
          <c:order val="13"/>
          <c:tx>
            <c:strRef>
              <c:f>'TRANSGENIC-LETTUCE'!$A$99</c:f>
              <c:strCache>
                <c:ptCount val="1"/>
                <c:pt idx="0">
                  <c:v>Micronutrients</c:v>
                </c:pt>
              </c:strCache>
            </c:strRef>
          </c:tx>
          <c:spPr>
            <a:solidFill>
              <a:schemeClr val="accent6">
                <a:lumMod val="20000"/>
                <a:lumOff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'TRANSGENIC-LETTUCE'!$F$85:$I$85</c:f>
              <c:strCache>
                <c:ptCount val="4"/>
                <c:pt idx="0">
                  <c:v>System</c:v>
                </c:pt>
                <c:pt idx="1">
                  <c:v>Input</c:v>
                </c:pt>
                <c:pt idx="2">
                  <c:v>Output</c:v>
                </c:pt>
                <c:pt idx="3">
                  <c:v>Waste</c:v>
                </c:pt>
              </c:strCache>
            </c:strRef>
          </c:cat>
          <c:val>
            <c:numRef>
              <c:f>'TRANSGENIC-LETTUCE'!$F$99:$I$99</c:f>
              <c:numCache>
                <c:formatCode>General</c:formatCode>
                <c:ptCount val="4"/>
              </c:numCache>
            </c:numRef>
          </c:val>
          <c:extLst>
            <c:ext xmlns:c16="http://schemas.microsoft.com/office/drawing/2014/chart" uri="{C3380CC4-5D6E-409C-BE32-E72D297353CC}">
              <c16:uniqueId val="{0000002B-24B2-4E57-A3D5-0448A95223CA}"/>
            </c:ext>
          </c:extLst>
        </c:ser>
        <c:ser>
          <c:idx val="14"/>
          <c:order val="14"/>
          <c:tx>
            <c:strRef>
              <c:f>'TRANSGENIC-LETTUCE'!$A$100</c:f>
              <c:strCache>
                <c:ptCount val="1"/>
                <c:pt idx="0">
                  <c:v>Oxygen</c:v>
                </c:pt>
              </c:strCache>
            </c:strRef>
          </c:tx>
          <c:spPr>
            <a:solidFill>
              <a:schemeClr val="accent3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'TRANSGENIC-LETTUCE'!$F$85:$I$85</c:f>
              <c:strCache>
                <c:ptCount val="4"/>
                <c:pt idx="0">
                  <c:v>System</c:v>
                </c:pt>
                <c:pt idx="1">
                  <c:v>Input</c:v>
                </c:pt>
                <c:pt idx="2">
                  <c:v>Output</c:v>
                </c:pt>
                <c:pt idx="3">
                  <c:v>Waste</c:v>
                </c:pt>
              </c:strCache>
            </c:strRef>
          </c:cat>
          <c:val>
            <c:numRef>
              <c:f>'TRANSGENIC-LETTUCE'!$F$100:$I$100</c:f>
              <c:numCache>
                <c:formatCode>General</c:formatCode>
                <c:ptCount val="4"/>
                <c:pt idx="2" formatCode="0.00E+00">
                  <c:v>3.0022820512820507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D-24B2-4E57-A3D5-0448A95223CA}"/>
            </c:ext>
          </c:extLst>
        </c:ser>
        <c:ser>
          <c:idx val="15"/>
          <c:order val="15"/>
          <c:tx>
            <c:strRef>
              <c:f>'TRANSGENIC-LETTUCE'!$A$101</c:f>
              <c:strCache>
                <c:ptCount val="1"/>
                <c:pt idx="0">
                  <c:v>Biomass Waste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'TRANSGENIC-LETTUCE'!$F$85:$I$85</c:f>
              <c:strCache>
                <c:ptCount val="4"/>
                <c:pt idx="0">
                  <c:v>System</c:v>
                </c:pt>
                <c:pt idx="1">
                  <c:v>Input</c:v>
                </c:pt>
                <c:pt idx="2">
                  <c:v>Output</c:v>
                </c:pt>
                <c:pt idx="3">
                  <c:v>Waste</c:v>
                </c:pt>
              </c:strCache>
            </c:strRef>
          </c:cat>
          <c:val>
            <c:numRef>
              <c:f>'TRANSGENIC-LETTUCE'!$F$101:$I$101</c:f>
              <c:numCache>
                <c:formatCode>General</c:formatCode>
                <c:ptCount val="4"/>
                <c:pt idx="3" formatCode="0.00E+00">
                  <c:v>6.1036111111111117E-2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F-24B2-4E57-A3D5-0448A95223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0"/>
        <c:overlap val="100"/>
        <c:axId val="312382031"/>
        <c:axId val="312385871"/>
      </c:barChart>
      <c:catAx>
        <c:axId val="3123820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2385871"/>
        <c:crosses val="autoZero"/>
        <c:auto val="1"/>
        <c:lblAlgn val="ctr"/>
        <c:lblOffset val="100"/>
        <c:noMultiLvlLbl val="0"/>
      </c:catAx>
      <c:valAx>
        <c:axId val="312385871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1" i="0" u="none" strike="noStrike" kern="1200" baseline="0">
                    <a:solidFill>
                      <a:sysClr val="windowText" lastClr="000000"/>
                    </a:solidFill>
                  </a:rPr>
                  <a:t>Volume (m</a:t>
                </a:r>
                <a:r>
                  <a:rPr lang="en-US" sz="1000" b="1" i="0" u="none" strike="noStrike" kern="1200" baseline="30000">
                    <a:solidFill>
                      <a:sysClr val="windowText" lastClr="000000"/>
                    </a:solidFill>
                  </a:rPr>
                  <a:t>3</a:t>
                </a:r>
                <a:r>
                  <a:rPr lang="en-US" sz="1000" b="1" i="0" u="none" strike="noStrike" kern="1200" baseline="0">
                    <a:solidFill>
                      <a:sysClr val="windowText" lastClr="000000"/>
                    </a:solidFill>
                  </a:rPr>
                  <a:t>/CM/Mission)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#,##0.0" sourceLinked="0"/>
        <c:majorTickMark val="out"/>
        <c:minorTickMark val="none"/>
        <c:tickLblPos val="nextTo"/>
        <c:spPr>
          <a:noFill/>
          <a:ln w="9525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2382031"/>
        <c:crosses val="autoZero"/>
        <c:crossBetween val="between"/>
      </c:valAx>
      <c:spPr>
        <a:ln>
          <a:solidFill>
            <a:schemeClr val="tx1"/>
          </a:solidFill>
        </a:ln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2"/>
      </a:solidFill>
      <a:round/>
    </a:ln>
    <a:effectLst/>
  </c:spPr>
  <c:txPr>
    <a:bodyPr/>
    <a:lstStyle/>
    <a:p>
      <a:pPr>
        <a:defRPr sz="1000" b="1"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none" strike="noStrike" kern="1200" spc="0" baseline="0">
                <a:solidFill>
                  <a:sysClr val="windowText" lastClr="000000"/>
                </a:solidFill>
              </a:rPr>
              <a:t>TRANSGENIC - LETTUCE Power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'TRANSGENIC-LETTUCE'!$A$86</c:f>
              <c:strCache>
                <c:ptCount val="1"/>
                <c:pt idx="0">
                  <c:v>Harvesting collection container</c:v>
                </c:pt>
              </c:strCache>
            </c:strRef>
          </c:tx>
          <c:spPr>
            <a:solidFill>
              <a:schemeClr val="accent2">
                <a:lumMod val="20000"/>
                <a:lumOff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'TRANSGENIC-LETTUCE'!$J$85:$M$85</c:f>
              <c:strCache>
                <c:ptCount val="4"/>
                <c:pt idx="0">
                  <c:v>System</c:v>
                </c:pt>
                <c:pt idx="1">
                  <c:v>Input</c:v>
                </c:pt>
                <c:pt idx="2">
                  <c:v>Output</c:v>
                </c:pt>
                <c:pt idx="3">
                  <c:v>Waste</c:v>
                </c:pt>
              </c:strCache>
            </c:strRef>
          </c:cat>
          <c:val>
            <c:numRef>
              <c:f>'TRANSGENIC-LETTUCE'!$J$86:$M$86</c:f>
              <c:numCache>
                <c:formatCode>General</c:formatCode>
                <c:ptCount val="4"/>
              </c:numCache>
            </c:numRef>
          </c:val>
          <c:extLst>
            <c:ext xmlns:c16="http://schemas.microsoft.com/office/drawing/2014/chart" uri="{C3380CC4-5D6E-409C-BE32-E72D297353CC}">
              <c16:uniqueId val="{00000011-C84F-4F32-82F3-6732FFF050E3}"/>
            </c:ext>
          </c:extLst>
        </c:ser>
        <c:ser>
          <c:idx val="1"/>
          <c:order val="1"/>
          <c:tx>
            <c:strRef>
              <c:f>'TRANSGENIC-LETTUCE'!$A$87</c:f>
              <c:strCache>
                <c:ptCount val="1"/>
                <c:pt idx="0">
                  <c:v>Harvesting tools</c:v>
                </c:pt>
              </c:strCache>
            </c:strRef>
          </c:tx>
          <c:spPr>
            <a:solidFill>
              <a:schemeClr val="accent2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'TRANSGENIC-LETTUCE'!$J$85:$M$85</c:f>
              <c:strCache>
                <c:ptCount val="4"/>
                <c:pt idx="0">
                  <c:v>System</c:v>
                </c:pt>
                <c:pt idx="1">
                  <c:v>Input</c:v>
                </c:pt>
                <c:pt idx="2">
                  <c:v>Output</c:v>
                </c:pt>
                <c:pt idx="3">
                  <c:v>Waste</c:v>
                </c:pt>
              </c:strCache>
            </c:strRef>
          </c:cat>
          <c:val>
            <c:numRef>
              <c:f>'TRANSGENIC-LETTUCE'!$J$87:$M$87</c:f>
              <c:numCache>
                <c:formatCode>General</c:formatCode>
                <c:ptCount val="4"/>
              </c:numCache>
            </c:numRef>
          </c:val>
          <c:extLst>
            <c:ext xmlns:c16="http://schemas.microsoft.com/office/drawing/2014/chart" uri="{C3380CC4-5D6E-409C-BE32-E72D297353CC}">
              <c16:uniqueId val="{00000013-C84F-4F32-82F3-6732FFF050E3}"/>
            </c:ext>
          </c:extLst>
        </c:ser>
        <c:ser>
          <c:idx val="2"/>
          <c:order val="2"/>
          <c:tx>
            <c:strRef>
              <c:f>'TRANSGENIC-LETTUCE'!$A$88</c:f>
              <c:strCache>
                <c:ptCount val="1"/>
                <c:pt idx="0">
                  <c:v>Refrigerator/Freezer</c:v>
                </c:pt>
              </c:strCache>
            </c:strRef>
          </c:tx>
          <c:spPr>
            <a:solidFill>
              <a:schemeClr val="accent2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'TRANSGENIC-LETTUCE'!$J$85:$M$85</c:f>
              <c:strCache>
                <c:ptCount val="4"/>
                <c:pt idx="0">
                  <c:v>System</c:v>
                </c:pt>
                <c:pt idx="1">
                  <c:v>Input</c:v>
                </c:pt>
                <c:pt idx="2">
                  <c:v>Output</c:v>
                </c:pt>
                <c:pt idx="3">
                  <c:v>Waste</c:v>
                </c:pt>
              </c:strCache>
            </c:strRef>
          </c:cat>
          <c:val>
            <c:numRef>
              <c:f>'TRANSGENIC-LETTUCE'!$J$88:$M$88</c:f>
              <c:numCache>
                <c:formatCode>General</c:formatCode>
                <c:ptCount val="4"/>
                <c:pt idx="0" formatCode="0.00E+00">
                  <c:v>5.056975E-4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5-C84F-4F32-82F3-6732FFF050E3}"/>
            </c:ext>
          </c:extLst>
        </c:ser>
        <c:ser>
          <c:idx val="3"/>
          <c:order val="3"/>
          <c:tx>
            <c:strRef>
              <c:f>'TRANSGENIC-LETTUCE'!$A$89</c:f>
              <c:strCache>
                <c:ptCount val="1"/>
                <c:pt idx="0">
                  <c:v>Lighting panels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'TRANSGENIC-LETTUCE'!$J$85:$M$85</c:f>
              <c:strCache>
                <c:ptCount val="4"/>
                <c:pt idx="0">
                  <c:v>System</c:v>
                </c:pt>
                <c:pt idx="1">
                  <c:v>Input</c:v>
                </c:pt>
                <c:pt idx="2">
                  <c:v>Output</c:v>
                </c:pt>
                <c:pt idx="3">
                  <c:v>Waste</c:v>
                </c:pt>
              </c:strCache>
            </c:strRef>
          </c:cat>
          <c:val>
            <c:numRef>
              <c:f>'TRANSGENIC-LETTUCE'!$J$89:$M$89</c:f>
              <c:numCache>
                <c:formatCode>General</c:formatCode>
                <c:ptCount val="4"/>
                <c:pt idx="0" formatCode="0.00E+00">
                  <c:v>0.40560000000000002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7-C84F-4F32-82F3-6732FFF050E3}"/>
            </c:ext>
          </c:extLst>
        </c:ser>
        <c:ser>
          <c:idx val="4"/>
          <c:order val="4"/>
          <c:tx>
            <c:strRef>
              <c:f>'TRANSGENIC-LETTUCE'!$A$90</c:f>
              <c:strCache>
                <c:ptCount val="1"/>
                <c:pt idx="0">
                  <c:v>Plant growth chamber</c:v>
                </c:pt>
              </c:strCache>
            </c:strRef>
          </c:tx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strRef>
              <c:f>'TRANSGENIC-LETTUCE'!$J$85:$M$85</c:f>
              <c:strCache>
                <c:ptCount val="4"/>
                <c:pt idx="0">
                  <c:v>System</c:v>
                </c:pt>
                <c:pt idx="1">
                  <c:v>Input</c:v>
                </c:pt>
                <c:pt idx="2">
                  <c:v>Output</c:v>
                </c:pt>
                <c:pt idx="3">
                  <c:v>Waste</c:v>
                </c:pt>
              </c:strCache>
            </c:strRef>
          </c:cat>
          <c:val>
            <c:numRef>
              <c:f>'TRANSGENIC-LETTUCE'!$J$90:$M$90</c:f>
              <c:numCache>
                <c:formatCode>General</c:formatCode>
                <c:ptCount val="4"/>
                <c:pt idx="0" formatCode="0.00E+00">
                  <c:v>0.35416666666666669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9-C84F-4F32-82F3-6732FFF050E3}"/>
            </c:ext>
          </c:extLst>
        </c:ser>
        <c:ser>
          <c:idx val="5"/>
          <c:order val="5"/>
          <c:tx>
            <c:strRef>
              <c:f>'TRANSGENIC-LETTUCE'!$A$91</c:f>
              <c:strCache>
                <c:ptCount val="1"/>
                <c:pt idx="0">
                  <c:v>Lettuce seeds</c:v>
                </c:pt>
              </c:strCache>
            </c:strRef>
          </c:tx>
          <c:spPr>
            <a:solidFill>
              <a:schemeClr val="accent4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strRef>
              <c:f>'TRANSGENIC-LETTUCE'!$J$85:$M$85</c:f>
              <c:strCache>
                <c:ptCount val="4"/>
                <c:pt idx="0">
                  <c:v>System</c:v>
                </c:pt>
                <c:pt idx="1">
                  <c:v>Input</c:v>
                </c:pt>
                <c:pt idx="2">
                  <c:v>Output</c:v>
                </c:pt>
                <c:pt idx="3">
                  <c:v>Waste</c:v>
                </c:pt>
              </c:strCache>
            </c:strRef>
          </c:cat>
          <c:val>
            <c:numRef>
              <c:f>'TRANSGENIC-LETTUCE'!$J$91:$M$91</c:f>
              <c:numCache>
                <c:formatCode>0.00E+00</c:formatCode>
                <c:ptCount val="4"/>
              </c:numCache>
            </c:numRef>
          </c:val>
          <c:extLst>
            <c:ext xmlns:c16="http://schemas.microsoft.com/office/drawing/2014/chart" uri="{C3380CC4-5D6E-409C-BE32-E72D297353CC}">
              <c16:uniqueId val="{0000001B-C84F-4F32-82F3-6732FFF050E3}"/>
            </c:ext>
          </c:extLst>
        </c:ser>
        <c:ser>
          <c:idx val="6"/>
          <c:order val="6"/>
          <c:tx>
            <c:strRef>
              <c:f>'TRANSGENIC-LETTUCE'!$A$92</c:f>
              <c:strCache>
                <c:ptCount val="1"/>
                <c:pt idx="0">
                  <c:v>Water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'TRANSGENIC-LETTUCE'!$J$85:$M$85</c:f>
              <c:strCache>
                <c:ptCount val="4"/>
                <c:pt idx="0">
                  <c:v>System</c:v>
                </c:pt>
                <c:pt idx="1">
                  <c:v>Input</c:v>
                </c:pt>
                <c:pt idx="2">
                  <c:v>Output</c:v>
                </c:pt>
                <c:pt idx="3">
                  <c:v>Waste</c:v>
                </c:pt>
              </c:strCache>
            </c:strRef>
          </c:cat>
          <c:val>
            <c:numRef>
              <c:f>'TRANSGENIC-LETTUCE'!$J$92:$M$92</c:f>
              <c:numCache>
                <c:formatCode>0.00E+00</c:formatCode>
                <c:ptCount val="4"/>
              </c:numCache>
            </c:numRef>
          </c:val>
          <c:extLst>
            <c:ext xmlns:c16="http://schemas.microsoft.com/office/drawing/2014/chart" uri="{C3380CC4-5D6E-409C-BE32-E72D297353CC}">
              <c16:uniqueId val="{0000001D-C84F-4F32-82F3-6732FFF050E3}"/>
            </c:ext>
          </c:extLst>
        </c:ser>
        <c:ser>
          <c:idx val="7"/>
          <c:order val="7"/>
          <c:tx>
            <c:strRef>
              <c:f>'TRANSGENIC-LETTUCE'!$A$93</c:f>
              <c:strCache>
                <c:ptCount val="1"/>
                <c:pt idx="0">
                  <c:v>Plant nutrients</c:v>
                </c:pt>
              </c:strCache>
            </c:strRef>
          </c:tx>
          <c:spPr>
            <a:solidFill>
              <a:schemeClr val="accent4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'TRANSGENIC-LETTUCE'!$J$85:$M$85</c:f>
              <c:strCache>
                <c:ptCount val="4"/>
                <c:pt idx="0">
                  <c:v>System</c:v>
                </c:pt>
                <c:pt idx="1">
                  <c:v>Input</c:v>
                </c:pt>
                <c:pt idx="2">
                  <c:v>Output</c:v>
                </c:pt>
                <c:pt idx="3">
                  <c:v>Waste</c:v>
                </c:pt>
              </c:strCache>
            </c:strRef>
          </c:cat>
          <c:val>
            <c:numRef>
              <c:f>'TRANSGENIC-LETTUCE'!$J$93:$M$93</c:f>
              <c:numCache>
                <c:formatCode>0.00E+00</c:formatCode>
                <c:ptCount val="4"/>
              </c:numCache>
            </c:numRef>
          </c:val>
          <c:extLst>
            <c:ext xmlns:c16="http://schemas.microsoft.com/office/drawing/2014/chart" uri="{C3380CC4-5D6E-409C-BE32-E72D297353CC}">
              <c16:uniqueId val="{0000001F-C84F-4F32-82F3-6732FFF050E3}"/>
            </c:ext>
          </c:extLst>
        </c:ser>
        <c:ser>
          <c:idx val="8"/>
          <c:order val="8"/>
          <c:tx>
            <c:strRef>
              <c:f>'TRANSGENIC-LETTUCE'!$A$94</c:f>
              <c:strCache>
                <c:ptCount val="1"/>
                <c:pt idx="0">
                  <c:v>Carbon dioxide</c:v>
                </c:pt>
              </c:strCache>
            </c:strRef>
          </c:tx>
          <c:spPr>
            <a:solidFill>
              <a:schemeClr val="accent4">
                <a:lumMod val="20000"/>
                <a:lumOff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'TRANSGENIC-LETTUCE'!$J$85:$M$85</c:f>
              <c:strCache>
                <c:ptCount val="4"/>
                <c:pt idx="0">
                  <c:v>System</c:v>
                </c:pt>
                <c:pt idx="1">
                  <c:v>Input</c:v>
                </c:pt>
                <c:pt idx="2">
                  <c:v>Output</c:v>
                </c:pt>
                <c:pt idx="3">
                  <c:v>Waste</c:v>
                </c:pt>
              </c:strCache>
            </c:strRef>
          </c:cat>
          <c:val>
            <c:numRef>
              <c:f>'TRANSGENIC-LETTUCE'!$J$94:$M$94</c:f>
              <c:numCache>
                <c:formatCode>0.00E+00</c:formatCode>
                <c:ptCount val="4"/>
              </c:numCache>
            </c:numRef>
          </c:val>
          <c:extLst>
            <c:ext xmlns:c16="http://schemas.microsoft.com/office/drawing/2014/chart" uri="{C3380CC4-5D6E-409C-BE32-E72D297353CC}">
              <c16:uniqueId val="{00000021-C84F-4F32-82F3-6732FFF050E3}"/>
            </c:ext>
          </c:extLst>
        </c:ser>
        <c:ser>
          <c:idx val="9"/>
          <c:order val="9"/>
          <c:tx>
            <c:strRef>
              <c:f>'TRANSGENIC-LETTUCE'!$A$95</c:f>
              <c:strCache>
                <c:ptCount val="1"/>
                <c:pt idx="0">
                  <c:v>PTH-Fc</c:v>
                </c:pt>
              </c:strCache>
            </c:strRef>
          </c:tx>
          <c:spPr>
            <a:solidFill>
              <a:srgbClr val="FFC000"/>
            </a:solidFill>
            <a:ln>
              <a:noFill/>
            </a:ln>
            <a:effectLst/>
          </c:spPr>
          <c:invertIfNegative val="0"/>
          <c:cat>
            <c:strRef>
              <c:f>'TRANSGENIC-LETTUCE'!$J$85:$M$85</c:f>
              <c:strCache>
                <c:ptCount val="4"/>
                <c:pt idx="0">
                  <c:v>System</c:v>
                </c:pt>
                <c:pt idx="1">
                  <c:v>Input</c:v>
                </c:pt>
                <c:pt idx="2">
                  <c:v>Output</c:v>
                </c:pt>
                <c:pt idx="3">
                  <c:v>Waste</c:v>
                </c:pt>
              </c:strCache>
            </c:strRef>
          </c:cat>
          <c:val>
            <c:numRef>
              <c:f>'TRANSGENIC-LETTUCE'!$J$95:$M$95</c:f>
              <c:numCache>
                <c:formatCode>General</c:formatCode>
                <c:ptCount val="4"/>
              </c:numCache>
            </c:numRef>
          </c:val>
          <c:extLst>
            <c:ext xmlns:c16="http://schemas.microsoft.com/office/drawing/2014/chart" uri="{C3380CC4-5D6E-409C-BE32-E72D297353CC}">
              <c16:uniqueId val="{00000023-C84F-4F32-82F3-6732FFF050E3}"/>
            </c:ext>
          </c:extLst>
        </c:ser>
        <c:ser>
          <c:idx val="10"/>
          <c:order val="10"/>
          <c:tx>
            <c:strRef>
              <c:f>'TRANSGENIC-LETTUCE'!$A$96</c:f>
              <c:strCache>
                <c:ptCount val="1"/>
                <c:pt idx="0">
                  <c:v>Plant biomass</c:v>
                </c:pt>
              </c:strCache>
            </c:strRef>
          </c:tx>
          <c:spPr>
            <a:solidFill>
              <a:schemeClr val="accent6">
                <a:lumMod val="75000"/>
              </a:schemeClr>
            </a:solidFill>
          </c:spPr>
          <c:invertIfNegative val="0"/>
          <c:cat>
            <c:strRef>
              <c:f>'TRANSGENIC-LETTUCE'!$J$85:$M$85</c:f>
              <c:strCache>
                <c:ptCount val="4"/>
                <c:pt idx="0">
                  <c:v>System</c:v>
                </c:pt>
                <c:pt idx="1">
                  <c:v>Input</c:v>
                </c:pt>
                <c:pt idx="2">
                  <c:v>Output</c:v>
                </c:pt>
                <c:pt idx="3">
                  <c:v>Waste</c:v>
                </c:pt>
              </c:strCache>
            </c:strRef>
          </c:cat>
          <c:val>
            <c:numRef>
              <c:f>'TRANSGENIC-LETTUCE'!$J$96:$M$96</c:f>
              <c:numCache>
                <c:formatCode>General</c:formatCode>
                <c:ptCount val="4"/>
              </c:numCache>
            </c:numRef>
          </c:val>
          <c:extLst>
            <c:ext xmlns:c16="http://schemas.microsoft.com/office/drawing/2014/chart" uri="{C3380CC4-5D6E-409C-BE32-E72D297353CC}">
              <c16:uniqueId val="{00000025-C84F-4F32-82F3-6732FFF050E3}"/>
            </c:ext>
          </c:extLst>
        </c:ser>
        <c:ser>
          <c:idx val="11"/>
          <c:order val="11"/>
          <c:tx>
            <c:strRef>
              <c:f>'TRANSGENIC-LETTUCE'!$A$97</c:f>
              <c:strCache>
                <c:ptCount val="1"/>
                <c:pt idx="0">
                  <c:v>Calories</c:v>
                </c:pt>
              </c:strCache>
            </c:strRef>
          </c:tx>
          <c:spPr>
            <a:solidFill>
              <a:schemeClr val="accent6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'TRANSGENIC-LETTUCE'!$J$85:$M$85</c:f>
              <c:strCache>
                <c:ptCount val="4"/>
                <c:pt idx="0">
                  <c:v>System</c:v>
                </c:pt>
                <c:pt idx="1">
                  <c:v>Input</c:v>
                </c:pt>
                <c:pt idx="2">
                  <c:v>Output</c:v>
                </c:pt>
                <c:pt idx="3">
                  <c:v>Waste</c:v>
                </c:pt>
              </c:strCache>
            </c:strRef>
          </c:cat>
          <c:val>
            <c:numRef>
              <c:f>'TRANSGENIC-LETTUCE'!$J$97:$M$97</c:f>
              <c:numCache>
                <c:formatCode>General</c:formatCode>
                <c:ptCount val="4"/>
                <c:pt idx="2" formatCode="0.00E+00">
                  <c:v>7.7495081095678986E-2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7-C84F-4F32-82F3-6732FFF050E3}"/>
            </c:ext>
          </c:extLst>
        </c:ser>
        <c:ser>
          <c:idx val="12"/>
          <c:order val="12"/>
          <c:tx>
            <c:strRef>
              <c:f>'TRANSGENIC-LETTUCE'!$A$98</c:f>
              <c:strCache>
                <c:ptCount val="1"/>
                <c:pt idx="0">
                  <c:v>Macronutrients</c:v>
                </c:pt>
              </c:strCache>
            </c:strRef>
          </c:tx>
          <c:spPr>
            <a:solidFill>
              <a:schemeClr val="accent6">
                <a:lumMod val="40000"/>
                <a:lumOff val="60000"/>
              </a:schemeClr>
            </a:solidFill>
          </c:spPr>
          <c:invertIfNegative val="0"/>
          <c:cat>
            <c:strRef>
              <c:f>'TRANSGENIC-LETTUCE'!$J$85:$M$85</c:f>
              <c:strCache>
                <c:ptCount val="4"/>
                <c:pt idx="0">
                  <c:v>System</c:v>
                </c:pt>
                <c:pt idx="1">
                  <c:v>Input</c:v>
                </c:pt>
                <c:pt idx="2">
                  <c:v>Output</c:v>
                </c:pt>
                <c:pt idx="3">
                  <c:v>Waste</c:v>
                </c:pt>
              </c:strCache>
            </c:strRef>
          </c:cat>
          <c:val>
            <c:numRef>
              <c:f>'TRANSGENIC-LETTUCE'!$J$98:$M$98</c:f>
              <c:numCache>
                <c:formatCode>General</c:formatCode>
                <c:ptCount val="4"/>
              </c:numCache>
            </c:numRef>
          </c:val>
          <c:extLst>
            <c:ext xmlns:c16="http://schemas.microsoft.com/office/drawing/2014/chart" uri="{C3380CC4-5D6E-409C-BE32-E72D297353CC}">
              <c16:uniqueId val="{00000029-C84F-4F32-82F3-6732FFF050E3}"/>
            </c:ext>
          </c:extLst>
        </c:ser>
        <c:ser>
          <c:idx val="13"/>
          <c:order val="13"/>
          <c:tx>
            <c:strRef>
              <c:f>'TRANSGENIC-LETTUCE'!$A$99</c:f>
              <c:strCache>
                <c:ptCount val="1"/>
                <c:pt idx="0">
                  <c:v>Micronutrients</c:v>
                </c:pt>
              </c:strCache>
            </c:strRef>
          </c:tx>
          <c:spPr>
            <a:solidFill>
              <a:schemeClr val="accent6">
                <a:lumMod val="20000"/>
                <a:lumOff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'TRANSGENIC-LETTUCE'!$J$85:$M$85</c:f>
              <c:strCache>
                <c:ptCount val="4"/>
                <c:pt idx="0">
                  <c:v>System</c:v>
                </c:pt>
                <c:pt idx="1">
                  <c:v>Input</c:v>
                </c:pt>
                <c:pt idx="2">
                  <c:v>Output</c:v>
                </c:pt>
                <c:pt idx="3">
                  <c:v>Waste</c:v>
                </c:pt>
              </c:strCache>
            </c:strRef>
          </c:cat>
          <c:val>
            <c:numRef>
              <c:f>'TRANSGENIC-LETTUCE'!$J$99:$M$99</c:f>
              <c:numCache>
                <c:formatCode>General</c:formatCode>
                <c:ptCount val="4"/>
              </c:numCache>
            </c:numRef>
          </c:val>
          <c:extLst>
            <c:ext xmlns:c16="http://schemas.microsoft.com/office/drawing/2014/chart" uri="{C3380CC4-5D6E-409C-BE32-E72D297353CC}">
              <c16:uniqueId val="{0000002B-C84F-4F32-82F3-6732FFF050E3}"/>
            </c:ext>
          </c:extLst>
        </c:ser>
        <c:ser>
          <c:idx val="14"/>
          <c:order val="14"/>
          <c:tx>
            <c:strRef>
              <c:f>'TRANSGENIC-LETTUCE'!$A$100</c:f>
              <c:strCache>
                <c:ptCount val="1"/>
                <c:pt idx="0">
                  <c:v>Oxygen</c:v>
                </c:pt>
              </c:strCache>
            </c:strRef>
          </c:tx>
          <c:spPr>
            <a:solidFill>
              <a:schemeClr val="accent3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'TRANSGENIC-LETTUCE'!$J$85:$M$85</c:f>
              <c:strCache>
                <c:ptCount val="4"/>
                <c:pt idx="0">
                  <c:v>System</c:v>
                </c:pt>
                <c:pt idx="1">
                  <c:v>Input</c:v>
                </c:pt>
                <c:pt idx="2">
                  <c:v>Output</c:v>
                </c:pt>
                <c:pt idx="3">
                  <c:v>Waste</c:v>
                </c:pt>
              </c:strCache>
            </c:strRef>
          </c:cat>
          <c:val>
            <c:numRef>
              <c:f>'TRANSGENIC-LETTUCE'!$J$100:$M$100</c:f>
              <c:numCache>
                <c:formatCode>General</c:formatCode>
                <c:ptCount val="4"/>
              </c:numCache>
            </c:numRef>
          </c:val>
          <c:extLst>
            <c:ext xmlns:c16="http://schemas.microsoft.com/office/drawing/2014/chart" uri="{C3380CC4-5D6E-409C-BE32-E72D297353CC}">
              <c16:uniqueId val="{0000002D-C84F-4F32-82F3-6732FFF050E3}"/>
            </c:ext>
          </c:extLst>
        </c:ser>
        <c:ser>
          <c:idx val="15"/>
          <c:order val="15"/>
          <c:tx>
            <c:strRef>
              <c:f>'TRANSGENIC-LETTUCE'!$A$101</c:f>
              <c:strCache>
                <c:ptCount val="1"/>
                <c:pt idx="0">
                  <c:v>Biomass Waste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'TRANSGENIC-LETTUCE'!$J$85:$M$85</c:f>
              <c:strCache>
                <c:ptCount val="4"/>
                <c:pt idx="0">
                  <c:v>System</c:v>
                </c:pt>
                <c:pt idx="1">
                  <c:v>Input</c:v>
                </c:pt>
                <c:pt idx="2">
                  <c:v>Output</c:v>
                </c:pt>
                <c:pt idx="3">
                  <c:v>Waste</c:v>
                </c:pt>
              </c:strCache>
            </c:strRef>
          </c:cat>
          <c:val>
            <c:numRef>
              <c:f>'TRANSGENIC-LETTUCE'!$J$101:$M$101</c:f>
              <c:numCache>
                <c:formatCode>General</c:formatCode>
                <c:ptCount val="4"/>
              </c:numCache>
            </c:numRef>
          </c:val>
          <c:extLst>
            <c:ext xmlns:c16="http://schemas.microsoft.com/office/drawing/2014/chart" uri="{C3380CC4-5D6E-409C-BE32-E72D297353CC}">
              <c16:uniqueId val="{0000002F-C84F-4F32-82F3-6732FFF050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0"/>
        <c:overlap val="100"/>
        <c:axId val="312382031"/>
        <c:axId val="312385871"/>
      </c:barChart>
      <c:catAx>
        <c:axId val="3123820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2385871"/>
        <c:crosses val="autoZero"/>
        <c:auto val="1"/>
        <c:lblAlgn val="ctr"/>
        <c:lblOffset val="100"/>
        <c:noMultiLvlLbl val="0"/>
      </c:catAx>
      <c:valAx>
        <c:axId val="312385871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1" i="0" u="none" strike="noStrike" kern="1200" baseline="0">
                    <a:solidFill>
                      <a:sysClr val="windowText" lastClr="000000"/>
                    </a:solidFill>
                  </a:rPr>
                  <a:t>Power (kW/CM/Mission)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#,##0.0" sourceLinked="0"/>
        <c:majorTickMark val="out"/>
        <c:minorTickMark val="none"/>
        <c:tickLblPos val="nextTo"/>
        <c:spPr>
          <a:noFill/>
          <a:ln w="9525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2382031"/>
        <c:crosses val="autoZero"/>
        <c:crossBetween val="between"/>
      </c:valAx>
      <c:spPr>
        <a:ln>
          <a:solidFill>
            <a:schemeClr val="tx1"/>
          </a:solidFill>
        </a:ln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2"/>
      </a:solidFill>
      <a:round/>
    </a:ln>
    <a:effectLst/>
  </c:spPr>
  <c:txPr>
    <a:bodyPr/>
    <a:lstStyle/>
    <a:p>
      <a:pPr>
        <a:defRPr sz="1000" b="1"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none" strike="noStrike" kern="1200" spc="0" baseline="0">
                <a:solidFill>
                  <a:sysClr val="windowText" lastClr="000000"/>
                </a:solidFill>
              </a:rPr>
              <a:t>TRANSGENIC - LETTUCE Crew Time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'TRANSGENIC-LETTUCE'!$A$86</c:f>
              <c:strCache>
                <c:ptCount val="1"/>
                <c:pt idx="0">
                  <c:v>Harvesting collection container</c:v>
                </c:pt>
              </c:strCache>
            </c:strRef>
          </c:tx>
          <c:spPr>
            <a:solidFill>
              <a:schemeClr val="accent2">
                <a:lumMod val="20000"/>
                <a:lumOff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'TRANSGENIC-LETTUCE'!$N$85:$O$85</c:f>
              <c:strCache>
                <c:ptCount val="2"/>
                <c:pt idx="0">
                  <c:v>System</c:v>
                </c:pt>
                <c:pt idx="1">
                  <c:v>Process Operations</c:v>
                </c:pt>
              </c:strCache>
            </c:strRef>
          </c:cat>
          <c:val>
            <c:numRef>
              <c:f>'TRANSGENIC-LETTUCE'!$N$86:$O$86</c:f>
              <c:numCache>
                <c:formatCode>General</c:formatCode>
                <c:ptCount val="2"/>
              </c:numCache>
            </c:numRef>
          </c:val>
          <c:extLst>
            <c:ext xmlns:c16="http://schemas.microsoft.com/office/drawing/2014/chart" uri="{C3380CC4-5D6E-409C-BE32-E72D297353CC}">
              <c16:uniqueId val="{00000001-DC44-4B92-B2C6-023F7EB4F6C4}"/>
            </c:ext>
          </c:extLst>
        </c:ser>
        <c:ser>
          <c:idx val="1"/>
          <c:order val="1"/>
          <c:tx>
            <c:strRef>
              <c:f>'TRANSGENIC-LETTUCE'!$A$87</c:f>
              <c:strCache>
                <c:ptCount val="1"/>
                <c:pt idx="0">
                  <c:v>Harvesting tools</c:v>
                </c:pt>
              </c:strCache>
            </c:strRef>
          </c:tx>
          <c:spPr>
            <a:solidFill>
              <a:schemeClr val="accent2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'TRANSGENIC-LETTUCE'!$N$85:$O$85</c:f>
              <c:strCache>
                <c:ptCount val="2"/>
                <c:pt idx="0">
                  <c:v>System</c:v>
                </c:pt>
                <c:pt idx="1">
                  <c:v>Process Operations</c:v>
                </c:pt>
              </c:strCache>
            </c:strRef>
          </c:cat>
          <c:val>
            <c:numRef>
              <c:f>'TRANSGENIC-LETTUCE'!$N$87:$O$87</c:f>
              <c:numCache>
                <c:formatCode>General</c:formatCode>
                <c:ptCount val="2"/>
              </c:numCache>
            </c:numRef>
          </c:val>
          <c:extLst>
            <c:ext xmlns:c16="http://schemas.microsoft.com/office/drawing/2014/chart" uri="{C3380CC4-5D6E-409C-BE32-E72D297353CC}">
              <c16:uniqueId val="{00000003-DC44-4B92-B2C6-023F7EB4F6C4}"/>
            </c:ext>
          </c:extLst>
        </c:ser>
        <c:ser>
          <c:idx val="2"/>
          <c:order val="2"/>
          <c:tx>
            <c:strRef>
              <c:f>'TRANSGENIC-LETTUCE'!$A$88</c:f>
              <c:strCache>
                <c:ptCount val="1"/>
                <c:pt idx="0">
                  <c:v>Refrigerator/Freezer</c:v>
                </c:pt>
              </c:strCache>
            </c:strRef>
          </c:tx>
          <c:spPr>
            <a:solidFill>
              <a:schemeClr val="accent2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'TRANSGENIC-LETTUCE'!$N$85:$O$85</c:f>
              <c:strCache>
                <c:ptCount val="2"/>
                <c:pt idx="0">
                  <c:v>System</c:v>
                </c:pt>
                <c:pt idx="1">
                  <c:v>Process Operations</c:v>
                </c:pt>
              </c:strCache>
            </c:strRef>
          </c:cat>
          <c:val>
            <c:numRef>
              <c:f>'TRANSGENIC-LETTUCE'!$N$88:$O$88</c:f>
              <c:numCache>
                <c:formatCode>General</c:formatCode>
                <c:ptCount val="2"/>
              </c:numCache>
            </c:numRef>
          </c:val>
          <c:extLst>
            <c:ext xmlns:c16="http://schemas.microsoft.com/office/drawing/2014/chart" uri="{C3380CC4-5D6E-409C-BE32-E72D297353CC}">
              <c16:uniqueId val="{00000005-DC44-4B92-B2C6-023F7EB4F6C4}"/>
            </c:ext>
          </c:extLst>
        </c:ser>
        <c:ser>
          <c:idx val="3"/>
          <c:order val="3"/>
          <c:tx>
            <c:strRef>
              <c:f>'TRANSGENIC-LETTUCE'!$A$89</c:f>
              <c:strCache>
                <c:ptCount val="1"/>
                <c:pt idx="0">
                  <c:v>Lighting panels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'TRANSGENIC-LETTUCE'!$N$85:$O$85</c:f>
              <c:strCache>
                <c:ptCount val="2"/>
                <c:pt idx="0">
                  <c:v>System</c:v>
                </c:pt>
                <c:pt idx="1">
                  <c:v>Process Operations</c:v>
                </c:pt>
              </c:strCache>
            </c:strRef>
          </c:cat>
          <c:val>
            <c:numRef>
              <c:f>'TRANSGENIC-LETTUCE'!$N$89:$O$89</c:f>
              <c:numCache>
                <c:formatCode>General</c:formatCode>
                <c:ptCount val="2"/>
              </c:numCache>
            </c:numRef>
          </c:val>
          <c:extLst>
            <c:ext xmlns:c16="http://schemas.microsoft.com/office/drawing/2014/chart" uri="{C3380CC4-5D6E-409C-BE32-E72D297353CC}">
              <c16:uniqueId val="{00000007-DC44-4B92-B2C6-023F7EB4F6C4}"/>
            </c:ext>
          </c:extLst>
        </c:ser>
        <c:ser>
          <c:idx val="4"/>
          <c:order val="4"/>
          <c:tx>
            <c:strRef>
              <c:f>'TRANSGENIC-LETTUCE'!$A$90</c:f>
              <c:strCache>
                <c:ptCount val="1"/>
                <c:pt idx="0">
                  <c:v>Plant growth chamber</c:v>
                </c:pt>
              </c:strCache>
            </c:strRef>
          </c:tx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strRef>
              <c:f>'TRANSGENIC-LETTUCE'!$N$85:$O$85</c:f>
              <c:strCache>
                <c:ptCount val="2"/>
                <c:pt idx="0">
                  <c:v>System</c:v>
                </c:pt>
                <c:pt idx="1">
                  <c:v>Process Operations</c:v>
                </c:pt>
              </c:strCache>
            </c:strRef>
          </c:cat>
          <c:val>
            <c:numRef>
              <c:f>'TRANSGENIC-LETTUCE'!$N$90:$O$90</c:f>
              <c:numCache>
                <c:formatCode>General</c:formatCode>
                <c:ptCount val="2"/>
              </c:numCache>
            </c:numRef>
          </c:val>
          <c:extLst>
            <c:ext xmlns:c16="http://schemas.microsoft.com/office/drawing/2014/chart" uri="{C3380CC4-5D6E-409C-BE32-E72D297353CC}">
              <c16:uniqueId val="{00000009-DC44-4B92-B2C6-023F7EB4F6C4}"/>
            </c:ext>
          </c:extLst>
        </c:ser>
        <c:ser>
          <c:idx val="5"/>
          <c:order val="5"/>
          <c:tx>
            <c:strRef>
              <c:f>'TRANSGENIC-LETTUCE'!$A$91</c:f>
              <c:strCache>
                <c:ptCount val="1"/>
                <c:pt idx="0">
                  <c:v>Lettuce seeds</c:v>
                </c:pt>
              </c:strCache>
            </c:strRef>
          </c:tx>
          <c:spPr>
            <a:solidFill>
              <a:schemeClr val="accent4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strRef>
              <c:f>'TRANSGENIC-LETTUCE'!$N$85:$O$85</c:f>
              <c:strCache>
                <c:ptCount val="2"/>
                <c:pt idx="0">
                  <c:v>System</c:v>
                </c:pt>
                <c:pt idx="1">
                  <c:v>Process Operations</c:v>
                </c:pt>
              </c:strCache>
            </c:strRef>
          </c:cat>
          <c:val>
            <c:numRef>
              <c:f>'TRANSGENIC-LETTUCE'!$N$91:$O$91</c:f>
              <c:numCache>
                <c:formatCode>0.00E+00</c:formatCode>
                <c:ptCount val="2"/>
                <c:pt idx="1">
                  <c:v>0.86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DC44-4B92-B2C6-023F7EB4F6C4}"/>
            </c:ext>
          </c:extLst>
        </c:ser>
        <c:ser>
          <c:idx val="6"/>
          <c:order val="6"/>
          <c:tx>
            <c:strRef>
              <c:f>'TRANSGENIC-LETTUCE'!$A$92</c:f>
              <c:strCache>
                <c:ptCount val="1"/>
                <c:pt idx="0">
                  <c:v>Water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'TRANSGENIC-LETTUCE'!$N$85:$O$85</c:f>
              <c:strCache>
                <c:ptCount val="2"/>
                <c:pt idx="0">
                  <c:v>System</c:v>
                </c:pt>
                <c:pt idx="1">
                  <c:v>Process Operations</c:v>
                </c:pt>
              </c:strCache>
            </c:strRef>
          </c:cat>
          <c:val>
            <c:numRef>
              <c:f>'TRANSGENIC-LETTUCE'!$N$92:$O$92</c:f>
              <c:numCache>
                <c:formatCode>0.00E+00</c:formatCode>
                <c:ptCount val="2"/>
                <c:pt idx="1">
                  <c:v>0.98958904109589063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DC44-4B92-B2C6-023F7EB4F6C4}"/>
            </c:ext>
          </c:extLst>
        </c:ser>
        <c:ser>
          <c:idx val="7"/>
          <c:order val="7"/>
          <c:tx>
            <c:strRef>
              <c:f>'TRANSGENIC-LETTUCE'!$A$93</c:f>
              <c:strCache>
                <c:ptCount val="1"/>
                <c:pt idx="0">
                  <c:v>Plant nutrients</c:v>
                </c:pt>
              </c:strCache>
            </c:strRef>
          </c:tx>
          <c:spPr>
            <a:solidFill>
              <a:schemeClr val="accent4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'TRANSGENIC-LETTUCE'!$N$85:$O$85</c:f>
              <c:strCache>
                <c:ptCount val="2"/>
                <c:pt idx="0">
                  <c:v>System</c:v>
                </c:pt>
                <c:pt idx="1">
                  <c:v>Process Operations</c:v>
                </c:pt>
              </c:strCache>
            </c:strRef>
          </c:cat>
          <c:val>
            <c:numRef>
              <c:f>'TRANSGENIC-LETTUCE'!$N$93:$O$93</c:f>
              <c:numCache>
                <c:formatCode>0.00E+00</c:formatCode>
                <c:ptCount val="2"/>
                <c:pt idx="1">
                  <c:v>2.0237233333333338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DC44-4B92-B2C6-023F7EB4F6C4}"/>
            </c:ext>
          </c:extLst>
        </c:ser>
        <c:ser>
          <c:idx val="8"/>
          <c:order val="8"/>
          <c:tx>
            <c:strRef>
              <c:f>'TRANSGENIC-LETTUCE'!$A$94</c:f>
              <c:strCache>
                <c:ptCount val="1"/>
                <c:pt idx="0">
                  <c:v>Carbon dioxide</c:v>
                </c:pt>
              </c:strCache>
            </c:strRef>
          </c:tx>
          <c:spPr>
            <a:solidFill>
              <a:schemeClr val="accent4">
                <a:lumMod val="20000"/>
                <a:lumOff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'TRANSGENIC-LETTUCE'!$N$85:$O$85</c:f>
              <c:strCache>
                <c:ptCount val="2"/>
                <c:pt idx="0">
                  <c:v>System</c:v>
                </c:pt>
                <c:pt idx="1">
                  <c:v>Process Operations</c:v>
                </c:pt>
              </c:strCache>
            </c:strRef>
          </c:cat>
          <c:val>
            <c:numRef>
              <c:f>'TRANSGENIC-LETTUCE'!$N$94:$O$94</c:f>
              <c:numCache>
                <c:formatCode>0.00E+00</c:formatCode>
                <c:ptCount val="2"/>
                <c:pt idx="1">
                  <c:v>32.0565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1-DC44-4B92-B2C6-023F7EB4F6C4}"/>
            </c:ext>
          </c:extLst>
        </c:ser>
        <c:ser>
          <c:idx val="9"/>
          <c:order val="9"/>
          <c:tx>
            <c:strRef>
              <c:f>'TRANSGENIC-LETTUCE'!$A$95</c:f>
              <c:strCache>
                <c:ptCount val="1"/>
                <c:pt idx="0">
                  <c:v>PTH-Fc</c:v>
                </c:pt>
              </c:strCache>
            </c:strRef>
          </c:tx>
          <c:spPr>
            <a:solidFill>
              <a:srgbClr val="FFC000"/>
            </a:solidFill>
            <a:ln>
              <a:noFill/>
            </a:ln>
            <a:effectLst/>
          </c:spPr>
          <c:invertIfNegative val="0"/>
          <c:cat>
            <c:strRef>
              <c:f>'TRANSGENIC-LETTUCE'!$N$85:$O$85</c:f>
              <c:strCache>
                <c:ptCount val="2"/>
                <c:pt idx="0">
                  <c:v>System</c:v>
                </c:pt>
                <c:pt idx="1">
                  <c:v>Process Operations</c:v>
                </c:pt>
              </c:strCache>
            </c:strRef>
          </c:cat>
          <c:val>
            <c:numRef>
              <c:f>'TRANSGENIC-LETTUCE'!$N$95:$O$95</c:f>
              <c:numCache>
                <c:formatCode>0.00E+00</c:formatCode>
                <c:ptCount val="2"/>
              </c:numCache>
            </c:numRef>
          </c:val>
          <c:extLst>
            <c:ext xmlns:c16="http://schemas.microsoft.com/office/drawing/2014/chart" uri="{C3380CC4-5D6E-409C-BE32-E72D297353CC}">
              <c16:uniqueId val="{00000013-DC44-4B92-B2C6-023F7EB4F6C4}"/>
            </c:ext>
          </c:extLst>
        </c:ser>
        <c:ser>
          <c:idx val="10"/>
          <c:order val="10"/>
          <c:tx>
            <c:strRef>
              <c:f>'TRANSGENIC-LETTUCE'!$A$96</c:f>
              <c:strCache>
                <c:ptCount val="1"/>
                <c:pt idx="0">
                  <c:v>Plant biomass</c:v>
                </c:pt>
              </c:strCache>
            </c:strRef>
          </c:tx>
          <c:spPr>
            <a:solidFill>
              <a:schemeClr val="accent6">
                <a:lumMod val="75000"/>
              </a:schemeClr>
            </a:solidFill>
          </c:spPr>
          <c:invertIfNegative val="0"/>
          <c:cat>
            <c:strRef>
              <c:f>'TRANSGENIC-LETTUCE'!$N$85:$O$85</c:f>
              <c:strCache>
                <c:ptCount val="2"/>
                <c:pt idx="0">
                  <c:v>System</c:v>
                </c:pt>
                <c:pt idx="1">
                  <c:v>Process Operations</c:v>
                </c:pt>
              </c:strCache>
            </c:strRef>
          </c:cat>
          <c:val>
            <c:numRef>
              <c:f>'TRANSGENIC-LETTUCE'!$N$96:$O$96</c:f>
              <c:numCache>
                <c:formatCode>0.00E+00</c:formatCode>
                <c:ptCount val="2"/>
                <c:pt idx="1">
                  <c:v>1.7782291666666665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5-DC44-4B92-B2C6-023F7EB4F6C4}"/>
            </c:ext>
          </c:extLst>
        </c:ser>
        <c:ser>
          <c:idx val="11"/>
          <c:order val="11"/>
          <c:tx>
            <c:strRef>
              <c:f>'TRANSGENIC-LETTUCE'!$A$97</c:f>
              <c:strCache>
                <c:ptCount val="1"/>
                <c:pt idx="0">
                  <c:v>Calories</c:v>
                </c:pt>
              </c:strCache>
            </c:strRef>
          </c:tx>
          <c:spPr>
            <a:solidFill>
              <a:schemeClr val="accent6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'TRANSGENIC-LETTUCE'!$N$85:$O$85</c:f>
              <c:strCache>
                <c:ptCount val="2"/>
                <c:pt idx="0">
                  <c:v>System</c:v>
                </c:pt>
                <c:pt idx="1">
                  <c:v>Process Operations</c:v>
                </c:pt>
              </c:strCache>
            </c:strRef>
          </c:cat>
          <c:val>
            <c:numRef>
              <c:f>'TRANSGENIC-LETTUCE'!$N$97:$O$97</c:f>
              <c:numCache>
                <c:formatCode>General</c:formatCode>
                <c:ptCount val="2"/>
              </c:numCache>
            </c:numRef>
          </c:val>
          <c:extLst>
            <c:ext xmlns:c16="http://schemas.microsoft.com/office/drawing/2014/chart" uri="{C3380CC4-5D6E-409C-BE32-E72D297353CC}">
              <c16:uniqueId val="{00000017-DC44-4B92-B2C6-023F7EB4F6C4}"/>
            </c:ext>
          </c:extLst>
        </c:ser>
        <c:ser>
          <c:idx val="12"/>
          <c:order val="12"/>
          <c:tx>
            <c:strRef>
              <c:f>'TRANSGENIC-LETTUCE'!$A$98</c:f>
              <c:strCache>
                <c:ptCount val="1"/>
                <c:pt idx="0">
                  <c:v>Macronutrients</c:v>
                </c:pt>
              </c:strCache>
            </c:strRef>
          </c:tx>
          <c:spPr>
            <a:solidFill>
              <a:schemeClr val="accent6">
                <a:lumMod val="40000"/>
                <a:lumOff val="60000"/>
              </a:schemeClr>
            </a:solidFill>
          </c:spPr>
          <c:invertIfNegative val="0"/>
          <c:cat>
            <c:strRef>
              <c:f>'TRANSGENIC-LETTUCE'!$N$85:$O$85</c:f>
              <c:strCache>
                <c:ptCount val="2"/>
                <c:pt idx="0">
                  <c:v>System</c:v>
                </c:pt>
                <c:pt idx="1">
                  <c:v>Process Operations</c:v>
                </c:pt>
              </c:strCache>
            </c:strRef>
          </c:cat>
          <c:val>
            <c:numRef>
              <c:f>'TRANSGENIC-LETTUCE'!$N$98:$O$98</c:f>
              <c:numCache>
                <c:formatCode>General</c:formatCode>
                <c:ptCount val="2"/>
              </c:numCache>
            </c:numRef>
          </c:val>
          <c:extLst>
            <c:ext xmlns:c16="http://schemas.microsoft.com/office/drawing/2014/chart" uri="{C3380CC4-5D6E-409C-BE32-E72D297353CC}">
              <c16:uniqueId val="{00000019-DC44-4B92-B2C6-023F7EB4F6C4}"/>
            </c:ext>
          </c:extLst>
        </c:ser>
        <c:ser>
          <c:idx val="13"/>
          <c:order val="13"/>
          <c:tx>
            <c:strRef>
              <c:f>'TRANSGENIC-LETTUCE'!$A$99</c:f>
              <c:strCache>
                <c:ptCount val="1"/>
                <c:pt idx="0">
                  <c:v>Micronutrients</c:v>
                </c:pt>
              </c:strCache>
            </c:strRef>
          </c:tx>
          <c:spPr>
            <a:solidFill>
              <a:schemeClr val="accent6">
                <a:lumMod val="20000"/>
                <a:lumOff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'TRANSGENIC-LETTUCE'!$N$85:$O$85</c:f>
              <c:strCache>
                <c:ptCount val="2"/>
                <c:pt idx="0">
                  <c:v>System</c:v>
                </c:pt>
                <c:pt idx="1">
                  <c:v>Process Operations</c:v>
                </c:pt>
              </c:strCache>
            </c:strRef>
          </c:cat>
          <c:val>
            <c:numRef>
              <c:f>'TRANSGENIC-LETTUCE'!$N$99:$O$99</c:f>
              <c:numCache>
                <c:formatCode>General</c:formatCode>
                <c:ptCount val="2"/>
              </c:numCache>
            </c:numRef>
          </c:val>
          <c:extLst>
            <c:ext xmlns:c16="http://schemas.microsoft.com/office/drawing/2014/chart" uri="{C3380CC4-5D6E-409C-BE32-E72D297353CC}">
              <c16:uniqueId val="{0000001B-DC44-4B92-B2C6-023F7EB4F6C4}"/>
            </c:ext>
          </c:extLst>
        </c:ser>
        <c:ser>
          <c:idx val="14"/>
          <c:order val="14"/>
          <c:tx>
            <c:strRef>
              <c:f>'TRANSGENIC-LETTUCE'!$A$100</c:f>
              <c:strCache>
                <c:ptCount val="1"/>
                <c:pt idx="0">
                  <c:v>Oxygen</c:v>
                </c:pt>
              </c:strCache>
            </c:strRef>
          </c:tx>
          <c:spPr>
            <a:solidFill>
              <a:schemeClr val="accent3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'TRANSGENIC-LETTUCE'!$N$85:$O$85</c:f>
              <c:strCache>
                <c:ptCount val="2"/>
                <c:pt idx="0">
                  <c:v>System</c:v>
                </c:pt>
                <c:pt idx="1">
                  <c:v>Process Operations</c:v>
                </c:pt>
              </c:strCache>
            </c:strRef>
          </c:cat>
          <c:val>
            <c:numRef>
              <c:f>'TRANSGENIC-LETTUCE'!$N$100:$O$100</c:f>
              <c:numCache>
                <c:formatCode>General</c:formatCode>
                <c:ptCount val="2"/>
              </c:numCache>
            </c:numRef>
          </c:val>
          <c:extLst>
            <c:ext xmlns:c16="http://schemas.microsoft.com/office/drawing/2014/chart" uri="{C3380CC4-5D6E-409C-BE32-E72D297353CC}">
              <c16:uniqueId val="{0000001D-DC44-4B92-B2C6-023F7EB4F6C4}"/>
            </c:ext>
          </c:extLst>
        </c:ser>
        <c:ser>
          <c:idx val="15"/>
          <c:order val="15"/>
          <c:tx>
            <c:strRef>
              <c:f>'TRANSGENIC-LETTUCE'!$A$101</c:f>
              <c:strCache>
                <c:ptCount val="1"/>
                <c:pt idx="0">
                  <c:v>Biomass Waste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'TRANSGENIC-LETTUCE'!$N$85:$O$85</c:f>
              <c:strCache>
                <c:ptCount val="2"/>
                <c:pt idx="0">
                  <c:v>System</c:v>
                </c:pt>
                <c:pt idx="1">
                  <c:v>Process Operations</c:v>
                </c:pt>
              </c:strCache>
            </c:strRef>
          </c:cat>
          <c:val>
            <c:numRef>
              <c:f>'TRANSGENIC-LETTUCE'!$N$101:$O$101</c:f>
              <c:numCache>
                <c:formatCode>General</c:formatCode>
                <c:ptCount val="2"/>
              </c:numCache>
            </c:numRef>
          </c:val>
          <c:extLst>
            <c:ext xmlns:c16="http://schemas.microsoft.com/office/drawing/2014/chart" uri="{C3380CC4-5D6E-409C-BE32-E72D297353CC}">
              <c16:uniqueId val="{0000001F-DC44-4B92-B2C6-023F7EB4F6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0"/>
        <c:overlap val="100"/>
        <c:axId val="312382031"/>
        <c:axId val="312385871"/>
      </c:barChart>
      <c:catAx>
        <c:axId val="3123820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2385871"/>
        <c:crosses val="autoZero"/>
        <c:auto val="1"/>
        <c:lblAlgn val="ctr"/>
        <c:lblOffset val="100"/>
        <c:noMultiLvlLbl val="0"/>
      </c:catAx>
      <c:valAx>
        <c:axId val="312385871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1" i="0" u="none" strike="noStrike" kern="1200" baseline="0">
                    <a:solidFill>
                      <a:sysClr val="windowText" lastClr="000000"/>
                    </a:solidFill>
                  </a:rPr>
                  <a:t>Crewtime (CM-hr/CM/Mission)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#,##0.0" sourceLinked="0"/>
        <c:majorTickMark val="out"/>
        <c:minorTickMark val="none"/>
        <c:tickLblPos val="nextTo"/>
        <c:spPr>
          <a:noFill/>
          <a:ln w="9525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2382031"/>
        <c:crosses val="autoZero"/>
        <c:crossBetween val="between"/>
      </c:valAx>
      <c:spPr>
        <a:ln>
          <a:solidFill>
            <a:schemeClr val="tx1"/>
          </a:solidFill>
        </a:ln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2"/>
      </a:solidFill>
      <a:round/>
    </a:ln>
    <a:effectLst/>
  </c:spPr>
  <c:txPr>
    <a:bodyPr/>
    <a:lstStyle/>
    <a:p>
      <a:pPr>
        <a:defRPr sz="1000" b="1"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none" strike="noStrike" kern="1200" spc="0" baseline="0">
                <a:solidFill>
                  <a:sysClr val="windowText" lastClr="000000"/>
                </a:solidFill>
              </a:rPr>
              <a:t>TRANSGENIC - TOBACCO Mass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'TRANSGENIC-TOBACCO'!$A$80</c:f>
              <c:strCache>
                <c:ptCount val="1"/>
                <c:pt idx="0">
                  <c:v>Harvesting collection container</c:v>
                </c:pt>
              </c:strCache>
            </c:strRef>
          </c:tx>
          <c:spPr>
            <a:solidFill>
              <a:schemeClr val="accent2">
                <a:lumMod val="20000"/>
                <a:lumOff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'TRANSGENIC-TOBACCO'!$B$79:$E$79</c:f>
              <c:strCache>
                <c:ptCount val="4"/>
                <c:pt idx="0">
                  <c:v>System</c:v>
                </c:pt>
                <c:pt idx="1">
                  <c:v>Input</c:v>
                </c:pt>
                <c:pt idx="2">
                  <c:v>Output</c:v>
                </c:pt>
                <c:pt idx="3">
                  <c:v>Waste</c:v>
                </c:pt>
              </c:strCache>
            </c:strRef>
          </c:cat>
          <c:val>
            <c:numRef>
              <c:f>'TRANSGENIC-TOBACCO'!$B$80:$E$80</c:f>
              <c:numCache>
                <c:formatCode>General</c:formatCode>
                <c:ptCount val="4"/>
                <c:pt idx="0" formatCode="0.00E+00">
                  <c:v>1.3825423199999999E-2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C4CE-46B7-8AD9-210FC2E8AC07}"/>
            </c:ext>
          </c:extLst>
        </c:ser>
        <c:ser>
          <c:idx val="1"/>
          <c:order val="1"/>
          <c:tx>
            <c:strRef>
              <c:f>'TRANSGENIC-TOBACCO'!$A$81</c:f>
              <c:strCache>
                <c:ptCount val="1"/>
                <c:pt idx="0">
                  <c:v>Harvesting tools</c:v>
                </c:pt>
              </c:strCache>
            </c:strRef>
          </c:tx>
          <c:spPr>
            <a:solidFill>
              <a:schemeClr val="accent2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'TRANSGENIC-TOBACCO'!$B$79:$E$79</c:f>
              <c:strCache>
                <c:ptCount val="4"/>
                <c:pt idx="0">
                  <c:v>System</c:v>
                </c:pt>
                <c:pt idx="1">
                  <c:v>Input</c:v>
                </c:pt>
                <c:pt idx="2">
                  <c:v>Output</c:v>
                </c:pt>
                <c:pt idx="3">
                  <c:v>Waste</c:v>
                </c:pt>
              </c:strCache>
            </c:strRef>
          </c:cat>
          <c:val>
            <c:numRef>
              <c:f>'TRANSGENIC-TOBACCO'!$B$81:$E$81</c:f>
              <c:numCache>
                <c:formatCode>General</c:formatCode>
                <c:ptCount val="4"/>
                <c:pt idx="0" formatCode="0.00E+00">
                  <c:v>3.4018333333333338E-2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C4CE-46B7-8AD9-210FC2E8AC07}"/>
            </c:ext>
          </c:extLst>
        </c:ser>
        <c:ser>
          <c:idx val="2"/>
          <c:order val="2"/>
          <c:tx>
            <c:strRef>
              <c:f>'TRANSGENIC-TOBACCO'!$A$82</c:f>
              <c:strCache>
                <c:ptCount val="1"/>
                <c:pt idx="0">
                  <c:v>Refrigerator/Freezer</c:v>
                </c:pt>
              </c:strCache>
            </c:strRef>
          </c:tx>
          <c:spPr>
            <a:solidFill>
              <a:schemeClr val="accent2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'TRANSGENIC-TOBACCO'!$B$79:$E$79</c:f>
              <c:strCache>
                <c:ptCount val="4"/>
                <c:pt idx="0">
                  <c:v>System</c:v>
                </c:pt>
                <c:pt idx="1">
                  <c:v>Input</c:v>
                </c:pt>
                <c:pt idx="2">
                  <c:v>Output</c:v>
                </c:pt>
                <c:pt idx="3">
                  <c:v>Waste</c:v>
                </c:pt>
              </c:strCache>
            </c:strRef>
          </c:cat>
          <c:val>
            <c:numRef>
              <c:f>'TRANSGENIC-TOBACCO'!$B$82:$E$82</c:f>
              <c:numCache>
                <c:formatCode>General</c:formatCode>
                <c:ptCount val="4"/>
                <c:pt idx="0" formatCode="0.00E+00">
                  <c:v>0.13111888111888109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2-C4CE-46B7-8AD9-210FC2E8AC07}"/>
            </c:ext>
          </c:extLst>
        </c:ser>
        <c:ser>
          <c:idx val="3"/>
          <c:order val="3"/>
          <c:tx>
            <c:strRef>
              <c:f>'TRANSGENIC-TOBACCO'!$A$83</c:f>
              <c:strCache>
                <c:ptCount val="1"/>
                <c:pt idx="0">
                  <c:v>Lighting panels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'TRANSGENIC-TOBACCO'!$B$79:$E$79</c:f>
              <c:strCache>
                <c:ptCount val="4"/>
                <c:pt idx="0">
                  <c:v>System</c:v>
                </c:pt>
                <c:pt idx="1">
                  <c:v>Input</c:v>
                </c:pt>
                <c:pt idx="2">
                  <c:v>Output</c:v>
                </c:pt>
                <c:pt idx="3">
                  <c:v>Waste</c:v>
                </c:pt>
              </c:strCache>
            </c:strRef>
          </c:cat>
          <c:val>
            <c:numRef>
              <c:f>'TRANSGENIC-TOBACCO'!$B$83:$E$83</c:f>
              <c:numCache>
                <c:formatCode>General</c:formatCode>
                <c:ptCount val="4"/>
                <c:pt idx="0" formatCode="0.00E+00">
                  <c:v>0.97199999999999998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C4CE-46B7-8AD9-210FC2E8AC07}"/>
            </c:ext>
          </c:extLst>
        </c:ser>
        <c:ser>
          <c:idx val="4"/>
          <c:order val="4"/>
          <c:tx>
            <c:strRef>
              <c:f>'TRANSGENIC-TOBACCO'!$A$84</c:f>
              <c:strCache>
                <c:ptCount val="1"/>
                <c:pt idx="0">
                  <c:v>Plant growth chamber</c:v>
                </c:pt>
              </c:strCache>
            </c:strRef>
          </c:tx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strRef>
              <c:f>'TRANSGENIC-TOBACCO'!$B$79:$E$79</c:f>
              <c:strCache>
                <c:ptCount val="4"/>
                <c:pt idx="0">
                  <c:v>System</c:v>
                </c:pt>
                <c:pt idx="1">
                  <c:v>Input</c:v>
                </c:pt>
                <c:pt idx="2">
                  <c:v>Output</c:v>
                </c:pt>
                <c:pt idx="3">
                  <c:v>Waste</c:v>
                </c:pt>
              </c:strCache>
            </c:strRef>
          </c:cat>
          <c:val>
            <c:numRef>
              <c:f>'TRANSGENIC-TOBACCO'!$B$84:$E$84</c:f>
              <c:numCache>
                <c:formatCode>General</c:formatCode>
                <c:ptCount val="4"/>
                <c:pt idx="0" formatCode="0.00E+00">
                  <c:v>29.34710999999999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C4CE-46B7-8AD9-210FC2E8AC07}"/>
            </c:ext>
          </c:extLst>
        </c:ser>
        <c:ser>
          <c:idx val="5"/>
          <c:order val="5"/>
          <c:tx>
            <c:strRef>
              <c:f>'TRANSGENIC-TOBACCO'!$A$85</c:f>
              <c:strCache>
                <c:ptCount val="1"/>
                <c:pt idx="0">
                  <c:v>N. benthamiana seeds</c:v>
                </c:pt>
              </c:strCache>
            </c:strRef>
          </c:tx>
          <c:spPr>
            <a:solidFill>
              <a:schemeClr val="accent4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strRef>
              <c:f>'TRANSGENIC-TOBACCO'!$B$79:$E$79</c:f>
              <c:strCache>
                <c:ptCount val="4"/>
                <c:pt idx="0">
                  <c:v>System</c:v>
                </c:pt>
                <c:pt idx="1">
                  <c:v>Input</c:v>
                </c:pt>
                <c:pt idx="2">
                  <c:v>Output</c:v>
                </c:pt>
                <c:pt idx="3">
                  <c:v>Waste</c:v>
                </c:pt>
              </c:strCache>
            </c:strRef>
          </c:cat>
          <c:val>
            <c:numRef>
              <c:f>'TRANSGENIC-TOBACCO'!$B$85:$E$85</c:f>
              <c:numCache>
                <c:formatCode>0.00E+00</c:formatCode>
                <c:ptCount val="4"/>
                <c:pt idx="1">
                  <c:v>1.3275648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C4CE-46B7-8AD9-210FC2E8AC07}"/>
            </c:ext>
          </c:extLst>
        </c:ser>
        <c:ser>
          <c:idx val="6"/>
          <c:order val="6"/>
          <c:tx>
            <c:strRef>
              <c:f>'TRANSGENIC-TOBACCO'!$A$86</c:f>
              <c:strCache>
                <c:ptCount val="1"/>
                <c:pt idx="0">
                  <c:v>Water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'TRANSGENIC-TOBACCO'!$B$79:$E$79</c:f>
              <c:strCache>
                <c:ptCount val="4"/>
                <c:pt idx="0">
                  <c:v>System</c:v>
                </c:pt>
                <c:pt idx="1">
                  <c:v>Input</c:v>
                </c:pt>
                <c:pt idx="2">
                  <c:v>Output</c:v>
                </c:pt>
                <c:pt idx="3">
                  <c:v>Waste</c:v>
                </c:pt>
              </c:strCache>
            </c:strRef>
          </c:cat>
          <c:val>
            <c:numRef>
              <c:f>'TRANSGENIC-TOBACCO'!$B$86:$E$86</c:f>
              <c:numCache>
                <c:formatCode>0.00E+00</c:formatCode>
                <c:ptCount val="4"/>
                <c:pt idx="1">
                  <c:v>606.06043366247161</c:v>
                </c:pt>
                <c:pt idx="2">
                  <c:v>512.78280043964162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A-C4CE-46B7-8AD9-210FC2E8AC07}"/>
            </c:ext>
          </c:extLst>
        </c:ser>
        <c:ser>
          <c:idx val="7"/>
          <c:order val="7"/>
          <c:tx>
            <c:strRef>
              <c:f>'TRANSGENIC-TOBACCO'!$A$87</c:f>
              <c:strCache>
                <c:ptCount val="1"/>
                <c:pt idx="0">
                  <c:v>Plant nutrients</c:v>
                </c:pt>
              </c:strCache>
            </c:strRef>
          </c:tx>
          <c:spPr>
            <a:solidFill>
              <a:schemeClr val="accent4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'TRANSGENIC-TOBACCO'!$B$79:$E$79</c:f>
              <c:strCache>
                <c:ptCount val="4"/>
                <c:pt idx="0">
                  <c:v>System</c:v>
                </c:pt>
                <c:pt idx="1">
                  <c:v>Input</c:v>
                </c:pt>
                <c:pt idx="2">
                  <c:v>Output</c:v>
                </c:pt>
                <c:pt idx="3">
                  <c:v>Waste</c:v>
                </c:pt>
              </c:strCache>
            </c:strRef>
          </c:cat>
          <c:val>
            <c:numRef>
              <c:f>'TRANSGENIC-TOBACCO'!$B$87:$E$87</c:f>
              <c:numCache>
                <c:formatCode>0.00E+00</c:formatCode>
                <c:ptCount val="4"/>
                <c:pt idx="1">
                  <c:v>23.263023685700311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C-C4CE-46B7-8AD9-210FC2E8AC07}"/>
            </c:ext>
          </c:extLst>
        </c:ser>
        <c:ser>
          <c:idx val="8"/>
          <c:order val="8"/>
          <c:tx>
            <c:strRef>
              <c:f>'TRANSGENIC-TOBACCO'!$A$88</c:f>
              <c:strCache>
                <c:ptCount val="1"/>
                <c:pt idx="0">
                  <c:v>Carbon dioxide</c:v>
                </c:pt>
              </c:strCache>
            </c:strRef>
          </c:tx>
          <c:spPr>
            <a:solidFill>
              <a:schemeClr val="accent4">
                <a:lumMod val="20000"/>
                <a:lumOff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'TRANSGENIC-TOBACCO'!$B$79:$E$79</c:f>
              <c:strCache>
                <c:ptCount val="4"/>
                <c:pt idx="0">
                  <c:v>System</c:v>
                </c:pt>
                <c:pt idx="1">
                  <c:v>Input</c:v>
                </c:pt>
                <c:pt idx="2">
                  <c:v>Output</c:v>
                </c:pt>
                <c:pt idx="3">
                  <c:v>Waste</c:v>
                </c:pt>
              </c:strCache>
            </c:strRef>
          </c:cat>
          <c:val>
            <c:numRef>
              <c:f>'TRANSGENIC-TOBACCO'!$B$88:$E$88</c:f>
              <c:numCache>
                <c:formatCode>0.00E+00</c:formatCode>
                <c:ptCount val="4"/>
                <c:pt idx="1">
                  <c:v>2.6127504593829354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E-C4CE-46B7-8AD9-210FC2E8AC07}"/>
            </c:ext>
          </c:extLst>
        </c:ser>
        <c:ser>
          <c:idx val="9"/>
          <c:order val="9"/>
          <c:tx>
            <c:strRef>
              <c:f>'TRANSGENIC-TOBACCO'!$A$89</c:f>
              <c:strCache>
                <c:ptCount val="1"/>
                <c:pt idx="0">
                  <c:v>PTH-Fc</c:v>
                </c:pt>
              </c:strCache>
            </c:strRef>
          </c:tx>
          <c:spPr>
            <a:solidFill>
              <a:srgbClr val="FFC000"/>
            </a:solidFill>
            <a:ln>
              <a:noFill/>
            </a:ln>
            <a:effectLst/>
          </c:spPr>
          <c:invertIfNegative val="0"/>
          <c:cat>
            <c:strRef>
              <c:f>'TRANSGENIC-TOBACCO'!$B$79:$E$79</c:f>
              <c:strCache>
                <c:ptCount val="4"/>
                <c:pt idx="0">
                  <c:v>System</c:v>
                </c:pt>
                <c:pt idx="1">
                  <c:v>Input</c:v>
                </c:pt>
                <c:pt idx="2">
                  <c:v>Output</c:v>
                </c:pt>
                <c:pt idx="3">
                  <c:v>Waste</c:v>
                </c:pt>
              </c:strCache>
            </c:strRef>
          </c:cat>
          <c:val>
            <c:numRef>
              <c:f>'TRANSGENIC-TOBACCO'!$B$89:$E$89</c:f>
              <c:numCache>
                <c:formatCode>General</c:formatCode>
                <c:ptCount val="4"/>
                <c:pt idx="2" formatCode="0.00E+00">
                  <c:v>4.3000000000000004E-4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0-C4CE-46B7-8AD9-210FC2E8AC07}"/>
            </c:ext>
          </c:extLst>
        </c:ser>
        <c:ser>
          <c:idx val="10"/>
          <c:order val="10"/>
          <c:tx>
            <c:strRef>
              <c:f>'TRANSGENIC-TOBACCO'!$A$90</c:f>
              <c:strCache>
                <c:ptCount val="1"/>
                <c:pt idx="0">
                  <c:v>Plant biomass</c:v>
                </c:pt>
              </c:strCache>
            </c:strRef>
          </c:tx>
          <c:spPr>
            <a:solidFill>
              <a:schemeClr val="accent6">
                <a:lumMod val="75000"/>
              </a:schemeClr>
            </a:solidFill>
          </c:spPr>
          <c:invertIfNegative val="0"/>
          <c:cat>
            <c:strRef>
              <c:f>'TRANSGENIC-TOBACCO'!$B$79:$E$79</c:f>
              <c:strCache>
                <c:ptCount val="4"/>
                <c:pt idx="0">
                  <c:v>System</c:v>
                </c:pt>
                <c:pt idx="1">
                  <c:v>Input</c:v>
                </c:pt>
                <c:pt idx="2">
                  <c:v>Output</c:v>
                </c:pt>
                <c:pt idx="3">
                  <c:v>Waste</c:v>
                </c:pt>
              </c:strCache>
            </c:strRef>
          </c:cat>
          <c:val>
            <c:numRef>
              <c:f>'TRANSGENIC-TOBACCO'!$B$90:$E$90</c:f>
              <c:numCache>
                <c:formatCode>General</c:formatCode>
                <c:ptCount val="4"/>
              </c:numCache>
            </c:numRef>
          </c:val>
          <c:extLst>
            <c:ext xmlns:c16="http://schemas.microsoft.com/office/drawing/2014/chart" uri="{C3380CC4-5D6E-409C-BE32-E72D297353CC}">
              <c16:uniqueId val="{00000022-C4CE-46B7-8AD9-210FC2E8AC07}"/>
            </c:ext>
          </c:extLst>
        </c:ser>
        <c:ser>
          <c:idx val="11"/>
          <c:order val="11"/>
          <c:tx>
            <c:strRef>
              <c:f>'TRANSGENIC-TOBACCO'!$A$91</c:f>
              <c:strCache>
                <c:ptCount val="1"/>
                <c:pt idx="0">
                  <c:v>Oxygen</c:v>
                </c:pt>
              </c:strCache>
            </c:strRef>
          </c:tx>
          <c:spPr>
            <a:solidFill>
              <a:schemeClr val="accent3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'TRANSGENIC-TOBACCO'!$B$79:$E$79</c:f>
              <c:strCache>
                <c:ptCount val="4"/>
                <c:pt idx="0">
                  <c:v>System</c:v>
                </c:pt>
                <c:pt idx="1">
                  <c:v>Input</c:v>
                </c:pt>
                <c:pt idx="2">
                  <c:v>Output</c:v>
                </c:pt>
                <c:pt idx="3">
                  <c:v>Waste</c:v>
                </c:pt>
              </c:strCache>
            </c:strRef>
          </c:cat>
          <c:val>
            <c:numRef>
              <c:f>'TRANSGENIC-TOBACCO'!$B$91:$E$91</c:f>
              <c:numCache>
                <c:formatCode>General</c:formatCode>
                <c:ptCount val="4"/>
                <c:pt idx="2" formatCode="0.00E+00">
                  <c:v>1.8997381844859098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4-C4CE-46B7-8AD9-210FC2E8AC07}"/>
            </c:ext>
          </c:extLst>
        </c:ser>
        <c:ser>
          <c:idx val="12"/>
          <c:order val="12"/>
          <c:tx>
            <c:strRef>
              <c:f>'TRANSGENIC-TOBACCO'!$A$92</c:f>
              <c:strCache>
                <c:ptCount val="1"/>
                <c:pt idx="0">
                  <c:v>Biomass Waste</c:v>
                </c:pt>
              </c:strCache>
            </c:strRef>
          </c:tx>
          <c:spPr>
            <a:solidFill>
              <a:schemeClr val="accent5"/>
            </a:solidFill>
          </c:spPr>
          <c:invertIfNegative val="0"/>
          <c:cat>
            <c:strRef>
              <c:f>'TRANSGENIC-TOBACCO'!$B$79:$E$79</c:f>
              <c:strCache>
                <c:ptCount val="4"/>
                <c:pt idx="0">
                  <c:v>System</c:v>
                </c:pt>
                <c:pt idx="1">
                  <c:v>Input</c:v>
                </c:pt>
                <c:pt idx="2">
                  <c:v>Output</c:v>
                </c:pt>
                <c:pt idx="3">
                  <c:v>Waste</c:v>
                </c:pt>
              </c:strCache>
            </c:strRef>
          </c:cat>
          <c:val>
            <c:numRef>
              <c:f>'TRANSGENIC-TOBACCO'!$B$92:$E$92</c:f>
              <c:numCache>
                <c:formatCode>General</c:formatCode>
                <c:ptCount val="4"/>
                <c:pt idx="3" formatCode="0.00E+00">
                  <c:v>1.7825306872425635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6-C4CE-46B7-8AD9-210FC2E8AC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0"/>
        <c:overlap val="100"/>
        <c:axId val="312382031"/>
        <c:axId val="312385871"/>
      </c:barChart>
      <c:catAx>
        <c:axId val="3123820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2385871"/>
        <c:crosses val="autoZero"/>
        <c:auto val="1"/>
        <c:lblAlgn val="ctr"/>
        <c:lblOffset val="100"/>
        <c:noMultiLvlLbl val="0"/>
      </c:catAx>
      <c:valAx>
        <c:axId val="312385871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1" i="0" u="none" strike="noStrike" kern="1200" baseline="0">
                    <a:solidFill>
                      <a:sysClr val="windowText" lastClr="000000"/>
                    </a:solidFill>
                  </a:rPr>
                  <a:t>Mass (kg/CM/Mission)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#,##0" sourceLinked="0"/>
        <c:majorTickMark val="out"/>
        <c:minorTickMark val="none"/>
        <c:tickLblPos val="nextTo"/>
        <c:spPr>
          <a:noFill/>
          <a:ln w="9525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2382031"/>
        <c:crosses val="autoZero"/>
        <c:crossBetween val="between"/>
      </c:valAx>
      <c:spPr>
        <a:ln>
          <a:solidFill>
            <a:schemeClr val="tx1"/>
          </a:solidFill>
        </a:ln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2"/>
      </a:solidFill>
      <a:round/>
    </a:ln>
    <a:effectLst/>
  </c:spPr>
  <c:txPr>
    <a:bodyPr/>
    <a:lstStyle/>
    <a:p>
      <a:pPr>
        <a:defRPr sz="1000" b="1"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none" strike="noStrike" kern="1200" spc="0" baseline="0">
                <a:solidFill>
                  <a:sysClr val="windowText" lastClr="000000"/>
                </a:solidFill>
              </a:rPr>
              <a:t>TRANSGENIC - TOBACCO Volume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'TRANSGENIC-TOBACCO'!$A$80</c:f>
              <c:strCache>
                <c:ptCount val="1"/>
                <c:pt idx="0">
                  <c:v>Harvesting collection container</c:v>
                </c:pt>
              </c:strCache>
            </c:strRef>
          </c:tx>
          <c:spPr>
            <a:solidFill>
              <a:schemeClr val="accent2">
                <a:lumMod val="20000"/>
                <a:lumOff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'TRANSGENIC-TOBACCO'!$F$79:$I$79</c:f>
              <c:strCache>
                <c:ptCount val="4"/>
                <c:pt idx="0">
                  <c:v>System</c:v>
                </c:pt>
                <c:pt idx="1">
                  <c:v>Input</c:v>
                </c:pt>
                <c:pt idx="2">
                  <c:v>Output</c:v>
                </c:pt>
                <c:pt idx="3">
                  <c:v>Waste</c:v>
                </c:pt>
              </c:strCache>
            </c:strRef>
          </c:cat>
          <c:val>
            <c:numRef>
              <c:f>'TRANSGENIC-TOBACCO'!$F$80:$I$80</c:f>
              <c:numCache>
                <c:formatCode>General</c:formatCode>
                <c:ptCount val="4"/>
                <c:pt idx="0" formatCode="0.00E+00">
                  <c:v>7.4585973E-6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2341-44BE-BA6D-DCD5B31E68E0}"/>
            </c:ext>
          </c:extLst>
        </c:ser>
        <c:ser>
          <c:idx val="1"/>
          <c:order val="1"/>
          <c:tx>
            <c:strRef>
              <c:f>'TRANSGENIC-TOBACCO'!$A$81</c:f>
              <c:strCache>
                <c:ptCount val="1"/>
                <c:pt idx="0">
                  <c:v>Harvesting tools</c:v>
                </c:pt>
              </c:strCache>
            </c:strRef>
          </c:tx>
          <c:spPr>
            <a:solidFill>
              <a:schemeClr val="accent2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'TRANSGENIC-TOBACCO'!$F$79:$I$79</c:f>
              <c:strCache>
                <c:ptCount val="4"/>
                <c:pt idx="0">
                  <c:v>System</c:v>
                </c:pt>
                <c:pt idx="1">
                  <c:v>Input</c:v>
                </c:pt>
                <c:pt idx="2">
                  <c:v>Output</c:v>
                </c:pt>
                <c:pt idx="3">
                  <c:v>Waste</c:v>
                </c:pt>
              </c:strCache>
            </c:strRef>
          </c:cat>
          <c:val>
            <c:numRef>
              <c:f>'TRANSGENIC-TOBACCO'!$F$81:$I$81</c:f>
              <c:numCache>
                <c:formatCode>General</c:formatCode>
                <c:ptCount val="4"/>
                <c:pt idx="0" formatCode="0.00E+00">
                  <c:v>1.0735999999999999E-4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2341-44BE-BA6D-DCD5B31E68E0}"/>
            </c:ext>
          </c:extLst>
        </c:ser>
        <c:ser>
          <c:idx val="2"/>
          <c:order val="2"/>
          <c:tx>
            <c:strRef>
              <c:f>'TRANSGENIC-TOBACCO'!$A$82</c:f>
              <c:strCache>
                <c:ptCount val="1"/>
                <c:pt idx="0">
                  <c:v>Refrigerator/Freezer</c:v>
                </c:pt>
              </c:strCache>
            </c:strRef>
          </c:tx>
          <c:spPr>
            <a:solidFill>
              <a:schemeClr val="accent2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'TRANSGENIC-TOBACCO'!$F$79:$I$79</c:f>
              <c:strCache>
                <c:ptCount val="4"/>
                <c:pt idx="0">
                  <c:v>System</c:v>
                </c:pt>
                <c:pt idx="1">
                  <c:v>Input</c:v>
                </c:pt>
                <c:pt idx="2">
                  <c:v>Output</c:v>
                </c:pt>
                <c:pt idx="3">
                  <c:v>Waste</c:v>
                </c:pt>
              </c:strCache>
            </c:strRef>
          </c:cat>
          <c:val>
            <c:numRef>
              <c:f>'TRANSGENIC-TOBACCO'!$F$82:$I$82</c:f>
              <c:numCache>
                <c:formatCode>General</c:formatCode>
                <c:ptCount val="4"/>
                <c:pt idx="0" formatCode="0.00E+00">
                  <c:v>6.8706293706293701E-4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2-2341-44BE-BA6D-DCD5B31E68E0}"/>
            </c:ext>
          </c:extLst>
        </c:ser>
        <c:ser>
          <c:idx val="3"/>
          <c:order val="3"/>
          <c:tx>
            <c:strRef>
              <c:f>'TRANSGENIC-TOBACCO'!$A$83</c:f>
              <c:strCache>
                <c:ptCount val="1"/>
                <c:pt idx="0">
                  <c:v>Lighting panels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'TRANSGENIC-TOBACCO'!$F$79:$I$79</c:f>
              <c:strCache>
                <c:ptCount val="4"/>
                <c:pt idx="0">
                  <c:v>System</c:v>
                </c:pt>
                <c:pt idx="1">
                  <c:v>Input</c:v>
                </c:pt>
                <c:pt idx="2">
                  <c:v>Output</c:v>
                </c:pt>
                <c:pt idx="3">
                  <c:v>Waste</c:v>
                </c:pt>
              </c:strCache>
            </c:strRef>
          </c:cat>
          <c:val>
            <c:numRef>
              <c:f>'TRANSGENIC-TOBACCO'!$F$83:$I$83</c:f>
              <c:numCache>
                <c:formatCode>General</c:formatCode>
                <c:ptCount val="4"/>
                <c:pt idx="0" formatCode="0.00E+00">
                  <c:v>3.5999999999999997E-4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2341-44BE-BA6D-DCD5B31E68E0}"/>
            </c:ext>
          </c:extLst>
        </c:ser>
        <c:ser>
          <c:idx val="4"/>
          <c:order val="4"/>
          <c:tx>
            <c:strRef>
              <c:f>'TRANSGENIC-TOBACCO'!$A$84</c:f>
              <c:strCache>
                <c:ptCount val="1"/>
                <c:pt idx="0">
                  <c:v>Plant growth chamber</c:v>
                </c:pt>
              </c:strCache>
            </c:strRef>
          </c:tx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strRef>
              <c:f>'TRANSGENIC-TOBACCO'!$F$79:$I$79</c:f>
              <c:strCache>
                <c:ptCount val="4"/>
                <c:pt idx="0">
                  <c:v>System</c:v>
                </c:pt>
                <c:pt idx="1">
                  <c:v>Input</c:v>
                </c:pt>
                <c:pt idx="2">
                  <c:v>Output</c:v>
                </c:pt>
                <c:pt idx="3">
                  <c:v>Waste</c:v>
                </c:pt>
              </c:strCache>
            </c:strRef>
          </c:cat>
          <c:val>
            <c:numRef>
              <c:f>'TRANSGENIC-TOBACCO'!$F$84:$I$84</c:f>
              <c:numCache>
                <c:formatCode>General</c:formatCode>
                <c:ptCount val="4"/>
                <c:pt idx="0" formatCode="0.00E+00">
                  <c:v>0.32607899999999995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2341-44BE-BA6D-DCD5B31E68E0}"/>
            </c:ext>
          </c:extLst>
        </c:ser>
        <c:ser>
          <c:idx val="5"/>
          <c:order val="5"/>
          <c:tx>
            <c:strRef>
              <c:f>'TRANSGENIC-TOBACCO'!$A$85</c:f>
              <c:strCache>
                <c:ptCount val="1"/>
                <c:pt idx="0">
                  <c:v>N. benthamiana seeds</c:v>
                </c:pt>
              </c:strCache>
            </c:strRef>
          </c:tx>
          <c:spPr>
            <a:solidFill>
              <a:schemeClr val="accent4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strRef>
              <c:f>'TRANSGENIC-TOBACCO'!$F$79:$I$79</c:f>
              <c:strCache>
                <c:ptCount val="4"/>
                <c:pt idx="0">
                  <c:v>System</c:v>
                </c:pt>
                <c:pt idx="1">
                  <c:v>Input</c:v>
                </c:pt>
                <c:pt idx="2">
                  <c:v>Output</c:v>
                </c:pt>
                <c:pt idx="3">
                  <c:v>Waste</c:v>
                </c:pt>
              </c:strCache>
            </c:strRef>
          </c:cat>
          <c:val>
            <c:numRef>
              <c:f>'TRANSGENIC-TOBACCO'!$F$85:$I$85</c:f>
              <c:numCache>
                <c:formatCode>0.00E+00</c:formatCode>
                <c:ptCount val="4"/>
                <c:pt idx="1">
                  <c:v>4.1033127046699689E-9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2341-44BE-BA6D-DCD5B31E68E0}"/>
            </c:ext>
          </c:extLst>
        </c:ser>
        <c:ser>
          <c:idx val="6"/>
          <c:order val="6"/>
          <c:tx>
            <c:strRef>
              <c:f>'TRANSGENIC-TOBACCO'!$A$86</c:f>
              <c:strCache>
                <c:ptCount val="1"/>
                <c:pt idx="0">
                  <c:v>Water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'TRANSGENIC-TOBACCO'!$F$79:$I$79</c:f>
              <c:strCache>
                <c:ptCount val="4"/>
                <c:pt idx="0">
                  <c:v>System</c:v>
                </c:pt>
                <c:pt idx="1">
                  <c:v>Input</c:v>
                </c:pt>
                <c:pt idx="2">
                  <c:v>Output</c:v>
                </c:pt>
                <c:pt idx="3">
                  <c:v>Waste</c:v>
                </c:pt>
              </c:strCache>
            </c:strRef>
          </c:cat>
          <c:val>
            <c:numRef>
              <c:f>'TRANSGENIC-TOBACCO'!$F$86:$I$86</c:f>
              <c:numCache>
                <c:formatCode>0.00E+00</c:formatCode>
                <c:ptCount val="4"/>
                <c:pt idx="1">
                  <c:v>0.60606043366247164</c:v>
                </c:pt>
                <c:pt idx="2">
                  <c:v>0.51278280043964153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A-2341-44BE-BA6D-DCD5B31E68E0}"/>
            </c:ext>
          </c:extLst>
        </c:ser>
        <c:ser>
          <c:idx val="7"/>
          <c:order val="7"/>
          <c:tx>
            <c:strRef>
              <c:f>'TRANSGENIC-TOBACCO'!$A$87</c:f>
              <c:strCache>
                <c:ptCount val="1"/>
                <c:pt idx="0">
                  <c:v>Plant nutrients</c:v>
                </c:pt>
              </c:strCache>
            </c:strRef>
          </c:tx>
          <c:spPr>
            <a:solidFill>
              <a:schemeClr val="accent4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'TRANSGENIC-TOBACCO'!$F$79:$I$79</c:f>
              <c:strCache>
                <c:ptCount val="4"/>
                <c:pt idx="0">
                  <c:v>System</c:v>
                </c:pt>
                <c:pt idx="1">
                  <c:v>Input</c:v>
                </c:pt>
                <c:pt idx="2">
                  <c:v>Output</c:v>
                </c:pt>
                <c:pt idx="3">
                  <c:v>Waste</c:v>
                </c:pt>
              </c:strCache>
            </c:strRef>
          </c:cat>
          <c:val>
            <c:numRef>
              <c:f>'TRANSGENIC-TOBACCO'!$F$87:$I$87</c:f>
              <c:numCache>
                <c:formatCode>0.00E+00</c:formatCode>
                <c:ptCount val="4"/>
              </c:numCache>
            </c:numRef>
          </c:val>
          <c:extLst>
            <c:ext xmlns:c16="http://schemas.microsoft.com/office/drawing/2014/chart" uri="{C3380CC4-5D6E-409C-BE32-E72D297353CC}">
              <c16:uniqueId val="{0000001C-2341-44BE-BA6D-DCD5B31E68E0}"/>
            </c:ext>
          </c:extLst>
        </c:ser>
        <c:ser>
          <c:idx val="8"/>
          <c:order val="8"/>
          <c:tx>
            <c:strRef>
              <c:f>'TRANSGENIC-TOBACCO'!$A$88</c:f>
              <c:strCache>
                <c:ptCount val="1"/>
                <c:pt idx="0">
                  <c:v>Carbon dioxide</c:v>
                </c:pt>
              </c:strCache>
            </c:strRef>
          </c:tx>
          <c:spPr>
            <a:solidFill>
              <a:schemeClr val="accent4">
                <a:lumMod val="20000"/>
                <a:lumOff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'TRANSGENIC-TOBACCO'!$F$79:$I$79</c:f>
              <c:strCache>
                <c:ptCount val="4"/>
                <c:pt idx="0">
                  <c:v>System</c:v>
                </c:pt>
                <c:pt idx="1">
                  <c:v>Input</c:v>
                </c:pt>
                <c:pt idx="2">
                  <c:v>Output</c:v>
                </c:pt>
                <c:pt idx="3">
                  <c:v>Waste</c:v>
                </c:pt>
              </c:strCache>
            </c:strRef>
          </c:cat>
          <c:val>
            <c:numRef>
              <c:f>'TRANSGENIC-TOBACCO'!$F$88:$I$88</c:f>
              <c:numCache>
                <c:formatCode>0.00E+00</c:formatCode>
                <c:ptCount val="4"/>
                <c:pt idx="1">
                  <c:v>1.4355771754851292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E-2341-44BE-BA6D-DCD5B31E68E0}"/>
            </c:ext>
          </c:extLst>
        </c:ser>
        <c:ser>
          <c:idx val="9"/>
          <c:order val="9"/>
          <c:tx>
            <c:strRef>
              <c:f>'TRANSGENIC-TOBACCO'!$A$89</c:f>
              <c:strCache>
                <c:ptCount val="1"/>
                <c:pt idx="0">
                  <c:v>PTH-Fc</c:v>
                </c:pt>
              </c:strCache>
            </c:strRef>
          </c:tx>
          <c:spPr>
            <a:solidFill>
              <a:srgbClr val="FFC000"/>
            </a:solidFill>
            <a:ln>
              <a:noFill/>
            </a:ln>
            <a:effectLst/>
          </c:spPr>
          <c:invertIfNegative val="0"/>
          <c:cat>
            <c:strRef>
              <c:f>'TRANSGENIC-TOBACCO'!$F$79:$I$79</c:f>
              <c:strCache>
                <c:ptCount val="4"/>
                <c:pt idx="0">
                  <c:v>System</c:v>
                </c:pt>
                <c:pt idx="1">
                  <c:v>Input</c:v>
                </c:pt>
                <c:pt idx="2">
                  <c:v>Output</c:v>
                </c:pt>
                <c:pt idx="3">
                  <c:v>Waste</c:v>
                </c:pt>
              </c:strCache>
            </c:strRef>
          </c:cat>
          <c:val>
            <c:numRef>
              <c:f>'TRANSGENIC-TOBACCO'!$F$89:$I$89</c:f>
              <c:numCache>
                <c:formatCode>General</c:formatCode>
                <c:ptCount val="4"/>
              </c:numCache>
            </c:numRef>
          </c:val>
          <c:extLst>
            <c:ext xmlns:c16="http://schemas.microsoft.com/office/drawing/2014/chart" uri="{C3380CC4-5D6E-409C-BE32-E72D297353CC}">
              <c16:uniqueId val="{00000020-2341-44BE-BA6D-DCD5B31E68E0}"/>
            </c:ext>
          </c:extLst>
        </c:ser>
        <c:ser>
          <c:idx val="10"/>
          <c:order val="10"/>
          <c:tx>
            <c:strRef>
              <c:f>'TRANSGENIC-TOBACCO'!$A$90</c:f>
              <c:strCache>
                <c:ptCount val="1"/>
                <c:pt idx="0">
                  <c:v>Plant biomass</c:v>
                </c:pt>
              </c:strCache>
            </c:strRef>
          </c:tx>
          <c:spPr>
            <a:solidFill>
              <a:schemeClr val="accent6">
                <a:lumMod val="75000"/>
              </a:schemeClr>
            </a:solidFill>
          </c:spPr>
          <c:invertIfNegative val="0"/>
          <c:cat>
            <c:strRef>
              <c:f>'TRANSGENIC-TOBACCO'!$F$79:$I$79</c:f>
              <c:strCache>
                <c:ptCount val="4"/>
                <c:pt idx="0">
                  <c:v>System</c:v>
                </c:pt>
                <c:pt idx="1">
                  <c:v>Input</c:v>
                </c:pt>
                <c:pt idx="2">
                  <c:v>Output</c:v>
                </c:pt>
                <c:pt idx="3">
                  <c:v>Waste</c:v>
                </c:pt>
              </c:strCache>
            </c:strRef>
          </c:cat>
          <c:val>
            <c:numRef>
              <c:f>'TRANSGENIC-TOBACCO'!$F$90:$I$90</c:f>
              <c:numCache>
                <c:formatCode>General</c:formatCode>
                <c:ptCount val="4"/>
              </c:numCache>
            </c:numRef>
          </c:val>
          <c:extLst>
            <c:ext xmlns:c16="http://schemas.microsoft.com/office/drawing/2014/chart" uri="{C3380CC4-5D6E-409C-BE32-E72D297353CC}">
              <c16:uniqueId val="{00000022-2341-44BE-BA6D-DCD5B31E68E0}"/>
            </c:ext>
          </c:extLst>
        </c:ser>
        <c:ser>
          <c:idx val="11"/>
          <c:order val="11"/>
          <c:tx>
            <c:strRef>
              <c:f>'TRANSGENIC-TOBACCO'!$A$91</c:f>
              <c:strCache>
                <c:ptCount val="1"/>
                <c:pt idx="0">
                  <c:v>Oxygen</c:v>
                </c:pt>
              </c:strCache>
            </c:strRef>
          </c:tx>
          <c:spPr>
            <a:solidFill>
              <a:schemeClr val="accent6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'TRANSGENIC-TOBACCO'!$F$79:$I$79</c:f>
              <c:strCache>
                <c:ptCount val="4"/>
                <c:pt idx="0">
                  <c:v>System</c:v>
                </c:pt>
                <c:pt idx="1">
                  <c:v>Input</c:v>
                </c:pt>
                <c:pt idx="2">
                  <c:v>Output</c:v>
                </c:pt>
                <c:pt idx="3">
                  <c:v>Waste</c:v>
                </c:pt>
              </c:strCache>
            </c:strRef>
          </c:cat>
          <c:val>
            <c:numRef>
              <c:f>'TRANSGENIC-TOBACCO'!$F$91:$I$91</c:f>
              <c:numCache>
                <c:formatCode>General</c:formatCode>
                <c:ptCount val="4"/>
                <c:pt idx="2" formatCode="0.00E+00">
                  <c:v>1.4613370649891613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4-2341-44BE-BA6D-DCD5B31E68E0}"/>
            </c:ext>
          </c:extLst>
        </c:ser>
        <c:ser>
          <c:idx val="12"/>
          <c:order val="12"/>
          <c:tx>
            <c:strRef>
              <c:f>'TRANSGENIC-TOBACCO'!$A$92</c:f>
              <c:strCache>
                <c:ptCount val="1"/>
                <c:pt idx="0">
                  <c:v>Biomass Waste</c:v>
                </c:pt>
              </c:strCache>
            </c:strRef>
          </c:tx>
          <c:spPr>
            <a:solidFill>
              <a:schemeClr val="accent6">
                <a:lumMod val="40000"/>
                <a:lumOff val="60000"/>
              </a:schemeClr>
            </a:solidFill>
          </c:spPr>
          <c:invertIfNegative val="0"/>
          <c:cat>
            <c:strRef>
              <c:f>'TRANSGENIC-TOBACCO'!$F$79:$I$79</c:f>
              <c:strCache>
                <c:ptCount val="4"/>
                <c:pt idx="0">
                  <c:v>System</c:v>
                </c:pt>
                <c:pt idx="1">
                  <c:v>Input</c:v>
                </c:pt>
                <c:pt idx="2">
                  <c:v>Output</c:v>
                </c:pt>
                <c:pt idx="3">
                  <c:v>Waste</c:v>
                </c:pt>
              </c:strCache>
            </c:strRef>
          </c:cat>
          <c:val>
            <c:numRef>
              <c:f>'TRANSGENIC-TOBACCO'!$F$92:$I$92</c:f>
              <c:numCache>
                <c:formatCode>General</c:formatCode>
                <c:ptCount val="4"/>
                <c:pt idx="3" formatCode="0.00E+00">
                  <c:v>2.9708844787376058E-2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6-2341-44BE-BA6D-DCD5B31E68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0"/>
        <c:overlap val="100"/>
        <c:axId val="312382031"/>
        <c:axId val="312385871"/>
      </c:barChart>
      <c:catAx>
        <c:axId val="3123820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2385871"/>
        <c:crosses val="autoZero"/>
        <c:auto val="1"/>
        <c:lblAlgn val="ctr"/>
        <c:lblOffset val="100"/>
        <c:noMultiLvlLbl val="0"/>
      </c:catAx>
      <c:valAx>
        <c:axId val="312385871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1" i="0" u="none" strike="noStrike" kern="1200" baseline="0">
                    <a:solidFill>
                      <a:sysClr val="windowText" lastClr="000000"/>
                    </a:solidFill>
                  </a:rPr>
                  <a:t>Volume (m</a:t>
                </a:r>
                <a:r>
                  <a:rPr lang="en-US" sz="1000" b="1" i="0" u="none" strike="noStrike" kern="1200" baseline="30000">
                    <a:solidFill>
                      <a:sysClr val="windowText" lastClr="000000"/>
                    </a:solidFill>
                  </a:rPr>
                  <a:t>3</a:t>
                </a:r>
                <a:r>
                  <a:rPr lang="en-US" sz="1000" b="1" i="0" u="none" strike="noStrike" kern="1200" baseline="0">
                    <a:solidFill>
                      <a:sysClr val="windowText" lastClr="000000"/>
                    </a:solidFill>
                  </a:rPr>
                  <a:t>/CM/Mission)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#,##0.0" sourceLinked="0"/>
        <c:majorTickMark val="out"/>
        <c:minorTickMark val="none"/>
        <c:tickLblPos val="nextTo"/>
        <c:spPr>
          <a:noFill/>
          <a:ln w="9525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2382031"/>
        <c:crosses val="autoZero"/>
        <c:crossBetween val="between"/>
      </c:valAx>
      <c:spPr>
        <a:ln>
          <a:solidFill>
            <a:schemeClr val="tx1"/>
          </a:solidFill>
        </a:ln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2"/>
      </a:solidFill>
      <a:round/>
    </a:ln>
    <a:effectLst/>
  </c:spPr>
  <c:txPr>
    <a:bodyPr/>
    <a:lstStyle/>
    <a:p>
      <a:pPr>
        <a:defRPr sz="1000" b="1"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none" strike="noStrike" kern="1200" spc="0" baseline="0">
                <a:solidFill>
                  <a:sysClr val="windowText" lastClr="000000"/>
                </a:solidFill>
              </a:rPr>
              <a:t>TRANSGENIC - TOBACCO Power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'TRANSGENIC-TOBACCO'!$A$80</c:f>
              <c:strCache>
                <c:ptCount val="1"/>
                <c:pt idx="0">
                  <c:v>Harvesting collection container</c:v>
                </c:pt>
              </c:strCache>
            </c:strRef>
          </c:tx>
          <c:spPr>
            <a:solidFill>
              <a:schemeClr val="accent2">
                <a:lumMod val="20000"/>
                <a:lumOff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'TRANSGENIC-TOBACCO'!$J$79:$M$79</c:f>
              <c:strCache>
                <c:ptCount val="4"/>
                <c:pt idx="0">
                  <c:v>System</c:v>
                </c:pt>
                <c:pt idx="1">
                  <c:v>Input</c:v>
                </c:pt>
                <c:pt idx="2">
                  <c:v>Output</c:v>
                </c:pt>
                <c:pt idx="3">
                  <c:v>Waste</c:v>
                </c:pt>
              </c:strCache>
            </c:strRef>
          </c:cat>
          <c:val>
            <c:numRef>
              <c:f>'TRANSGENIC-TOBACCO'!$J$80:$M$80</c:f>
              <c:numCache>
                <c:formatCode>General</c:formatCode>
                <c:ptCount val="4"/>
              </c:numCache>
            </c:numRef>
          </c:val>
          <c:extLst>
            <c:ext xmlns:c16="http://schemas.microsoft.com/office/drawing/2014/chart" uri="{C3380CC4-5D6E-409C-BE32-E72D297353CC}">
              <c16:uniqueId val="{0000000E-0E6F-4D8A-8496-4F531678E555}"/>
            </c:ext>
          </c:extLst>
        </c:ser>
        <c:ser>
          <c:idx val="1"/>
          <c:order val="1"/>
          <c:tx>
            <c:strRef>
              <c:f>'TRANSGENIC-TOBACCO'!$A$81</c:f>
              <c:strCache>
                <c:ptCount val="1"/>
                <c:pt idx="0">
                  <c:v>Harvesting tools</c:v>
                </c:pt>
              </c:strCache>
            </c:strRef>
          </c:tx>
          <c:spPr>
            <a:solidFill>
              <a:schemeClr val="accent2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'TRANSGENIC-TOBACCO'!$J$79:$M$79</c:f>
              <c:strCache>
                <c:ptCount val="4"/>
                <c:pt idx="0">
                  <c:v>System</c:v>
                </c:pt>
                <c:pt idx="1">
                  <c:v>Input</c:v>
                </c:pt>
                <c:pt idx="2">
                  <c:v>Output</c:v>
                </c:pt>
                <c:pt idx="3">
                  <c:v>Waste</c:v>
                </c:pt>
              </c:strCache>
            </c:strRef>
          </c:cat>
          <c:val>
            <c:numRef>
              <c:f>'TRANSGENIC-TOBACCO'!$J$81:$M$81</c:f>
              <c:numCache>
                <c:formatCode>General</c:formatCode>
                <c:ptCount val="4"/>
              </c:numCache>
            </c:numRef>
          </c:val>
          <c:extLst>
            <c:ext xmlns:c16="http://schemas.microsoft.com/office/drawing/2014/chart" uri="{C3380CC4-5D6E-409C-BE32-E72D297353CC}">
              <c16:uniqueId val="{00000010-0E6F-4D8A-8496-4F531678E555}"/>
            </c:ext>
          </c:extLst>
        </c:ser>
        <c:ser>
          <c:idx val="2"/>
          <c:order val="2"/>
          <c:tx>
            <c:strRef>
              <c:f>'TRANSGENIC-TOBACCO'!$A$82</c:f>
              <c:strCache>
                <c:ptCount val="1"/>
                <c:pt idx="0">
                  <c:v>Refrigerator/Freezer</c:v>
                </c:pt>
              </c:strCache>
            </c:strRef>
          </c:tx>
          <c:spPr>
            <a:solidFill>
              <a:schemeClr val="accent2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'TRANSGENIC-TOBACCO'!$J$79:$M$79</c:f>
              <c:strCache>
                <c:ptCount val="4"/>
                <c:pt idx="0">
                  <c:v>System</c:v>
                </c:pt>
                <c:pt idx="1">
                  <c:v>Input</c:v>
                </c:pt>
                <c:pt idx="2">
                  <c:v>Output</c:v>
                </c:pt>
                <c:pt idx="3">
                  <c:v>Waste</c:v>
                </c:pt>
              </c:strCache>
            </c:strRef>
          </c:cat>
          <c:val>
            <c:numRef>
              <c:f>'TRANSGENIC-TOBACCO'!$J$82:$M$82</c:f>
              <c:numCache>
                <c:formatCode>General</c:formatCode>
                <c:ptCount val="4"/>
                <c:pt idx="0" formatCode="0.00E+00">
                  <c:v>5.7692307692307677E-5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2-0E6F-4D8A-8496-4F531678E555}"/>
            </c:ext>
          </c:extLst>
        </c:ser>
        <c:ser>
          <c:idx val="3"/>
          <c:order val="3"/>
          <c:tx>
            <c:strRef>
              <c:f>'TRANSGENIC-TOBACCO'!$A$83</c:f>
              <c:strCache>
                <c:ptCount val="1"/>
                <c:pt idx="0">
                  <c:v>Lighting panels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'TRANSGENIC-TOBACCO'!$J$79:$M$79</c:f>
              <c:strCache>
                <c:ptCount val="4"/>
                <c:pt idx="0">
                  <c:v>System</c:v>
                </c:pt>
                <c:pt idx="1">
                  <c:v>Input</c:v>
                </c:pt>
                <c:pt idx="2">
                  <c:v>Output</c:v>
                </c:pt>
                <c:pt idx="3">
                  <c:v>Waste</c:v>
                </c:pt>
              </c:strCache>
            </c:strRef>
          </c:cat>
          <c:val>
            <c:numRef>
              <c:f>'TRANSGENIC-TOBACCO'!$J$83:$M$83</c:f>
              <c:numCache>
                <c:formatCode>General</c:formatCode>
                <c:ptCount val="4"/>
                <c:pt idx="0" formatCode="0.00E+00">
                  <c:v>0.20280000000000001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0E6F-4D8A-8496-4F531678E555}"/>
            </c:ext>
          </c:extLst>
        </c:ser>
        <c:ser>
          <c:idx val="4"/>
          <c:order val="4"/>
          <c:tx>
            <c:strRef>
              <c:f>'TRANSGENIC-TOBACCO'!$A$84</c:f>
              <c:strCache>
                <c:ptCount val="1"/>
                <c:pt idx="0">
                  <c:v>Plant growth chamber</c:v>
                </c:pt>
              </c:strCache>
            </c:strRef>
          </c:tx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strRef>
              <c:f>'TRANSGENIC-TOBACCO'!$J$79:$M$79</c:f>
              <c:strCache>
                <c:ptCount val="4"/>
                <c:pt idx="0">
                  <c:v>System</c:v>
                </c:pt>
                <c:pt idx="1">
                  <c:v>Input</c:v>
                </c:pt>
                <c:pt idx="2">
                  <c:v>Output</c:v>
                </c:pt>
                <c:pt idx="3">
                  <c:v>Waste</c:v>
                </c:pt>
              </c:strCache>
            </c:strRef>
          </c:cat>
          <c:val>
            <c:numRef>
              <c:f>'TRANSGENIC-TOBACCO'!$J$84:$M$84</c:f>
              <c:numCache>
                <c:formatCode>General</c:formatCode>
                <c:ptCount val="4"/>
                <c:pt idx="0" formatCode="0.00E+00">
                  <c:v>0.17767124999999998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0E6F-4D8A-8496-4F531678E555}"/>
            </c:ext>
          </c:extLst>
        </c:ser>
        <c:ser>
          <c:idx val="5"/>
          <c:order val="5"/>
          <c:tx>
            <c:strRef>
              <c:f>'TRANSGENIC-TOBACCO'!$A$85</c:f>
              <c:strCache>
                <c:ptCount val="1"/>
                <c:pt idx="0">
                  <c:v>N. benthamiana seeds</c:v>
                </c:pt>
              </c:strCache>
            </c:strRef>
          </c:tx>
          <c:spPr>
            <a:solidFill>
              <a:schemeClr val="accent4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strRef>
              <c:f>'TRANSGENIC-TOBACCO'!$J$79:$M$79</c:f>
              <c:strCache>
                <c:ptCount val="4"/>
                <c:pt idx="0">
                  <c:v>System</c:v>
                </c:pt>
                <c:pt idx="1">
                  <c:v>Input</c:v>
                </c:pt>
                <c:pt idx="2">
                  <c:v>Output</c:v>
                </c:pt>
                <c:pt idx="3">
                  <c:v>Waste</c:v>
                </c:pt>
              </c:strCache>
            </c:strRef>
          </c:cat>
          <c:val>
            <c:numRef>
              <c:f>'TRANSGENIC-TOBACCO'!$J$85:$M$85</c:f>
              <c:numCache>
                <c:formatCode>0.00E+00</c:formatCode>
                <c:ptCount val="4"/>
              </c:numCache>
            </c:numRef>
          </c:val>
          <c:extLst>
            <c:ext xmlns:c16="http://schemas.microsoft.com/office/drawing/2014/chart" uri="{C3380CC4-5D6E-409C-BE32-E72D297353CC}">
              <c16:uniqueId val="{00000018-0E6F-4D8A-8496-4F531678E555}"/>
            </c:ext>
          </c:extLst>
        </c:ser>
        <c:ser>
          <c:idx val="6"/>
          <c:order val="6"/>
          <c:tx>
            <c:strRef>
              <c:f>'TRANSGENIC-TOBACCO'!$A$86</c:f>
              <c:strCache>
                <c:ptCount val="1"/>
                <c:pt idx="0">
                  <c:v>Water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'TRANSGENIC-TOBACCO'!$J$79:$M$79</c:f>
              <c:strCache>
                <c:ptCount val="4"/>
                <c:pt idx="0">
                  <c:v>System</c:v>
                </c:pt>
                <c:pt idx="1">
                  <c:v>Input</c:v>
                </c:pt>
                <c:pt idx="2">
                  <c:v>Output</c:v>
                </c:pt>
                <c:pt idx="3">
                  <c:v>Waste</c:v>
                </c:pt>
              </c:strCache>
            </c:strRef>
          </c:cat>
          <c:val>
            <c:numRef>
              <c:f>'TRANSGENIC-TOBACCO'!$J$86:$M$86</c:f>
              <c:numCache>
                <c:formatCode>0.00E+00</c:formatCode>
                <c:ptCount val="4"/>
              </c:numCache>
            </c:numRef>
          </c:val>
          <c:extLst>
            <c:ext xmlns:c16="http://schemas.microsoft.com/office/drawing/2014/chart" uri="{C3380CC4-5D6E-409C-BE32-E72D297353CC}">
              <c16:uniqueId val="{0000001A-0E6F-4D8A-8496-4F531678E555}"/>
            </c:ext>
          </c:extLst>
        </c:ser>
        <c:ser>
          <c:idx val="7"/>
          <c:order val="7"/>
          <c:tx>
            <c:strRef>
              <c:f>'TRANSGENIC-TOBACCO'!$A$87</c:f>
              <c:strCache>
                <c:ptCount val="1"/>
                <c:pt idx="0">
                  <c:v>Plant nutrients</c:v>
                </c:pt>
              </c:strCache>
            </c:strRef>
          </c:tx>
          <c:spPr>
            <a:solidFill>
              <a:schemeClr val="accent4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'TRANSGENIC-TOBACCO'!$J$79:$M$79</c:f>
              <c:strCache>
                <c:ptCount val="4"/>
                <c:pt idx="0">
                  <c:v>System</c:v>
                </c:pt>
                <c:pt idx="1">
                  <c:v>Input</c:v>
                </c:pt>
                <c:pt idx="2">
                  <c:v>Output</c:v>
                </c:pt>
                <c:pt idx="3">
                  <c:v>Waste</c:v>
                </c:pt>
              </c:strCache>
            </c:strRef>
          </c:cat>
          <c:val>
            <c:numRef>
              <c:f>'TRANSGENIC-TOBACCO'!$J$87:$M$87</c:f>
              <c:numCache>
                <c:formatCode>0.00E+00</c:formatCode>
                <c:ptCount val="4"/>
              </c:numCache>
            </c:numRef>
          </c:val>
          <c:extLst>
            <c:ext xmlns:c16="http://schemas.microsoft.com/office/drawing/2014/chart" uri="{C3380CC4-5D6E-409C-BE32-E72D297353CC}">
              <c16:uniqueId val="{0000001C-0E6F-4D8A-8496-4F531678E555}"/>
            </c:ext>
          </c:extLst>
        </c:ser>
        <c:ser>
          <c:idx val="8"/>
          <c:order val="8"/>
          <c:tx>
            <c:strRef>
              <c:f>'TRANSGENIC-TOBACCO'!$A$88</c:f>
              <c:strCache>
                <c:ptCount val="1"/>
                <c:pt idx="0">
                  <c:v>Carbon dioxide</c:v>
                </c:pt>
              </c:strCache>
            </c:strRef>
          </c:tx>
          <c:spPr>
            <a:solidFill>
              <a:schemeClr val="accent4">
                <a:lumMod val="20000"/>
                <a:lumOff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'TRANSGENIC-TOBACCO'!$J$79:$M$79</c:f>
              <c:strCache>
                <c:ptCount val="4"/>
                <c:pt idx="0">
                  <c:v>System</c:v>
                </c:pt>
                <c:pt idx="1">
                  <c:v>Input</c:v>
                </c:pt>
                <c:pt idx="2">
                  <c:v>Output</c:v>
                </c:pt>
                <c:pt idx="3">
                  <c:v>Waste</c:v>
                </c:pt>
              </c:strCache>
            </c:strRef>
          </c:cat>
          <c:val>
            <c:numRef>
              <c:f>'TRANSGENIC-TOBACCO'!$J$88:$M$88</c:f>
              <c:numCache>
                <c:formatCode>0.00E+00</c:formatCode>
                <c:ptCount val="4"/>
              </c:numCache>
            </c:numRef>
          </c:val>
          <c:extLst>
            <c:ext xmlns:c16="http://schemas.microsoft.com/office/drawing/2014/chart" uri="{C3380CC4-5D6E-409C-BE32-E72D297353CC}">
              <c16:uniqueId val="{0000001E-0E6F-4D8A-8496-4F531678E555}"/>
            </c:ext>
          </c:extLst>
        </c:ser>
        <c:ser>
          <c:idx val="9"/>
          <c:order val="9"/>
          <c:tx>
            <c:strRef>
              <c:f>'TRANSGENIC-TOBACCO'!$A$89</c:f>
              <c:strCache>
                <c:ptCount val="1"/>
                <c:pt idx="0">
                  <c:v>PTH-Fc</c:v>
                </c:pt>
              </c:strCache>
            </c:strRef>
          </c:tx>
          <c:spPr>
            <a:solidFill>
              <a:srgbClr val="FFC000"/>
            </a:solidFill>
            <a:ln>
              <a:noFill/>
            </a:ln>
            <a:effectLst/>
          </c:spPr>
          <c:invertIfNegative val="0"/>
          <c:cat>
            <c:strRef>
              <c:f>'TRANSGENIC-TOBACCO'!$J$79:$M$79</c:f>
              <c:strCache>
                <c:ptCount val="4"/>
                <c:pt idx="0">
                  <c:v>System</c:v>
                </c:pt>
                <c:pt idx="1">
                  <c:v>Input</c:v>
                </c:pt>
                <c:pt idx="2">
                  <c:v>Output</c:v>
                </c:pt>
                <c:pt idx="3">
                  <c:v>Waste</c:v>
                </c:pt>
              </c:strCache>
            </c:strRef>
          </c:cat>
          <c:val>
            <c:numRef>
              <c:f>'TRANSGENIC-TOBACCO'!$J$89:$M$89</c:f>
              <c:numCache>
                <c:formatCode>General</c:formatCode>
                <c:ptCount val="4"/>
              </c:numCache>
            </c:numRef>
          </c:val>
          <c:extLst>
            <c:ext xmlns:c16="http://schemas.microsoft.com/office/drawing/2014/chart" uri="{C3380CC4-5D6E-409C-BE32-E72D297353CC}">
              <c16:uniqueId val="{00000020-0E6F-4D8A-8496-4F531678E555}"/>
            </c:ext>
          </c:extLst>
        </c:ser>
        <c:ser>
          <c:idx val="10"/>
          <c:order val="10"/>
          <c:tx>
            <c:strRef>
              <c:f>'TRANSGENIC-TOBACCO'!$A$90</c:f>
              <c:strCache>
                <c:ptCount val="1"/>
                <c:pt idx="0">
                  <c:v>Plant biomass</c:v>
                </c:pt>
              </c:strCache>
            </c:strRef>
          </c:tx>
          <c:spPr>
            <a:solidFill>
              <a:schemeClr val="accent6">
                <a:lumMod val="75000"/>
              </a:schemeClr>
            </a:solidFill>
          </c:spPr>
          <c:invertIfNegative val="0"/>
          <c:cat>
            <c:strRef>
              <c:f>'TRANSGENIC-TOBACCO'!$J$79:$M$79</c:f>
              <c:strCache>
                <c:ptCount val="4"/>
                <c:pt idx="0">
                  <c:v>System</c:v>
                </c:pt>
                <c:pt idx="1">
                  <c:v>Input</c:v>
                </c:pt>
                <c:pt idx="2">
                  <c:v>Output</c:v>
                </c:pt>
                <c:pt idx="3">
                  <c:v>Waste</c:v>
                </c:pt>
              </c:strCache>
            </c:strRef>
          </c:cat>
          <c:val>
            <c:numRef>
              <c:f>'TRANSGENIC-TOBACCO'!$J$90:$M$90</c:f>
              <c:numCache>
                <c:formatCode>General</c:formatCode>
                <c:ptCount val="4"/>
              </c:numCache>
            </c:numRef>
          </c:val>
          <c:extLst>
            <c:ext xmlns:c16="http://schemas.microsoft.com/office/drawing/2014/chart" uri="{C3380CC4-5D6E-409C-BE32-E72D297353CC}">
              <c16:uniqueId val="{00000022-0E6F-4D8A-8496-4F531678E555}"/>
            </c:ext>
          </c:extLst>
        </c:ser>
        <c:ser>
          <c:idx val="11"/>
          <c:order val="11"/>
          <c:tx>
            <c:strRef>
              <c:f>'TRANSGENIC-TOBACCO'!$A$91</c:f>
              <c:strCache>
                <c:ptCount val="1"/>
                <c:pt idx="0">
                  <c:v>Oxygen</c:v>
                </c:pt>
              </c:strCache>
            </c:strRef>
          </c:tx>
          <c:spPr>
            <a:solidFill>
              <a:schemeClr val="accent6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'TRANSGENIC-TOBACCO'!$J$79:$M$79</c:f>
              <c:strCache>
                <c:ptCount val="4"/>
                <c:pt idx="0">
                  <c:v>System</c:v>
                </c:pt>
                <c:pt idx="1">
                  <c:v>Input</c:v>
                </c:pt>
                <c:pt idx="2">
                  <c:v>Output</c:v>
                </c:pt>
                <c:pt idx="3">
                  <c:v>Waste</c:v>
                </c:pt>
              </c:strCache>
            </c:strRef>
          </c:cat>
          <c:val>
            <c:numRef>
              <c:f>'TRANSGENIC-TOBACCO'!$J$91:$M$91</c:f>
              <c:numCache>
                <c:formatCode>General</c:formatCode>
                <c:ptCount val="4"/>
              </c:numCache>
            </c:numRef>
          </c:val>
          <c:extLst>
            <c:ext xmlns:c16="http://schemas.microsoft.com/office/drawing/2014/chart" uri="{C3380CC4-5D6E-409C-BE32-E72D297353CC}">
              <c16:uniqueId val="{00000024-0E6F-4D8A-8496-4F531678E555}"/>
            </c:ext>
          </c:extLst>
        </c:ser>
        <c:ser>
          <c:idx val="12"/>
          <c:order val="12"/>
          <c:tx>
            <c:strRef>
              <c:f>'TRANSGENIC-TOBACCO'!$A$92</c:f>
              <c:strCache>
                <c:ptCount val="1"/>
                <c:pt idx="0">
                  <c:v>Biomass Waste</c:v>
                </c:pt>
              </c:strCache>
            </c:strRef>
          </c:tx>
          <c:spPr>
            <a:solidFill>
              <a:schemeClr val="accent6">
                <a:lumMod val="40000"/>
                <a:lumOff val="60000"/>
              </a:schemeClr>
            </a:solidFill>
          </c:spPr>
          <c:invertIfNegative val="0"/>
          <c:cat>
            <c:strRef>
              <c:f>'TRANSGENIC-TOBACCO'!$J$79:$M$79</c:f>
              <c:strCache>
                <c:ptCount val="4"/>
                <c:pt idx="0">
                  <c:v>System</c:v>
                </c:pt>
                <c:pt idx="1">
                  <c:v>Input</c:v>
                </c:pt>
                <c:pt idx="2">
                  <c:v>Output</c:v>
                </c:pt>
                <c:pt idx="3">
                  <c:v>Waste</c:v>
                </c:pt>
              </c:strCache>
            </c:strRef>
          </c:cat>
          <c:val>
            <c:numRef>
              <c:f>'TRANSGENIC-TOBACCO'!$J$92:$M$92</c:f>
              <c:numCache>
                <c:formatCode>General</c:formatCode>
                <c:ptCount val="4"/>
              </c:numCache>
            </c:numRef>
          </c:val>
          <c:extLst>
            <c:ext xmlns:c16="http://schemas.microsoft.com/office/drawing/2014/chart" uri="{C3380CC4-5D6E-409C-BE32-E72D297353CC}">
              <c16:uniqueId val="{00000026-0E6F-4D8A-8496-4F531678E5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0"/>
        <c:overlap val="100"/>
        <c:axId val="312382031"/>
        <c:axId val="312385871"/>
      </c:barChart>
      <c:catAx>
        <c:axId val="3123820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2385871"/>
        <c:crosses val="autoZero"/>
        <c:auto val="1"/>
        <c:lblAlgn val="ctr"/>
        <c:lblOffset val="100"/>
        <c:noMultiLvlLbl val="0"/>
      </c:catAx>
      <c:valAx>
        <c:axId val="312385871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1" i="0" u="none" strike="noStrike" kern="1200" baseline="0">
                    <a:solidFill>
                      <a:sysClr val="windowText" lastClr="000000"/>
                    </a:solidFill>
                  </a:rPr>
                  <a:t>Power (kW/CM/Mission)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#,##0.00" sourceLinked="0"/>
        <c:majorTickMark val="out"/>
        <c:minorTickMark val="none"/>
        <c:tickLblPos val="nextTo"/>
        <c:spPr>
          <a:noFill/>
          <a:ln w="9525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2382031"/>
        <c:crosses val="autoZero"/>
        <c:crossBetween val="between"/>
      </c:valAx>
      <c:spPr>
        <a:ln>
          <a:solidFill>
            <a:schemeClr val="tx1"/>
          </a:solidFill>
        </a:ln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2"/>
      </a:solidFill>
      <a:round/>
    </a:ln>
    <a:effectLst/>
  </c:spPr>
  <c:txPr>
    <a:bodyPr/>
    <a:lstStyle/>
    <a:p>
      <a:pPr>
        <a:defRPr sz="1000" b="1"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none" strike="noStrike" kern="1200" spc="0" baseline="0">
                <a:solidFill>
                  <a:sysClr val="windowText" lastClr="000000"/>
                </a:solidFill>
              </a:rPr>
              <a:t>TRANSGENIC - TOBACCO Crew time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'TRANSGENIC-TOBACCO'!$A$80</c:f>
              <c:strCache>
                <c:ptCount val="1"/>
                <c:pt idx="0">
                  <c:v>Harvesting collection container</c:v>
                </c:pt>
              </c:strCache>
            </c:strRef>
          </c:tx>
          <c:spPr>
            <a:solidFill>
              <a:schemeClr val="accent2">
                <a:lumMod val="20000"/>
                <a:lumOff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'TRANSGENIC-TOBACCO'!$N$79:$O$79</c:f>
              <c:strCache>
                <c:ptCount val="2"/>
                <c:pt idx="0">
                  <c:v>System</c:v>
                </c:pt>
                <c:pt idx="1">
                  <c:v>Process Operations</c:v>
                </c:pt>
              </c:strCache>
            </c:strRef>
          </c:cat>
          <c:val>
            <c:numRef>
              <c:f>'TRANSGENIC-TOBACCO'!$N$80:$O$80</c:f>
              <c:numCache>
                <c:formatCode>General</c:formatCode>
                <c:ptCount val="2"/>
              </c:numCache>
            </c:numRef>
          </c:val>
          <c:extLst>
            <c:ext xmlns:c16="http://schemas.microsoft.com/office/drawing/2014/chart" uri="{C3380CC4-5D6E-409C-BE32-E72D297353CC}">
              <c16:uniqueId val="{00000001-1F3F-433B-9270-3445AB4A1C59}"/>
            </c:ext>
          </c:extLst>
        </c:ser>
        <c:ser>
          <c:idx val="1"/>
          <c:order val="1"/>
          <c:tx>
            <c:strRef>
              <c:f>'TRANSGENIC-TOBACCO'!$A$81</c:f>
              <c:strCache>
                <c:ptCount val="1"/>
                <c:pt idx="0">
                  <c:v>Harvesting tools</c:v>
                </c:pt>
              </c:strCache>
            </c:strRef>
          </c:tx>
          <c:spPr>
            <a:solidFill>
              <a:schemeClr val="accent2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'TRANSGENIC-TOBACCO'!$N$79:$O$79</c:f>
              <c:strCache>
                <c:ptCount val="2"/>
                <c:pt idx="0">
                  <c:v>System</c:v>
                </c:pt>
                <c:pt idx="1">
                  <c:v>Process Operations</c:v>
                </c:pt>
              </c:strCache>
            </c:strRef>
          </c:cat>
          <c:val>
            <c:numRef>
              <c:f>'TRANSGENIC-TOBACCO'!$N$81:$O$81</c:f>
              <c:numCache>
                <c:formatCode>General</c:formatCode>
                <c:ptCount val="2"/>
              </c:numCache>
            </c:numRef>
          </c:val>
          <c:extLst>
            <c:ext xmlns:c16="http://schemas.microsoft.com/office/drawing/2014/chart" uri="{C3380CC4-5D6E-409C-BE32-E72D297353CC}">
              <c16:uniqueId val="{00000003-1F3F-433B-9270-3445AB4A1C59}"/>
            </c:ext>
          </c:extLst>
        </c:ser>
        <c:ser>
          <c:idx val="2"/>
          <c:order val="2"/>
          <c:tx>
            <c:strRef>
              <c:f>'TRANSGENIC-TOBACCO'!$A$82</c:f>
              <c:strCache>
                <c:ptCount val="1"/>
                <c:pt idx="0">
                  <c:v>Refrigerator/Freezer</c:v>
                </c:pt>
              </c:strCache>
            </c:strRef>
          </c:tx>
          <c:spPr>
            <a:solidFill>
              <a:schemeClr val="accent2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'TRANSGENIC-TOBACCO'!$N$79:$O$79</c:f>
              <c:strCache>
                <c:ptCount val="2"/>
                <c:pt idx="0">
                  <c:v>System</c:v>
                </c:pt>
                <c:pt idx="1">
                  <c:v>Process Operations</c:v>
                </c:pt>
              </c:strCache>
            </c:strRef>
          </c:cat>
          <c:val>
            <c:numRef>
              <c:f>'TRANSGENIC-TOBACCO'!$N$82:$O$82</c:f>
              <c:numCache>
                <c:formatCode>General</c:formatCode>
                <c:ptCount val="2"/>
              </c:numCache>
            </c:numRef>
          </c:val>
          <c:extLst>
            <c:ext xmlns:c16="http://schemas.microsoft.com/office/drawing/2014/chart" uri="{C3380CC4-5D6E-409C-BE32-E72D297353CC}">
              <c16:uniqueId val="{00000005-1F3F-433B-9270-3445AB4A1C59}"/>
            </c:ext>
          </c:extLst>
        </c:ser>
        <c:ser>
          <c:idx val="3"/>
          <c:order val="3"/>
          <c:tx>
            <c:strRef>
              <c:f>'TRANSGENIC-TOBACCO'!$A$83</c:f>
              <c:strCache>
                <c:ptCount val="1"/>
                <c:pt idx="0">
                  <c:v>Lighting panels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'TRANSGENIC-TOBACCO'!$N$79:$O$79</c:f>
              <c:strCache>
                <c:ptCount val="2"/>
                <c:pt idx="0">
                  <c:v>System</c:v>
                </c:pt>
                <c:pt idx="1">
                  <c:v>Process Operations</c:v>
                </c:pt>
              </c:strCache>
            </c:strRef>
          </c:cat>
          <c:val>
            <c:numRef>
              <c:f>'TRANSGENIC-TOBACCO'!$N$83:$O$83</c:f>
              <c:numCache>
                <c:formatCode>General</c:formatCode>
                <c:ptCount val="2"/>
              </c:numCache>
            </c:numRef>
          </c:val>
          <c:extLst>
            <c:ext xmlns:c16="http://schemas.microsoft.com/office/drawing/2014/chart" uri="{C3380CC4-5D6E-409C-BE32-E72D297353CC}">
              <c16:uniqueId val="{00000007-1F3F-433B-9270-3445AB4A1C59}"/>
            </c:ext>
          </c:extLst>
        </c:ser>
        <c:ser>
          <c:idx val="4"/>
          <c:order val="4"/>
          <c:tx>
            <c:strRef>
              <c:f>'TRANSGENIC-TOBACCO'!$A$84</c:f>
              <c:strCache>
                <c:ptCount val="1"/>
                <c:pt idx="0">
                  <c:v>Plant growth chamber</c:v>
                </c:pt>
              </c:strCache>
            </c:strRef>
          </c:tx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strRef>
              <c:f>'TRANSGENIC-TOBACCO'!$N$79:$O$79</c:f>
              <c:strCache>
                <c:ptCount val="2"/>
                <c:pt idx="0">
                  <c:v>System</c:v>
                </c:pt>
                <c:pt idx="1">
                  <c:v>Process Operations</c:v>
                </c:pt>
              </c:strCache>
            </c:strRef>
          </c:cat>
          <c:val>
            <c:numRef>
              <c:f>'TRANSGENIC-TOBACCO'!$N$84:$O$84</c:f>
              <c:numCache>
                <c:formatCode>General</c:formatCode>
                <c:ptCount val="2"/>
              </c:numCache>
            </c:numRef>
          </c:val>
          <c:extLst>
            <c:ext xmlns:c16="http://schemas.microsoft.com/office/drawing/2014/chart" uri="{C3380CC4-5D6E-409C-BE32-E72D297353CC}">
              <c16:uniqueId val="{00000009-1F3F-433B-9270-3445AB4A1C59}"/>
            </c:ext>
          </c:extLst>
        </c:ser>
        <c:ser>
          <c:idx val="5"/>
          <c:order val="5"/>
          <c:tx>
            <c:strRef>
              <c:f>'TRANSGENIC-TOBACCO'!$A$85</c:f>
              <c:strCache>
                <c:ptCount val="1"/>
                <c:pt idx="0">
                  <c:v>N. benthamiana seeds</c:v>
                </c:pt>
              </c:strCache>
            </c:strRef>
          </c:tx>
          <c:spPr>
            <a:solidFill>
              <a:schemeClr val="accent4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strRef>
              <c:f>'TRANSGENIC-TOBACCO'!$N$79:$O$79</c:f>
              <c:strCache>
                <c:ptCount val="2"/>
                <c:pt idx="0">
                  <c:v>System</c:v>
                </c:pt>
                <c:pt idx="1">
                  <c:v>Process Operations</c:v>
                </c:pt>
              </c:strCache>
            </c:strRef>
          </c:cat>
          <c:val>
            <c:numRef>
              <c:f>'TRANSGENIC-TOBACCO'!$N$85:$O$85</c:f>
              <c:numCache>
                <c:formatCode>0.00E+00</c:formatCode>
                <c:ptCount val="2"/>
                <c:pt idx="1">
                  <c:v>9.1199999999999992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1F3F-433B-9270-3445AB4A1C59}"/>
            </c:ext>
          </c:extLst>
        </c:ser>
        <c:ser>
          <c:idx val="6"/>
          <c:order val="6"/>
          <c:tx>
            <c:strRef>
              <c:f>'TRANSGENIC-TOBACCO'!$A$86</c:f>
              <c:strCache>
                <c:ptCount val="1"/>
                <c:pt idx="0">
                  <c:v>Water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'TRANSGENIC-TOBACCO'!$N$79:$O$79</c:f>
              <c:strCache>
                <c:ptCount val="2"/>
                <c:pt idx="0">
                  <c:v>System</c:v>
                </c:pt>
                <c:pt idx="1">
                  <c:v>Process Operations</c:v>
                </c:pt>
              </c:strCache>
            </c:strRef>
          </c:cat>
          <c:val>
            <c:numRef>
              <c:f>'TRANSGENIC-TOBACCO'!$N$86:$O$86</c:f>
              <c:numCache>
                <c:formatCode>0.00E+00</c:formatCode>
                <c:ptCount val="2"/>
                <c:pt idx="1">
                  <c:v>0.48167464620553418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1F3F-433B-9270-3445AB4A1C59}"/>
            </c:ext>
          </c:extLst>
        </c:ser>
        <c:ser>
          <c:idx val="7"/>
          <c:order val="7"/>
          <c:tx>
            <c:strRef>
              <c:f>'TRANSGENIC-TOBACCO'!$A$87</c:f>
              <c:strCache>
                <c:ptCount val="1"/>
                <c:pt idx="0">
                  <c:v>Plant nutrients</c:v>
                </c:pt>
              </c:strCache>
            </c:strRef>
          </c:tx>
          <c:spPr>
            <a:solidFill>
              <a:schemeClr val="accent4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'TRANSGENIC-TOBACCO'!$N$79:$O$79</c:f>
              <c:strCache>
                <c:ptCount val="2"/>
                <c:pt idx="0">
                  <c:v>System</c:v>
                </c:pt>
                <c:pt idx="1">
                  <c:v>Process Operations</c:v>
                </c:pt>
              </c:strCache>
            </c:strRef>
          </c:cat>
          <c:val>
            <c:numRef>
              <c:f>'TRANSGENIC-TOBACCO'!$N$87:$O$87</c:f>
              <c:numCache>
                <c:formatCode>0.00E+00</c:formatCode>
                <c:ptCount val="2"/>
                <c:pt idx="1">
                  <c:v>0.98503134141595905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1F3F-433B-9270-3445AB4A1C59}"/>
            </c:ext>
          </c:extLst>
        </c:ser>
        <c:ser>
          <c:idx val="8"/>
          <c:order val="8"/>
          <c:tx>
            <c:strRef>
              <c:f>'TRANSGENIC-TOBACCO'!$A$88</c:f>
              <c:strCache>
                <c:ptCount val="1"/>
                <c:pt idx="0">
                  <c:v>Carbon dioxide</c:v>
                </c:pt>
              </c:strCache>
            </c:strRef>
          </c:tx>
          <c:spPr>
            <a:solidFill>
              <a:schemeClr val="accent4">
                <a:lumMod val="20000"/>
                <a:lumOff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'TRANSGENIC-TOBACCO'!$N$79:$O$79</c:f>
              <c:strCache>
                <c:ptCount val="2"/>
                <c:pt idx="0">
                  <c:v>System</c:v>
                </c:pt>
                <c:pt idx="1">
                  <c:v>Process Operations</c:v>
                </c:pt>
              </c:strCache>
            </c:strRef>
          </c:cat>
          <c:val>
            <c:numRef>
              <c:f>'TRANSGENIC-TOBACCO'!$N$88:$O$88</c:f>
              <c:numCache>
                <c:formatCode>0.00E+00</c:formatCode>
                <c:ptCount val="2"/>
                <c:pt idx="1">
                  <c:v>32.0565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1-1F3F-433B-9270-3445AB4A1C59}"/>
            </c:ext>
          </c:extLst>
        </c:ser>
        <c:ser>
          <c:idx val="9"/>
          <c:order val="9"/>
          <c:tx>
            <c:strRef>
              <c:f>'TRANSGENIC-TOBACCO'!$A$89</c:f>
              <c:strCache>
                <c:ptCount val="1"/>
                <c:pt idx="0">
                  <c:v>PTH-Fc</c:v>
                </c:pt>
              </c:strCache>
            </c:strRef>
          </c:tx>
          <c:spPr>
            <a:solidFill>
              <a:srgbClr val="FFC000"/>
            </a:solidFill>
            <a:ln>
              <a:noFill/>
            </a:ln>
            <a:effectLst/>
          </c:spPr>
          <c:invertIfNegative val="0"/>
          <c:cat>
            <c:strRef>
              <c:f>'TRANSGENIC-TOBACCO'!$N$79:$O$79</c:f>
              <c:strCache>
                <c:ptCount val="2"/>
                <c:pt idx="0">
                  <c:v>System</c:v>
                </c:pt>
                <c:pt idx="1">
                  <c:v>Process Operations</c:v>
                </c:pt>
              </c:strCache>
            </c:strRef>
          </c:cat>
          <c:val>
            <c:numRef>
              <c:f>'TRANSGENIC-TOBACCO'!$N$89:$O$89</c:f>
              <c:numCache>
                <c:formatCode>0.00E+00</c:formatCode>
                <c:ptCount val="2"/>
              </c:numCache>
            </c:numRef>
          </c:val>
          <c:extLst>
            <c:ext xmlns:c16="http://schemas.microsoft.com/office/drawing/2014/chart" uri="{C3380CC4-5D6E-409C-BE32-E72D297353CC}">
              <c16:uniqueId val="{00000013-1F3F-433B-9270-3445AB4A1C59}"/>
            </c:ext>
          </c:extLst>
        </c:ser>
        <c:ser>
          <c:idx val="10"/>
          <c:order val="10"/>
          <c:tx>
            <c:strRef>
              <c:f>'TRANSGENIC-TOBACCO'!$A$90</c:f>
              <c:strCache>
                <c:ptCount val="1"/>
                <c:pt idx="0">
                  <c:v>Plant biomass</c:v>
                </c:pt>
              </c:strCache>
            </c:strRef>
          </c:tx>
          <c:spPr>
            <a:solidFill>
              <a:schemeClr val="accent6">
                <a:lumMod val="75000"/>
              </a:schemeClr>
            </a:solidFill>
          </c:spPr>
          <c:invertIfNegative val="0"/>
          <c:cat>
            <c:strRef>
              <c:f>'TRANSGENIC-TOBACCO'!$N$79:$O$79</c:f>
              <c:strCache>
                <c:ptCount val="2"/>
                <c:pt idx="0">
                  <c:v>System</c:v>
                </c:pt>
                <c:pt idx="1">
                  <c:v>Process Operations</c:v>
                </c:pt>
              </c:strCache>
            </c:strRef>
          </c:cat>
          <c:val>
            <c:numRef>
              <c:f>'TRANSGENIC-TOBACCO'!$N$90:$O$90</c:f>
              <c:numCache>
                <c:formatCode>0.00E+00</c:formatCode>
                <c:ptCount val="2"/>
                <c:pt idx="1">
                  <c:v>0.69243119651203311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5-1F3F-433B-9270-3445AB4A1C59}"/>
            </c:ext>
          </c:extLst>
        </c:ser>
        <c:ser>
          <c:idx val="11"/>
          <c:order val="11"/>
          <c:tx>
            <c:strRef>
              <c:f>'TRANSGENIC-TOBACCO'!$A$91</c:f>
              <c:strCache>
                <c:ptCount val="1"/>
                <c:pt idx="0">
                  <c:v>Oxygen</c:v>
                </c:pt>
              </c:strCache>
            </c:strRef>
          </c:tx>
          <c:spPr>
            <a:solidFill>
              <a:schemeClr val="accent6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'TRANSGENIC-TOBACCO'!$N$79:$O$79</c:f>
              <c:strCache>
                <c:ptCount val="2"/>
                <c:pt idx="0">
                  <c:v>System</c:v>
                </c:pt>
                <c:pt idx="1">
                  <c:v>Process Operations</c:v>
                </c:pt>
              </c:strCache>
            </c:strRef>
          </c:cat>
          <c:val>
            <c:numRef>
              <c:f>'TRANSGENIC-TOBACCO'!$N$91:$O$91</c:f>
              <c:numCache>
                <c:formatCode>General</c:formatCode>
                <c:ptCount val="2"/>
              </c:numCache>
            </c:numRef>
          </c:val>
          <c:extLst>
            <c:ext xmlns:c16="http://schemas.microsoft.com/office/drawing/2014/chart" uri="{C3380CC4-5D6E-409C-BE32-E72D297353CC}">
              <c16:uniqueId val="{00000017-1F3F-433B-9270-3445AB4A1C59}"/>
            </c:ext>
          </c:extLst>
        </c:ser>
        <c:ser>
          <c:idx val="12"/>
          <c:order val="12"/>
          <c:tx>
            <c:strRef>
              <c:f>'TRANSGENIC-TOBACCO'!$A$92</c:f>
              <c:strCache>
                <c:ptCount val="1"/>
                <c:pt idx="0">
                  <c:v>Biomass Waste</c:v>
                </c:pt>
              </c:strCache>
            </c:strRef>
          </c:tx>
          <c:spPr>
            <a:solidFill>
              <a:schemeClr val="accent6">
                <a:lumMod val="40000"/>
                <a:lumOff val="60000"/>
              </a:schemeClr>
            </a:solidFill>
          </c:spPr>
          <c:invertIfNegative val="0"/>
          <c:cat>
            <c:strRef>
              <c:f>'TRANSGENIC-TOBACCO'!$N$79:$O$79</c:f>
              <c:strCache>
                <c:ptCount val="2"/>
                <c:pt idx="0">
                  <c:v>System</c:v>
                </c:pt>
                <c:pt idx="1">
                  <c:v>Process Operations</c:v>
                </c:pt>
              </c:strCache>
            </c:strRef>
          </c:cat>
          <c:val>
            <c:numRef>
              <c:f>'TRANSGENIC-TOBACCO'!$N$92:$O$92</c:f>
              <c:numCache>
                <c:formatCode>General</c:formatCode>
                <c:ptCount val="2"/>
              </c:numCache>
            </c:numRef>
          </c:val>
          <c:extLst>
            <c:ext xmlns:c16="http://schemas.microsoft.com/office/drawing/2014/chart" uri="{C3380CC4-5D6E-409C-BE32-E72D297353CC}">
              <c16:uniqueId val="{00000019-1F3F-433B-9270-3445AB4A1C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0"/>
        <c:overlap val="100"/>
        <c:axId val="312382031"/>
        <c:axId val="312385871"/>
      </c:barChart>
      <c:catAx>
        <c:axId val="3123820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2385871"/>
        <c:crosses val="autoZero"/>
        <c:auto val="1"/>
        <c:lblAlgn val="ctr"/>
        <c:lblOffset val="100"/>
        <c:noMultiLvlLbl val="0"/>
      </c:catAx>
      <c:valAx>
        <c:axId val="312385871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1" i="0" u="none" strike="noStrike" kern="1200" baseline="0">
                    <a:solidFill>
                      <a:sysClr val="windowText" lastClr="000000"/>
                    </a:solidFill>
                  </a:rPr>
                  <a:t>Power (kW/CM/Mission)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#,##0.0" sourceLinked="0"/>
        <c:majorTickMark val="out"/>
        <c:minorTickMark val="none"/>
        <c:tickLblPos val="nextTo"/>
        <c:spPr>
          <a:noFill/>
          <a:ln w="9525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2382031"/>
        <c:crosses val="autoZero"/>
        <c:crossBetween val="between"/>
      </c:valAx>
      <c:spPr>
        <a:ln>
          <a:solidFill>
            <a:schemeClr val="tx1"/>
          </a:solidFill>
        </a:ln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2"/>
      </a:solidFill>
      <a:round/>
    </a:ln>
    <a:effectLst/>
  </c:spPr>
  <c:txPr>
    <a:bodyPr/>
    <a:lstStyle/>
    <a:p>
      <a:pPr>
        <a:defRPr sz="1000" b="1"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sz="1400"/>
              <a:t>GENE GUN - Mass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'GENE GUN'!$A$214</c:f>
              <c:strCache>
                <c:ptCount val="1"/>
                <c:pt idx="0">
                  <c:v>Harvesting container</c:v>
                </c:pt>
              </c:strCache>
            </c:strRef>
          </c:tx>
          <c:spPr>
            <a:solidFill>
              <a:schemeClr val="accent2">
                <a:lumMod val="20000"/>
                <a:lumOff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'GENE GUN'!$B$213:$E$213</c:f>
              <c:strCache>
                <c:ptCount val="4"/>
                <c:pt idx="0">
                  <c:v>System</c:v>
                </c:pt>
                <c:pt idx="1">
                  <c:v>Input</c:v>
                </c:pt>
                <c:pt idx="2">
                  <c:v>Output</c:v>
                </c:pt>
                <c:pt idx="3">
                  <c:v>Waste</c:v>
                </c:pt>
              </c:strCache>
            </c:strRef>
          </c:cat>
          <c:val>
            <c:numRef>
              <c:f>'GENE GUN'!$B$214:$E$214</c:f>
              <c:numCache>
                <c:formatCode>General</c:formatCode>
                <c:ptCount val="4"/>
                <c:pt idx="0" formatCode="0.00E+00">
                  <c:v>9.67779624E-2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C-C995-41FD-974A-3DB02142ABAB}"/>
            </c:ext>
          </c:extLst>
        </c:ser>
        <c:ser>
          <c:idx val="1"/>
          <c:order val="1"/>
          <c:tx>
            <c:strRef>
              <c:f>'GENE GUN'!$A$215</c:f>
              <c:strCache>
                <c:ptCount val="1"/>
                <c:pt idx="0">
                  <c:v>Harvesting tools</c:v>
                </c:pt>
              </c:strCache>
            </c:strRef>
          </c:tx>
          <c:spPr>
            <a:solidFill>
              <a:schemeClr val="accent2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'GENE GUN'!$B$213:$E$213</c:f>
              <c:strCache>
                <c:ptCount val="4"/>
                <c:pt idx="0">
                  <c:v>System</c:v>
                </c:pt>
                <c:pt idx="1">
                  <c:v>Input</c:v>
                </c:pt>
                <c:pt idx="2">
                  <c:v>Output</c:v>
                </c:pt>
                <c:pt idx="3">
                  <c:v>Waste</c:v>
                </c:pt>
              </c:strCache>
            </c:strRef>
          </c:cat>
          <c:val>
            <c:numRef>
              <c:f>'GENE GUN'!$B$215:$E$215</c:f>
              <c:numCache>
                <c:formatCode>General</c:formatCode>
                <c:ptCount val="4"/>
                <c:pt idx="0" formatCode="0.00E+00">
                  <c:v>3.4018333333333338E-2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E-C995-41FD-974A-3DB02142ABAB}"/>
            </c:ext>
          </c:extLst>
        </c:ser>
        <c:ser>
          <c:idx val="2"/>
          <c:order val="2"/>
          <c:tx>
            <c:strRef>
              <c:f>'GENE GUN'!$A$216</c:f>
              <c:strCache>
                <c:ptCount val="1"/>
                <c:pt idx="0">
                  <c:v>Refrigerator/Freezer</c:v>
                </c:pt>
              </c:strCache>
            </c:strRef>
          </c:tx>
          <c:spPr>
            <a:solidFill>
              <a:schemeClr val="accent5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'GENE GUN'!$B$213:$E$213</c:f>
              <c:strCache>
                <c:ptCount val="4"/>
                <c:pt idx="0">
                  <c:v>System</c:v>
                </c:pt>
                <c:pt idx="1">
                  <c:v>Input</c:v>
                </c:pt>
                <c:pt idx="2">
                  <c:v>Output</c:v>
                </c:pt>
                <c:pt idx="3">
                  <c:v>Waste</c:v>
                </c:pt>
              </c:strCache>
            </c:strRef>
          </c:cat>
          <c:val>
            <c:numRef>
              <c:f>'GENE GUN'!$B$216:$E$216</c:f>
              <c:numCache>
                <c:formatCode>General</c:formatCode>
                <c:ptCount val="4"/>
                <c:pt idx="0" formatCode="0.00E+00">
                  <c:v>5360.7409140625005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0-C995-41FD-974A-3DB02142ABAB}"/>
            </c:ext>
          </c:extLst>
        </c:ser>
        <c:ser>
          <c:idx val="3"/>
          <c:order val="3"/>
          <c:tx>
            <c:strRef>
              <c:f>'GENE GUN'!$A$217</c:f>
              <c:strCache>
                <c:ptCount val="1"/>
                <c:pt idx="0">
                  <c:v>Lighting panels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'GENE GUN'!$B$213:$E$213</c:f>
              <c:strCache>
                <c:ptCount val="4"/>
                <c:pt idx="0">
                  <c:v>System</c:v>
                </c:pt>
                <c:pt idx="1">
                  <c:v>Input</c:v>
                </c:pt>
                <c:pt idx="2">
                  <c:v>Output</c:v>
                </c:pt>
                <c:pt idx="3">
                  <c:v>Waste</c:v>
                </c:pt>
              </c:strCache>
            </c:strRef>
          </c:cat>
          <c:val>
            <c:numRef>
              <c:f>'GENE GUN'!$B$217:$E$217</c:f>
              <c:numCache>
                <c:formatCode>General</c:formatCode>
                <c:ptCount val="4"/>
                <c:pt idx="0" formatCode="0.00E+00">
                  <c:v>5.1029999999999998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2-C995-41FD-974A-3DB02142ABAB}"/>
            </c:ext>
          </c:extLst>
        </c:ser>
        <c:ser>
          <c:idx val="4"/>
          <c:order val="4"/>
          <c:tx>
            <c:strRef>
              <c:f>'GENE GUN'!$A$218</c:f>
              <c:strCache>
                <c:ptCount val="1"/>
                <c:pt idx="0">
                  <c:v>Plant growth chamber</c:v>
                </c:pt>
              </c:strCache>
            </c:strRef>
          </c:tx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strRef>
              <c:f>'GENE GUN'!$B$213:$E$213</c:f>
              <c:strCache>
                <c:ptCount val="4"/>
                <c:pt idx="0">
                  <c:v>System</c:v>
                </c:pt>
                <c:pt idx="1">
                  <c:v>Input</c:v>
                </c:pt>
                <c:pt idx="2">
                  <c:v>Output</c:v>
                </c:pt>
                <c:pt idx="3">
                  <c:v>Waste</c:v>
                </c:pt>
              </c:strCache>
            </c:strRef>
          </c:cat>
          <c:val>
            <c:numRef>
              <c:f>'GENE GUN'!$B$218:$E$218</c:f>
              <c:numCache>
                <c:formatCode>General</c:formatCode>
                <c:ptCount val="4"/>
                <c:pt idx="0" formatCode="0.00E+00">
                  <c:v>160.875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4-C995-41FD-974A-3DB02142ABAB}"/>
            </c:ext>
          </c:extLst>
        </c:ser>
        <c:ser>
          <c:idx val="5"/>
          <c:order val="5"/>
          <c:tx>
            <c:strRef>
              <c:f>'GENE GUN'!$A$219</c:f>
              <c:strCache>
                <c:ptCount val="1"/>
                <c:pt idx="0">
                  <c:v>Lettuce seeds</c:v>
                </c:pt>
              </c:strCache>
            </c:strRef>
          </c:tx>
          <c:spPr>
            <a:solidFill>
              <a:schemeClr val="accent4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strRef>
              <c:f>'GENE GUN'!$B$213:$E$213</c:f>
              <c:strCache>
                <c:ptCount val="4"/>
                <c:pt idx="0">
                  <c:v>System</c:v>
                </c:pt>
                <c:pt idx="1">
                  <c:v>Input</c:v>
                </c:pt>
                <c:pt idx="2">
                  <c:v>Output</c:v>
                </c:pt>
                <c:pt idx="3">
                  <c:v>Waste</c:v>
                </c:pt>
              </c:strCache>
            </c:strRef>
          </c:cat>
          <c:val>
            <c:numRef>
              <c:f>'GENE GUN'!$B$219:$E$219</c:f>
              <c:numCache>
                <c:formatCode>0.00E+00</c:formatCode>
                <c:ptCount val="4"/>
                <c:pt idx="1">
                  <c:v>9.5545999999999999E-4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6-C995-41FD-974A-3DB02142ABAB}"/>
            </c:ext>
          </c:extLst>
        </c:ser>
        <c:ser>
          <c:idx val="6"/>
          <c:order val="6"/>
          <c:tx>
            <c:strRef>
              <c:f>'GENE GUN'!$A$220</c:f>
              <c:strCache>
                <c:ptCount val="1"/>
                <c:pt idx="0">
                  <c:v>Water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'GENE GUN'!$B$213:$E$213</c:f>
              <c:strCache>
                <c:ptCount val="4"/>
                <c:pt idx="0">
                  <c:v>System</c:v>
                </c:pt>
                <c:pt idx="1">
                  <c:v>Input</c:v>
                </c:pt>
                <c:pt idx="2">
                  <c:v>Output</c:v>
                </c:pt>
                <c:pt idx="3">
                  <c:v>Waste</c:v>
                </c:pt>
              </c:strCache>
            </c:strRef>
          </c:cat>
          <c:val>
            <c:numRef>
              <c:f>'GENE GUN'!$B$220:$E$220</c:f>
              <c:numCache>
                <c:formatCode>0.00E+00</c:formatCode>
                <c:ptCount val="4"/>
                <c:pt idx="1">
                  <c:v>3424.1258333333335</c:v>
                </c:pt>
                <c:pt idx="2">
                  <c:v>3060.2124437500006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8-C995-41FD-974A-3DB02142ABAB}"/>
            </c:ext>
          </c:extLst>
        </c:ser>
        <c:ser>
          <c:idx val="7"/>
          <c:order val="7"/>
          <c:tx>
            <c:strRef>
              <c:f>'GENE GUN'!$A$221</c:f>
              <c:strCache>
                <c:ptCount val="1"/>
                <c:pt idx="0">
                  <c:v>Plant nutrients</c:v>
                </c:pt>
              </c:strCache>
            </c:strRef>
          </c:tx>
          <c:spPr>
            <a:solidFill>
              <a:schemeClr val="accent4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'GENE GUN'!$B$213:$E$213</c:f>
              <c:strCache>
                <c:ptCount val="4"/>
                <c:pt idx="0">
                  <c:v>System</c:v>
                </c:pt>
                <c:pt idx="1">
                  <c:v>Input</c:v>
                </c:pt>
                <c:pt idx="2">
                  <c:v>Output</c:v>
                </c:pt>
                <c:pt idx="3">
                  <c:v>Waste</c:v>
                </c:pt>
              </c:strCache>
            </c:strRef>
          </c:cat>
          <c:val>
            <c:numRef>
              <c:f>'GENE GUN'!$B$221:$E$221</c:f>
              <c:numCache>
                <c:formatCode>0.00E+00</c:formatCode>
                <c:ptCount val="4"/>
                <c:pt idx="1">
                  <c:v>131.43164598666669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A-C995-41FD-974A-3DB02142ABAB}"/>
            </c:ext>
          </c:extLst>
        </c:ser>
        <c:ser>
          <c:idx val="8"/>
          <c:order val="8"/>
          <c:tx>
            <c:strRef>
              <c:f>'GENE GUN'!$A$222</c:f>
              <c:strCache>
                <c:ptCount val="1"/>
                <c:pt idx="0">
                  <c:v>Carbon dioxide</c:v>
                </c:pt>
              </c:strCache>
            </c:strRef>
          </c:tx>
          <c:spPr>
            <a:solidFill>
              <a:schemeClr val="accent4">
                <a:lumMod val="20000"/>
                <a:lumOff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'GENE GUN'!$B$213:$E$213</c:f>
              <c:strCache>
                <c:ptCount val="4"/>
                <c:pt idx="0">
                  <c:v>System</c:v>
                </c:pt>
                <c:pt idx="1">
                  <c:v>Input</c:v>
                </c:pt>
                <c:pt idx="2">
                  <c:v>Output</c:v>
                </c:pt>
                <c:pt idx="3">
                  <c:v>Waste</c:v>
                </c:pt>
              </c:strCache>
            </c:strRef>
          </c:cat>
          <c:val>
            <c:numRef>
              <c:f>'GENE GUN'!$B$222:$E$222</c:f>
              <c:numCache>
                <c:formatCode>0.00E+00</c:formatCode>
                <c:ptCount val="4"/>
                <c:pt idx="1">
                  <c:v>14.761541666666666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C-C995-41FD-974A-3DB02142ABAB}"/>
            </c:ext>
          </c:extLst>
        </c:ser>
        <c:ser>
          <c:idx val="9"/>
          <c:order val="9"/>
          <c:tx>
            <c:strRef>
              <c:f>'GENE GUN'!$A$223</c:f>
              <c:strCache>
                <c:ptCount val="1"/>
                <c:pt idx="0">
                  <c:v>Oxygen</c:v>
                </c:pt>
              </c:strCache>
            </c:strRef>
          </c:tx>
          <c:spPr>
            <a:solidFill>
              <a:srgbClr val="FFC000"/>
            </a:solidFill>
            <a:ln>
              <a:noFill/>
            </a:ln>
            <a:effectLst/>
          </c:spPr>
          <c:invertIfNegative val="0"/>
          <c:cat>
            <c:strRef>
              <c:f>'GENE GUN'!$B$213:$E$213</c:f>
              <c:strCache>
                <c:ptCount val="4"/>
                <c:pt idx="0">
                  <c:v>System</c:v>
                </c:pt>
                <c:pt idx="1">
                  <c:v>Input</c:v>
                </c:pt>
                <c:pt idx="2">
                  <c:v>Output</c:v>
                </c:pt>
                <c:pt idx="3">
                  <c:v>Waste</c:v>
                </c:pt>
              </c:strCache>
            </c:strRef>
          </c:cat>
          <c:val>
            <c:numRef>
              <c:f>'GENE GUN'!$B$223:$E$223</c:f>
              <c:numCache>
                <c:formatCode>General</c:formatCode>
                <c:ptCount val="4"/>
                <c:pt idx="2" formatCode="0.00E+00">
                  <c:v>10.733158333333336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E-C995-41FD-974A-3DB02142ABAB}"/>
            </c:ext>
          </c:extLst>
        </c:ser>
        <c:ser>
          <c:idx val="10"/>
          <c:order val="10"/>
          <c:tx>
            <c:strRef>
              <c:f>'GENE GUN'!$A$224</c:f>
              <c:strCache>
                <c:ptCount val="1"/>
                <c:pt idx="0">
                  <c:v>PTH-Fc</c:v>
                </c:pt>
              </c:strCache>
            </c:strRef>
          </c:tx>
          <c:spPr>
            <a:solidFill>
              <a:schemeClr val="accent6">
                <a:lumMod val="75000"/>
              </a:schemeClr>
            </a:solidFill>
          </c:spPr>
          <c:invertIfNegative val="0"/>
          <c:cat>
            <c:strRef>
              <c:f>'GENE GUN'!$B$213:$E$213</c:f>
              <c:strCache>
                <c:ptCount val="4"/>
                <c:pt idx="0">
                  <c:v>System</c:v>
                </c:pt>
                <c:pt idx="1">
                  <c:v>Input</c:v>
                </c:pt>
                <c:pt idx="2">
                  <c:v>Output</c:v>
                </c:pt>
                <c:pt idx="3">
                  <c:v>Waste</c:v>
                </c:pt>
              </c:strCache>
            </c:strRef>
          </c:cat>
          <c:val>
            <c:numRef>
              <c:f>'GENE GUN'!$B$224:$E$224</c:f>
              <c:numCache>
                <c:formatCode>General</c:formatCode>
                <c:ptCount val="4"/>
                <c:pt idx="2" formatCode="0.00E+00">
                  <c:v>4.2999999999999994E-4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0-C995-41FD-974A-3DB02142ABAB}"/>
            </c:ext>
          </c:extLst>
        </c:ser>
        <c:ser>
          <c:idx val="11"/>
          <c:order val="11"/>
          <c:tx>
            <c:strRef>
              <c:f>'GENE GUN'!$A$225</c:f>
              <c:strCache>
                <c:ptCount val="1"/>
                <c:pt idx="0">
                  <c:v>Plant biomass</c:v>
                </c:pt>
              </c:strCache>
            </c:strRef>
          </c:tx>
          <c:spPr>
            <a:solidFill>
              <a:schemeClr val="accent3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'GENE GUN'!$B$213:$E$213</c:f>
              <c:strCache>
                <c:ptCount val="4"/>
                <c:pt idx="0">
                  <c:v>System</c:v>
                </c:pt>
                <c:pt idx="1">
                  <c:v>Input</c:v>
                </c:pt>
                <c:pt idx="2">
                  <c:v>Output</c:v>
                </c:pt>
                <c:pt idx="3">
                  <c:v>Waste</c:v>
                </c:pt>
              </c:strCache>
            </c:strRef>
          </c:cat>
          <c:val>
            <c:numRef>
              <c:f>'GENE GUN'!$B$225:$E$225</c:f>
              <c:numCache>
                <c:formatCode>General</c:formatCode>
                <c:ptCount val="4"/>
                <c:pt idx="2" formatCode="0.00E+00">
                  <c:v>18.120827083333324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2-C995-41FD-974A-3DB02142ABAB}"/>
            </c:ext>
          </c:extLst>
        </c:ser>
        <c:ser>
          <c:idx val="12"/>
          <c:order val="12"/>
          <c:tx>
            <c:strRef>
              <c:f>'GENE GUN'!$A$226</c:f>
              <c:strCache>
                <c:ptCount val="1"/>
                <c:pt idx="0">
                  <c:v>Calories</c:v>
                </c:pt>
              </c:strCache>
            </c:strRef>
          </c:tx>
          <c:spPr>
            <a:solidFill>
              <a:schemeClr val="accent6">
                <a:lumMod val="60000"/>
                <a:lumOff val="40000"/>
              </a:schemeClr>
            </a:solidFill>
          </c:spPr>
          <c:invertIfNegative val="0"/>
          <c:cat>
            <c:strRef>
              <c:f>'GENE GUN'!$B$213:$E$213</c:f>
              <c:strCache>
                <c:ptCount val="4"/>
                <c:pt idx="0">
                  <c:v>System</c:v>
                </c:pt>
                <c:pt idx="1">
                  <c:v>Input</c:v>
                </c:pt>
                <c:pt idx="2">
                  <c:v>Output</c:v>
                </c:pt>
                <c:pt idx="3">
                  <c:v>Waste</c:v>
                </c:pt>
              </c:strCache>
            </c:strRef>
          </c:cat>
          <c:val>
            <c:numRef>
              <c:f>'GENE GUN'!$B$226:$E$226</c:f>
              <c:numCache>
                <c:formatCode>General</c:formatCode>
                <c:ptCount val="4"/>
              </c:numCache>
            </c:numRef>
          </c:val>
          <c:extLst>
            <c:ext xmlns:c16="http://schemas.microsoft.com/office/drawing/2014/chart" uri="{C3380CC4-5D6E-409C-BE32-E72D297353CC}">
              <c16:uniqueId val="{00000034-C995-41FD-974A-3DB02142ABAB}"/>
            </c:ext>
          </c:extLst>
        </c:ser>
        <c:ser>
          <c:idx val="13"/>
          <c:order val="13"/>
          <c:tx>
            <c:strRef>
              <c:f>'GENE GUN'!$A$227</c:f>
              <c:strCache>
                <c:ptCount val="1"/>
                <c:pt idx="0">
                  <c:v>Macronutrients</c:v>
                </c:pt>
              </c:strCache>
            </c:strRef>
          </c:tx>
          <c:spPr>
            <a:solidFill>
              <a:schemeClr val="accent6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'GENE GUN'!$B$213:$E$213</c:f>
              <c:strCache>
                <c:ptCount val="4"/>
                <c:pt idx="0">
                  <c:v>System</c:v>
                </c:pt>
                <c:pt idx="1">
                  <c:v>Input</c:v>
                </c:pt>
                <c:pt idx="2">
                  <c:v>Output</c:v>
                </c:pt>
                <c:pt idx="3">
                  <c:v>Waste</c:v>
                </c:pt>
              </c:strCache>
            </c:strRef>
          </c:cat>
          <c:val>
            <c:numRef>
              <c:f>'GENE GUN'!$B$227:$E$227</c:f>
              <c:numCache>
                <c:formatCode>General</c:formatCode>
                <c:ptCount val="4"/>
                <c:pt idx="2" formatCode="0.00E+00">
                  <c:v>8.3718221124999985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6-C995-41FD-974A-3DB02142ABAB}"/>
            </c:ext>
          </c:extLst>
        </c:ser>
        <c:ser>
          <c:idx val="14"/>
          <c:order val="14"/>
          <c:tx>
            <c:strRef>
              <c:f>'GENE GUN'!$A$228</c:f>
              <c:strCache>
                <c:ptCount val="1"/>
                <c:pt idx="0">
                  <c:v>Micronutrients</c:v>
                </c:pt>
              </c:strCache>
            </c:strRef>
          </c:tx>
          <c:spPr>
            <a:solidFill>
              <a:schemeClr val="accent6">
                <a:lumMod val="20000"/>
                <a:lumOff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'GENE GUN'!$B$213:$E$213</c:f>
              <c:strCache>
                <c:ptCount val="4"/>
                <c:pt idx="0">
                  <c:v>System</c:v>
                </c:pt>
                <c:pt idx="1">
                  <c:v>Input</c:v>
                </c:pt>
                <c:pt idx="2">
                  <c:v>Output</c:v>
                </c:pt>
                <c:pt idx="3">
                  <c:v>Waste</c:v>
                </c:pt>
              </c:strCache>
            </c:strRef>
          </c:cat>
          <c:val>
            <c:numRef>
              <c:f>'GENE GUN'!$B$228:$E$228</c:f>
              <c:numCache>
                <c:formatCode>General</c:formatCode>
                <c:ptCount val="4"/>
                <c:pt idx="2" formatCode="0.00E+00">
                  <c:v>0.35326461794822905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8-C995-41FD-974A-3DB02142ABAB}"/>
            </c:ext>
          </c:extLst>
        </c:ser>
        <c:ser>
          <c:idx val="15"/>
          <c:order val="15"/>
          <c:tx>
            <c:strRef>
              <c:f>'GENE GUN'!$A$229</c:f>
              <c:strCache>
                <c:ptCount val="1"/>
                <c:pt idx="0">
                  <c:v>Biomass waste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'GENE GUN'!$B$213:$E$213</c:f>
              <c:strCache>
                <c:ptCount val="4"/>
                <c:pt idx="0">
                  <c:v>System</c:v>
                </c:pt>
                <c:pt idx="1">
                  <c:v>Input</c:v>
                </c:pt>
                <c:pt idx="2">
                  <c:v>Output</c:v>
                </c:pt>
                <c:pt idx="3">
                  <c:v>Waste</c:v>
                </c:pt>
              </c:strCache>
            </c:strRef>
          </c:cat>
          <c:val>
            <c:numRef>
              <c:f>'GENE GUN'!$B$229:$E$229</c:f>
              <c:numCache>
                <c:formatCode>General</c:formatCode>
                <c:ptCount val="4"/>
                <c:pt idx="3" formatCode="0.00E+00">
                  <c:v>10.070958333333335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A-C995-41FD-974A-3DB02142ABAB}"/>
            </c:ext>
          </c:extLst>
        </c:ser>
        <c:ser>
          <c:idx val="16"/>
          <c:order val="16"/>
          <c:tx>
            <c:strRef>
              <c:f>'GENE GUN'!$A$230</c:f>
              <c:strCache>
                <c:ptCount val="1"/>
                <c:pt idx="0">
                  <c:v>Gene Gun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  <a:effectLst/>
          </c:spPr>
          <c:invertIfNegative val="0"/>
          <c:cat>
            <c:strRef>
              <c:f>'GENE GUN'!$B$213:$E$213</c:f>
              <c:strCache>
                <c:ptCount val="4"/>
                <c:pt idx="0">
                  <c:v>System</c:v>
                </c:pt>
                <c:pt idx="1">
                  <c:v>Input</c:v>
                </c:pt>
                <c:pt idx="2">
                  <c:v>Output</c:v>
                </c:pt>
                <c:pt idx="3">
                  <c:v>Waste</c:v>
                </c:pt>
              </c:strCache>
            </c:strRef>
          </c:cat>
          <c:val>
            <c:numRef>
              <c:f>'GENE GUN'!$B$230:$E$230</c:f>
              <c:numCache>
                <c:formatCode>General</c:formatCode>
                <c:ptCount val="4"/>
                <c:pt idx="0" formatCode="0.00E+00">
                  <c:v>0.24208333333333332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C-C995-41FD-974A-3DB02142ABAB}"/>
            </c:ext>
          </c:extLst>
        </c:ser>
        <c:ser>
          <c:idx val="17"/>
          <c:order val="17"/>
          <c:tx>
            <c:strRef>
              <c:f>'GENE GUN'!$A$231</c:f>
              <c:strCache>
                <c:ptCount val="1"/>
                <c:pt idx="0">
                  <c:v>Connector tubing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cat>
            <c:strRef>
              <c:f>'GENE GUN'!$B$213:$E$213</c:f>
              <c:strCache>
                <c:ptCount val="4"/>
                <c:pt idx="0">
                  <c:v>System</c:v>
                </c:pt>
                <c:pt idx="1">
                  <c:v>Input</c:v>
                </c:pt>
                <c:pt idx="2">
                  <c:v>Output</c:v>
                </c:pt>
                <c:pt idx="3">
                  <c:v>Waste</c:v>
                </c:pt>
              </c:strCache>
            </c:strRef>
          </c:cat>
          <c:val>
            <c:numRef>
              <c:f>'GENE GUN'!$B$231:$E$231</c:f>
              <c:numCache>
                <c:formatCode>General</c:formatCode>
                <c:ptCount val="4"/>
                <c:pt idx="0" formatCode="0.00E+00">
                  <c:v>0.1072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E-C995-41FD-974A-3DB02142ABAB}"/>
            </c:ext>
          </c:extLst>
        </c:ser>
        <c:ser>
          <c:idx val="18"/>
          <c:order val="18"/>
          <c:tx>
            <c:strRef>
              <c:f>'GENE GUN'!$A$232</c:f>
              <c:strCache>
                <c:ptCount val="1"/>
                <c:pt idx="0">
                  <c:v>Gas cylinder</c:v>
                </c:pt>
              </c:strCache>
            </c:strRef>
          </c:tx>
          <c:invertIfNegative val="0"/>
          <c:cat>
            <c:strRef>
              <c:f>'GENE GUN'!$B$213:$E$213</c:f>
              <c:strCache>
                <c:ptCount val="4"/>
                <c:pt idx="0">
                  <c:v>System</c:v>
                </c:pt>
                <c:pt idx="1">
                  <c:v>Input</c:v>
                </c:pt>
                <c:pt idx="2">
                  <c:v>Output</c:v>
                </c:pt>
                <c:pt idx="3">
                  <c:v>Waste</c:v>
                </c:pt>
              </c:strCache>
            </c:strRef>
          </c:cat>
          <c:val>
            <c:numRef>
              <c:f>'GENE GUN'!$B$232:$E$232</c:f>
              <c:numCache>
                <c:formatCode>General</c:formatCode>
                <c:ptCount val="4"/>
                <c:pt idx="0" formatCode="0.00E+00">
                  <c:v>1.0582010582010584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0-C995-41FD-974A-3DB02142ABAB}"/>
            </c:ext>
          </c:extLst>
        </c:ser>
        <c:ser>
          <c:idx val="19"/>
          <c:order val="19"/>
          <c:tx>
            <c:strRef>
              <c:f>'GENE GUN'!$A$233</c:f>
              <c:strCache>
                <c:ptCount val="1"/>
                <c:pt idx="0">
                  <c:v>Gas regulator</c:v>
                </c:pt>
              </c:strCache>
            </c:strRef>
          </c:tx>
          <c:invertIfNegative val="0"/>
          <c:cat>
            <c:strRef>
              <c:f>'GENE GUN'!$B$213:$E$213</c:f>
              <c:strCache>
                <c:ptCount val="4"/>
                <c:pt idx="0">
                  <c:v>System</c:v>
                </c:pt>
                <c:pt idx="1">
                  <c:v>Input</c:v>
                </c:pt>
                <c:pt idx="2">
                  <c:v>Output</c:v>
                </c:pt>
                <c:pt idx="3">
                  <c:v>Waste</c:v>
                </c:pt>
              </c:strCache>
            </c:strRef>
          </c:cat>
          <c:val>
            <c:numRef>
              <c:f>'GENE GUN'!$B$233:$E$233</c:f>
              <c:numCache>
                <c:formatCode>General</c:formatCode>
                <c:ptCount val="4"/>
                <c:pt idx="0" formatCode="0.00E+00">
                  <c:v>0.31809999999999999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2-C995-41FD-974A-3DB02142ABAB}"/>
            </c:ext>
          </c:extLst>
        </c:ser>
        <c:ser>
          <c:idx val="20"/>
          <c:order val="20"/>
          <c:tx>
            <c:strRef>
              <c:f>'GENE GUN'!$A$234</c:f>
              <c:strCache>
                <c:ptCount val="1"/>
                <c:pt idx="0">
                  <c:v>Cartrdige extractor </c:v>
                </c:pt>
              </c:strCache>
            </c:strRef>
          </c:tx>
          <c:invertIfNegative val="0"/>
          <c:cat>
            <c:strRef>
              <c:f>'GENE GUN'!$B$213:$E$213</c:f>
              <c:strCache>
                <c:ptCount val="4"/>
                <c:pt idx="0">
                  <c:v>System</c:v>
                </c:pt>
                <c:pt idx="1">
                  <c:v>Input</c:v>
                </c:pt>
                <c:pt idx="2">
                  <c:v>Output</c:v>
                </c:pt>
                <c:pt idx="3">
                  <c:v>Waste</c:v>
                </c:pt>
              </c:strCache>
            </c:strRef>
          </c:cat>
          <c:val>
            <c:numRef>
              <c:f>'GENE GUN'!$B$234:$E$234</c:f>
              <c:numCache>
                <c:formatCode>General</c:formatCode>
                <c:ptCount val="4"/>
                <c:pt idx="0" formatCode="0.00E+00">
                  <c:v>1.5166666666666668E-3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4-C995-41FD-974A-3DB02142ABAB}"/>
            </c:ext>
          </c:extLst>
        </c:ser>
        <c:ser>
          <c:idx val="21"/>
          <c:order val="21"/>
          <c:tx>
            <c:strRef>
              <c:f>'GENE GUN'!$A$235</c:f>
              <c:strCache>
                <c:ptCount val="1"/>
                <c:pt idx="0">
                  <c:v>Ear protection</c:v>
                </c:pt>
              </c:strCache>
            </c:strRef>
          </c:tx>
          <c:invertIfNegative val="0"/>
          <c:cat>
            <c:strRef>
              <c:f>'GENE GUN'!$B$213:$E$213</c:f>
              <c:strCache>
                <c:ptCount val="4"/>
                <c:pt idx="0">
                  <c:v>System</c:v>
                </c:pt>
                <c:pt idx="1">
                  <c:v>Input</c:v>
                </c:pt>
                <c:pt idx="2">
                  <c:v>Output</c:v>
                </c:pt>
                <c:pt idx="3">
                  <c:v>Waste</c:v>
                </c:pt>
              </c:strCache>
            </c:strRef>
          </c:cat>
          <c:val>
            <c:numRef>
              <c:f>'GENE GUN'!$B$235:$E$235</c:f>
              <c:numCache>
                <c:formatCode>General</c:formatCode>
                <c:ptCount val="4"/>
                <c:pt idx="0" formatCode="0.00E+00">
                  <c:v>3.5416666666666666E-2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6-C995-41FD-974A-3DB02142ABAB}"/>
            </c:ext>
          </c:extLst>
        </c:ser>
        <c:ser>
          <c:idx val="22"/>
          <c:order val="22"/>
          <c:tx>
            <c:strRef>
              <c:f>'GENE GUN'!$A$236</c:f>
              <c:strCache>
                <c:ptCount val="1"/>
                <c:pt idx="0">
                  <c:v>Eye protection</c:v>
                </c:pt>
              </c:strCache>
            </c:strRef>
          </c:tx>
          <c:invertIfNegative val="0"/>
          <c:cat>
            <c:strRef>
              <c:f>'GENE GUN'!$B$213:$E$213</c:f>
              <c:strCache>
                <c:ptCount val="4"/>
                <c:pt idx="0">
                  <c:v>System</c:v>
                </c:pt>
                <c:pt idx="1">
                  <c:v>Input</c:v>
                </c:pt>
                <c:pt idx="2">
                  <c:v>Output</c:v>
                </c:pt>
                <c:pt idx="3">
                  <c:v>Waste</c:v>
                </c:pt>
              </c:strCache>
            </c:strRef>
          </c:cat>
          <c:val>
            <c:numRef>
              <c:f>'GENE GUN'!$B$236:$E$236</c:f>
              <c:numCache>
                <c:formatCode>General</c:formatCode>
                <c:ptCount val="4"/>
                <c:pt idx="0" formatCode="0.00E+00">
                  <c:v>4.0500000000000006E-3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8-C995-41FD-974A-3DB02142ABAB}"/>
            </c:ext>
          </c:extLst>
        </c:ser>
        <c:ser>
          <c:idx val="23"/>
          <c:order val="23"/>
          <c:tx>
            <c:strRef>
              <c:f>'GENE GUN'!$A$237</c:f>
              <c:strCache>
                <c:ptCount val="1"/>
                <c:pt idx="0">
                  <c:v>Bullets</c:v>
                </c:pt>
              </c:strCache>
            </c:strRef>
          </c:tx>
          <c:invertIfNegative val="0"/>
          <c:cat>
            <c:strRef>
              <c:f>'GENE GUN'!$B$213:$E$213</c:f>
              <c:strCache>
                <c:ptCount val="4"/>
                <c:pt idx="0">
                  <c:v>System</c:v>
                </c:pt>
                <c:pt idx="1">
                  <c:v>Input</c:v>
                </c:pt>
                <c:pt idx="2">
                  <c:v>Output</c:v>
                </c:pt>
                <c:pt idx="3">
                  <c:v>Waste</c:v>
                </c:pt>
              </c:strCache>
            </c:strRef>
          </c:cat>
          <c:val>
            <c:numRef>
              <c:f>'GENE GUN'!$B$237:$E$237</c:f>
              <c:numCache>
                <c:formatCode>0.00E+00</c:formatCode>
                <c:ptCount val="4"/>
                <c:pt idx="1">
                  <c:v>106.75823662222224</c:v>
                </c:pt>
                <c:pt idx="3">
                  <c:v>104.85957467999999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A-C995-41FD-974A-3DB02142ABAB}"/>
            </c:ext>
          </c:extLst>
        </c:ser>
        <c:ser>
          <c:idx val="24"/>
          <c:order val="24"/>
          <c:tx>
            <c:strRef>
              <c:f>'GENE GUN'!$A$238</c:f>
              <c:strCache>
                <c:ptCount val="1"/>
                <c:pt idx="0">
                  <c:v>Battery</c:v>
                </c:pt>
              </c:strCache>
            </c:strRef>
          </c:tx>
          <c:invertIfNegative val="0"/>
          <c:cat>
            <c:strRef>
              <c:f>'GENE GUN'!$B$213:$E$213</c:f>
              <c:strCache>
                <c:ptCount val="4"/>
                <c:pt idx="0">
                  <c:v>System</c:v>
                </c:pt>
                <c:pt idx="1">
                  <c:v>Input</c:v>
                </c:pt>
                <c:pt idx="2">
                  <c:v>Output</c:v>
                </c:pt>
                <c:pt idx="3">
                  <c:v>Waste</c:v>
                </c:pt>
              </c:strCache>
            </c:strRef>
          </c:cat>
          <c:val>
            <c:numRef>
              <c:f>'GENE GUN'!$B$238:$E$238</c:f>
              <c:numCache>
                <c:formatCode>0.00E+00</c:formatCode>
                <c:ptCount val="4"/>
                <c:pt idx="1">
                  <c:v>61.231999999999999</c:v>
                </c:pt>
                <c:pt idx="3">
                  <c:v>61.231999999999999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C-C995-41FD-974A-3DB02142ABAB}"/>
            </c:ext>
          </c:extLst>
        </c:ser>
        <c:ser>
          <c:idx val="25"/>
          <c:order val="25"/>
          <c:tx>
            <c:strRef>
              <c:f>'GENE GUN'!$A$239</c:f>
              <c:strCache>
                <c:ptCount val="1"/>
                <c:pt idx="0">
                  <c:v>Bullet holder vial</c:v>
                </c:pt>
              </c:strCache>
            </c:strRef>
          </c:tx>
          <c:invertIfNegative val="0"/>
          <c:cat>
            <c:strRef>
              <c:f>'GENE GUN'!$B$213:$E$213</c:f>
              <c:strCache>
                <c:ptCount val="4"/>
                <c:pt idx="0">
                  <c:v>System</c:v>
                </c:pt>
                <c:pt idx="1">
                  <c:v>Input</c:v>
                </c:pt>
                <c:pt idx="2">
                  <c:v>Output</c:v>
                </c:pt>
                <c:pt idx="3">
                  <c:v>Waste</c:v>
                </c:pt>
              </c:strCache>
            </c:strRef>
          </c:cat>
          <c:val>
            <c:numRef>
              <c:f>'GENE GUN'!$B$239:$E$239</c:f>
              <c:numCache>
                <c:formatCode>0.00E+00</c:formatCode>
                <c:ptCount val="4"/>
                <c:pt idx="1">
                  <c:v>86.192834933333344</c:v>
                </c:pt>
                <c:pt idx="3">
                  <c:v>86.192834933333344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E-C995-41FD-974A-3DB02142ABAB}"/>
            </c:ext>
          </c:extLst>
        </c:ser>
        <c:ser>
          <c:idx val="26"/>
          <c:order val="26"/>
          <c:tx>
            <c:strRef>
              <c:f>'GENE GUN'!$A$240</c:f>
              <c:strCache>
                <c:ptCount val="1"/>
                <c:pt idx="0">
                  <c:v>Dessicant pack</c:v>
                </c:pt>
              </c:strCache>
            </c:strRef>
          </c:tx>
          <c:invertIfNegative val="0"/>
          <c:cat>
            <c:strRef>
              <c:f>'GENE GUN'!$B$213:$E$213</c:f>
              <c:strCache>
                <c:ptCount val="4"/>
                <c:pt idx="0">
                  <c:v>System</c:v>
                </c:pt>
                <c:pt idx="1">
                  <c:v>Input</c:v>
                </c:pt>
                <c:pt idx="2">
                  <c:v>Output</c:v>
                </c:pt>
                <c:pt idx="3">
                  <c:v>Waste</c:v>
                </c:pt>
              </c:strCache>
            </c:strRef>
          </c:cat>
          <c:val>
            <c:numRef>
              <c:f>'GENE GUN'!$B$240:$E$240</c:f>
              <c:numCache>
                <c:formatCode>0.00E+00</c:formatCode>
                <c:ptCount val="4"/>
                <c:pt idx="1">
                  <c:v>14.823567733333332</c:v>
                </c:pt>
                <c:pt idx="3">
                  <c:v>14.823567733333332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50-C995-41FD-974A-3DB02142AB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0"/>
        <c:overlap val="100"/>
        <c:axId val="312382031"/>
        <c:axId val="312385871"/>
      </c:barChart>
      <c:catAx>
        <c:axId val="3123820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2385871"/>
        <c:crosses val="autoZero"/>
        <c:auto val="1"/>
        <c:lblAlgn val="ctr"/>
        <c:lblOffset val="100"/>
        <c:noMultiLvlLbl val="0"/>
      </c:catAx>
      <c:valAx>
        <c:axId val="312385871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1" i="0" u="none" strike="noStrike" kern="1200" baseline="0">
                    <a:solidFill>
                      <a:sysClr val="windowText" lastClr="000000"/>
                    </a:solidFill>
                  </a:rPr>
                  <a:t>Mass (kg/CM/Mission)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#,##0" sourceLinked="0"/>
        <c:majorTickMark val="out"/>
        <c:minorTickMark val="none"/>
        <c:tickLblPos val="nextTo"/>
        <c:spPr>
          <a:noFill/>
          <a:ln w="9525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2382031"/>
        <c:crosses val="autoZero"/>
        <c:crossBetween val="between"/>
      </c:valAx>
      <c:spPr>
        <a:ln>
          <a:solidFill>
            <a:schemeClr val="tx1"/>
          </a:solidFill>
        </a:ln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2"/>
      </a:solidFill>
      <a:round/>
    </a:ln>
    <a:effectLst/>
  </c:spPr>
  <c:txPr>
    <a:bodyPr/>
    <a:lstStyle/>
    <a:p>
      <a:pPr>
        <a:defRPr sz="1000" b="1"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sz="1400"/>
              <a:t>GENE GUN - Volume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'GENE GUN'!$A$214</c:f>
              <c:strCache>
                <c:ptCount val="1"/>
                <c:pt idx="0">
                  <c:v>Harvesting container</c:v>
                </c:pt>
              </c:strCache>
            </c:strRef>
          </c:tx>
          <c:spPr>
            <a:solidFill>
              <a:schemeClr val="accent2">
                <a:lumMod val="20000"/>
                <a:lumOff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'GENE GUN'!$F$213:$I$213</c:f>
              <c:strCache>
                <c:ptCount val="4"/>
                <c:pt idx="0">
                  <c:v>System</c:v>
                </c:pt>
                <c:pt idx="1">
                  <c:v>Input</c:v>
                </c:pt>
                <c:pt idx="2">
                  <c:v>Output</c:v>
                </c:pt>
                <c:pt idx="3">
                  <c:v>Waste</c:v>
                </c:pt>
              </c:strCache>
            </c:strRef>
          </c:cat>
          <c:val>
            <c:numRef>
              <c:f>'GENE GUN'!$F$214:$I$214</c:f>
              <c:numCache>
                <c:formatCode>General</c:formatCode>
                <c:ptCount val="4"/>
                <c:pt idx="0" formatCode="0.00E+00">
                  <c:v>5.2210181100000003E-5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6F-6A51-4617-9245-8805E499B517}"/>
            </c:ext>
          </c:extLst>
        </c:ser>
        <c:ser>
          <c:idx val="1"/>
          <c:order val="1"/>
          <c:tx>
            <c:strRef>
              <c:f>'GENE GUN'!$A$215</c:f>
              <c:strCache>
                <c:ptCount val="1"/>
                <c:pt idx="0">
                  <c:v>Harvesting tools</c:v>
                </c:pt>
              </c:strCache>
            </c:strRef>
          </c:tx>
          <c:spPr>
            <a:solidFill>
              <a:schemeClr val="accent2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'GENE GUN'!$F$213:$I$213</c:f>
              <c:strCache>
                <c:ptCount val="4"/>
                <c:pt idx="0">
                  <c:v>System</c:v>
                </c:pt>
                <c:pt idx="1">
                  <c:v>Input</c:v>
                </c:pt>
                <c:pt idx="2">
                  <c:v>Output</c:v>
                </c:pt>
                <c:pt idx="3">
                  <c:v>Waste</c:v>
                </c:pt>
              </c:strCache>
            </c:strRef>
          </c:cat>
          <c:val>
            <c:numRef>
              <c:f>'GENE GUN'!$F$215:$I$215</c:f>
              <c:numCache>
                <c:formatCode>General</c:formatCode>
                <c:ptCount val="4"/>
                <c:pt idx="0" formatCode="0.00E+00">
                  <c:v>1.0735999999999999E-4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71-6A51-4617-9245-8805E499B517}"/>
            </c:ext>
          </c:extLst>
        </c:ser>
        <c:ser>
          <c:idx val="2"/>
          <c:order val="2"/>
          <c:tx>
            <c:strRef>
              <c:f>'GENE GUN'!$A$216</c:f>
              <c:strCache>
                <c:ptCount val="1"/>
                <c:pt idx="0">
                  <c:v>Refrigerator/Freezer</c:v>
                </c:pt>
              </c:strCache>
            </c:strRef>
          </c:tx>
          <c:spPr>
            <a:solidFill>
              <a:schemeClr val="accent5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'GENE GUN'!$F$213:$I$213</c:f>
              <c:strCache>
                <c:ptCount val="4"/>
                <c:pt idx="0">
                  <c:v>System</c:v>
                </c:pt>
                <c:pt idx="1">
                  <c:v>Input</c:v>
                </c:pt>
                <c:pt idx="2">
                  <c:v>Output</c:v>
                </c:pt>
                <c:pt idx="3">
                  <c:v>Waste</c:v>
                </c:pt>
              </c:strCache>
            </c:strRef>
          </c:cat>
          <c:val>
            <c:numRef>
              <c:f>'GENE GUN'!$F$216:$I$216</c:f>
              <c:numCache>
                <c:formatCode>General</c:formatCode>
                <c:ptCount val="4"/>
                <c:pt idx="0" formatCode="0.00E+00">
                  <c:v>26.0248423896875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73-6A51-4617-9245-8805E499B517}"/>
            </c:ext>
          </c:extLst>
        </c:ser>
        <c:ser>
          <c:idx val="3"/>
          <c:order val="3"/>
          <c:tx>
            <c:strRef>
              <c:f>'GENE GUN'!$A$217</c:f>
              <c:strCache>
                <c:ptCount val="1"/>
                <c:pt idx="0">
                  <c:v>Lighting panels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'GENE GUN'!$F$213:$I$213</c:f>
              <c:strCache>
                <c:ptCount val="4"/>
                <c:pt idx="0">
                  <c:v>System</c:v>
                </c:pt>
                <c:pt idx="1">
                  <c:v>Input</c:v>
                </c:pt>
                <c:pt idx="2">
                  <c:v>Output</c:v>
                </c:pt>
                <c:pt idx="3">
                  <c:v>Waste</c:v>
                </c:pt>
              </c:strCache>
            </c:strRef>
          </c:cat>
          <c:val>
            <c:numRef>
              <c:f>'GENE GUN'!$F$217:$I$217</c:f>
              <c:numCache>
                <c:formatCode>General</c:formatCode>
                <c:ptCount val="4"/>
                <c:pt idx="0" formatCode="0.00E+00">
                  <c:v>1.8899999999999998E-3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75-6A51-4617-9245-8805E499B517}"/>
            </c:ext>
          </c:extLst>
        </c:ser>
        <c:ser>
          <c:idx val="4"/>
          <c:order val="4"/>
          <c:tx>
            <c:strRef>
              <c:f>'GENE GUN'!$A$218</c:f>
              <c:strCache>
                <c:ptCount val="1"/>
                <c:pt idx="0">
                  <c:v>Plant growth chamber</c:v>
                </c:pt>
              </c:strCache>
            </c:strRef>
          </c:tx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strRef>
              <c:f>'GENE GUN'!$F$213:$I$213</c:f>
              <c:strCache>
                <c:ptCount val="4"/>
                <c:pt idx="0">
                  <c:v>System</c:v>
                </c:pt>
                <c:pt idx="1">
                  <c:v>Input</c:v>
                </c:pt>
                <c:pt idx="2">
                  <c:v>Output</c:v>
                </c:pt>
                <c:pt idx="3">
                  <c:v>Waste</c:v>
                </c:pt>
              </c:strCache>
            </c:strRef>
          </c:cat>
          <c:val>
            <c:numRef>
              <c:f>'GENE GUN'!$F$218:$I$218</c:f>
              <c:numCache>
                <c:formatCode>General</c:formatCode>
                <c:ptCount val="4"/>
                <c:pt idx="0" formatCode="0.00E+00">
                  <c:v>1.7875000000000003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77-6A51-4617-9245-8805E499B517}"/>
            </c:ext>
          </c:extLst>
        </c:ser>
        <c:ser>
          <c:idx val="5"/>
          <c:order val="5"/>
          <c:tx>
            <c:strRef>
              <c:f>'GENE GUN'!$A$219</c:f>
              <c:strCache>
                <c:ptCount val="1"/>
                <c:pt idx="0">
                  <c:v>Lettuce seeds</c:v>
                </c:pt>
              </c:strCache>
            </c:strRef>
          </c:tx>
          <c:spPr>
            <a:solidFill>
              <a:schemeClr val="accent4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strRef>
              <c:f>'GENE GUN'!$F$213:$I$213</c:f>
              <c:strCache>
                <c:ptCount val="4"/>
                <c:pt idx="0">
                  <c:v>System</c:v>
                </c:pt>
                <c:pt idx="1">
                  <c:v>Input</c:v>
                </c:pt>
                <c:pt idx="2">
                  <c:v>Output</c:v>
                </c:pt>
                <c:pt idx="3">
                  <c:v>Waste</c:v>
                </c:pt>
              </c:strCache>
            </c:strRef>
          </c:cat>
          <c:val>
            <c:numRef>
              <c:f>'GENE GUN'!$F$219:$I$219</c:f>
              <c:numCache>
                <c:formatCode>0.00E+00</c:formatCode>
                <c:ptCount val="4"/>
                <c:pt idx="1">
                  <c:v>3.2942936400000002E-6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79-6A51-4617-9245-8805E499B517}"/>
            </c:ext>
          </c:extLst>
        </c:ser>
        <c:ser>
          <c:idx val="6"/>
          <c:order val="6"/>
          <c:tx>
            <c:strRef>
              <c:f>'GENE GUN'!$A$220</c:f>
              <c:strCache>
                <c:ptCount val="1"/>
                <c:pt idx="0">
                  <c:v>Water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'GENE GUN'!$F$213:$I$213</c:f>
              <c:strCache>
                <c:ptCount val="4"/>
                <c:pt idx="0">
                  <c:v>System</c:v>
                </c:pt>
                <c:pt idx="1">
                  <c:v>Input</c:v>
                </c:pt>
                <c:pt idx="2">
                  <c:v>Output</c:v>
                </c:pt>
                <c:pt idx="3">
                  <c:v>Waste</c:v>
                </c:pt>
              </c:strCache>
            </c:strRef>
          </c:cat>
          <c:val>
            <c:numRef>
              <c:f>'GENE GUN'!$F$220:$I$220</c:f>
              <c:numCache>
                <c:formatCode>0.00E+00</c:formatCode>
                <c:ptCount val="4"/>
                <c:pt idx="1">
                  <c:v>3.424125833333334</c:v>
                </c:pt>
                <c:pt idx="2">
                  <c:v>3.0602124437500007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7B-6A51-4617-9245-8805E499B517}"/>
            </c:ext>
          </c:extLst>
        </c:ser>
        <c:ser>
          <c:idx val="7"/>
          <c:order val="7"/>
          <c:tx>
            <c:strRef>
              <c:f>'GENE GUN'!$A$221</c:f>
              <c:strCache>
                <c:ptCount val="1"/>
                <c:pt idx="0">
                  <c:v>Plant nutrients</c:v>
                </c:pt>
              </c:strCache>
            </c:strRef>
          </c:tx>
          <c:spPr>
            <a:solidFill>
              <a:schemeClr val="accent4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'GENE GUN'!$F$213:$I$213</c:f>
              <c:strCache>
                <c:ptCount val="4"/>
                <c:pt idx="0">
                  <c:v>System</c:v>
                </c:pt>
                <c:pt idx="1">
                  <c:v>Input</c:v>
                </c:pt>
                <c:pt idx="2">
                  <c:v>Output</c:v>
                </c:pt>
                <c:pt idx="3">
                  <c:v>Waste</c:v>
                </c:pt>
              </c:strCache>
            </c:strRef>
          </c:cat>
          <c:val>
            <c:numRef>
              <c:f>'GENE GUN'!$F$221:$I$221</c:f>
              <c:numCache>
                <c:formatCode>General</c:formatCode>
                <c:ptCount val="4"/>
              </c:numCache>
            </c:numRef>
          </c:val>
          <c:extLst>
            <c:ext xmlns:c16="http://schemas.microsoft.com/office/drawing/2014/chart" uri="{C3380CC4-5D6E-409C-BE32-E72D297353CC}">
              <c16:uniqueId val="{0000007D-6A51-4617-9245-8805E499B517}"/>
            </c:ext>
          </c:extLst>
        </c:ser>
        <c:ser>
          <c:idx val="8"/>
          <c:order val="8"/>
          <c:tx>
            <c:strRef>
              <c:f>'GENE GUN'!$A$222</c:f>
              <c:strCache>
                <c:ptCount val="1"/>
                <c:pt idx="0">
                  <c:v>Carbon dioxide</c:v>
                </c:pt>
              </c:strCache>
            </c:strRef>
          </c:tx>
          <c:spPr>
            <a:solidFill>
              <a:schemeClr val="accent4">
                <a:lumMod val="20000"/>
                <a:lumOff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'GENE GUN'!$F$213:$I$213</c:f>
              <c:strCache>
                <c:ptCount val="4"/>
                <c:pt idx="0">
                  <c:v>System</c:v>
                </c:pt>
                <c:pt idx="1">
                  <c:v>Input</c:v>
                </c:pt>
                <c:pt idx="2">
                  <c:v>Output</c:v>
                </c:pt>
                <c:pt idx="3">
                  <c:v>Waste</c:v>
                </c:pt>
              </c:strCache>
            </c:strRef>
          </c:cat>
          <c:val>
            <c:numRef>
              <c:f>'GENE GUN'!$F$222:$I$222</c:f>
              <c:numCache>
                <c:formatCode>0.00E+00</c:formatCode>
                <c:ptCount val="4"/>
                <c:pt idx="1">
                  <c:v>8.1107371794871792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7F-6A51-4617-9245-8805E499B517}"/>
            </c:ext>
          </c:extLst>
        </c:ser>
        <c:ser>
          <c:idx val="9"/>
          <c:order val="9"/>
          <c:tx>
            <c:strRef>
              <c:f>'GENE GUN'!$A$223</c:f>
              <c:strCache>
                <c:ptCount val="1"/>
                <c:pt idx="0">
                  <c:v>Oxygen</c:v>
                </c:pt>
              </c:strCache>
            </c:strRef>
          </c:tx>
          <c:spPr>
            <a:solidFill>
              <a:srgbClr val="FFC000"/>
            </a:solidFill>
            <a:ln>
              <a:noFill/>
            </a:ln>
            <a:effectLst/>
          </c:spPr>
          <c:invertIfNegative val="0"/>
          <c:cat>
            <c:strRef>
              <c:f>'GENE GUN'!$F$213:$I$213</c:f>
              <c:strCache>
                <c:ptCount val="4"/>
                <c:pt idx="0">
                  <c:v>System</c:v>
                </c:pt>
                <c:pt idx="1">
                  <c:v>Input</c:v>
                </c:pt>
                <c:pt idx="2">
                  <c:v>Output</c:v>
                </c:pt>
                <c:pt idx="3">
                  <c:v>Waste</c:v>
                </c:pt>
              </c:strCache>
            </c:strRef>
          </c:cat>
          <c:val>
            <c:numRef>
              <c:f>'GENE GUN'!$F$223:$I$223</c:f>
              <c:numCache>
                <c:formatCode>General</c:formatCode>
                <c:ptCount val="4"/>
                <c:pt idx="2" formatCode="0.00E+00">
                  <c:v>8.2562756410256419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81-6A51-4617-9245-8805E499B517}"/>
            </c:ext>
          </c:extLst>
        </c:ser>
        <c:ser>
          <c:idx val="10"/>
          <c:order val="10"/>
          <c:tx>
            <c:strRef>
              <c:f>'GENE GUN'!$A$224</c:f>
              <c:strCache>
                <c:ptCount val="1"/>
                <c:pt idx="0">
                  <c:v>PTH-Fc</c:v>
                </c:pt>
              </c:strCache>
            </c:strRef>
          </c:tx>
          <c:spPr>
            <a:solidFill>
              <a:schemeClr val="accent6">
                <a:lumMod val="75000"/>
              </a:schemeClr>
            </a:solidFill>
          </c:spPr>
          <c:invertIfNegative val="0"/>
          <c:cat>
            <c:strRef>
              <c:f>'GENE GUN'!$F$213:$I$213</c:f>
              <c:strCache>
                <c:ptCount val="4"/>
                <c:pt idx="0">
                  <c:v>System</c:v>
                </c:pt>
                <c:pt idx="1">
                  <c:v>Input</c:v>
                </c:pt>
                <c:pt idx="2">
                  <c:v>Output</c:v>
                </c:pt>
                <c:pt idx="3">
                  <c:v>Waste</c:v>
                </c:pt>
              </c:strCache>
            </c:strRef>
          </c:cat>
          <c:val>
            <c:numRef>
              <c:f>'GENE GUN'!$F$224:$I$224</c:f>
              <c:numCache>
                <c:formatCode>General</c:formatCode>
                <c:ptCount val="4"/>
              </c:numCache>
            </c:numRef>
          </c:val>
          <c:extLst>
            <c:ext xmlns:c16="http://schemas.microsoft.com/office/drawing/2014/chart" uri="{C3380CC4-5D6E-409C-BE32-E72D297353CC}">
              <c16:uniqueId val="{00000083-6A51-4617-9245-8805E499B517}"/>
            </c:ext>
          </c:extLst>
        </c:ser>
        <c:ser>
          <c:idx val="11"/>
          <c:order val="11"/>
          <c:tx>
            <c:strRef>
              <c:f>'GENE GUN'!$A$225</c:f>
              <c:strCache>
                <c:ptCount val="1"/>
                <c:pt idx="0">
                  <c:v>Plant biomass</c:v>
                </c:pt>
              </c:strCache>
            </c:strRef>
          </c:tx>
          <c:spPr>
            <a:solidFill>
              <a:schemeClr val="accent3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'GENE GUN'!$F$213:$I$213</c:f>
              <c:strCache>
                <c:ptCount val="4"/>
                <c:pt idx="0">
                  <c:v>System</c:v>
                </c:pt>
                <c:pt idx="1">
                  <c:v>Input</c:v>
                </c:pt>
                <c:pt idx="2">
                  <c:v>Output</c:v>
                </c:pt>
                <c:pt idx="3">
                  <c:v>Waste</c:v>
                </c:pt>
              </c:strCache>
            </c:strRef>
          </c:cat>
          <c:val>
            <c:numRef>
              <c:f>'GENE GUN'!$F$225:$I$225</c:f>
              <c:numCache>
                <c:formatCode>General</c:formatCode>
                <c:ptCount val="4"/>
                <c:pt idx="2" formatCode="0.00E+00">
                  <c:v>4.924137794384055E-2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85-6A51-4617-9245-8805E499B517}"/>
            </c:ext>
          </c:extLst>
        </c:ser>
        <c:ser>
          <c:idx val="12"/>
          <c:order val="12"/>
          <c:tx>
            <c:strRef>
              <c:f>'GENE GUN'!$A$226</c:f>
              <c:strCache>
                <c:ptCount val="1"/>
                <c:pt idx="0">
                  <c:v>Calories</c:v>
                </c:pt>
              </c:strCache>
            </c:strRef>
          </c:tx>
          <c:spPr>
            <a:solidFill>
              <a:schemeClr val="accent6">
                <a:lumMod val="60000"/>
                <a:lumOff val="40000"/>
              </a:schemeClr>
            </a:solidFill>
          </c:spPr>
          <c:invertIfNegative val="0"/>
          <c:cat>
            <c:strRef>
              <c:f>'GENE GUN'!$F$213:$I$213</c:f>
              <c:strCache>
                <c:ptCount val="4"/>
                <c:pt idx="0">
                  <c:v>System</c:v>
                </c:pt>
                <c:pt idx="1">
                  <c:v>Input</c:v>
                </c:pt>
                <c:pt idx="2">
                  <c:v>Output</c:v>
                </c:pt>
                <c:pt idx="3">
                  <c:v>Waste</c:v>
                </c:pt>
              </c:strCache>
            </c:strRef>
          </c:cat>
          <c:val>
            <c:numRef>
              <c:f>'GENE GUN'!$F$226:$I$226</c:f>
              <c:numCache>
                <c:formatCode>General</c:formatCode>
                <c:ptCount val="4"/>
              </c:numCache>
            </c:numRef>
          </c:val>
          <c:extLst>
            <c:ext xmlns:c16="http://schemas.microsoft.com/office/drawing/2014/chart" uri="{C3380CC4-5D6E-409C-BE32-E72D297353CC}">
              <c16:uniqueId val="{00000087-6A51-4617-9245-8805E499B517}"/>
            </c:ext>
          </c:extLst>
        </c:ser>
        <c:ser>
          <c:idx val="13"/>
          <c:order val="13"/>
          <c:tx>
            <c:strRef>
              <c:f>'GENE GUN'!$A$227</c:f>
              <c:strCache>
                <c:ptCount val="1"/>
                <c:pt idx="0">
                  <c:v>Macronutrients</c:v>
                </c:pt>
              </c:strCache>
            </c:strRef>
          </c:tx>
          <c:spPr>
            <a:solidFill>
              <a:schemeClr val="accent6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'GENE GUN'!$F$213:$I$213</c:f>
              <c:strCache>
                <c:ptCount val="4"/>
                <c:pt idx="0">
                  <c:v>System</c:v>
                </c:pt>
                <c:pt idx="1">
                  <c:v>Input</c:v>
                </c:pt>
                <c:pt idx="2">
                  <c:v>Output</c:v>
                </c:pt>
                <c:pt idx="3">
                  <c:v>Waste</c:v>
                </c:pt>
              </c:strCache>
            </c:strRef>
          </c:cat>
          <c:val>
            <c:numRef>
              <c:f>'GENE GUN'!$F$227:$I$227</c:f>
              <c:numCache>
                <c:formatCode>General</c:formatCode>
                <c:ptCount val="4"/>
              </c:numCache>
            </c:numRef>
          </c:val>
          <c:extLst>
            <c:ext xmlns:c16="http://schemas.microsoft.com/office/drawing/2014/chart" uri="{C3380CC4-5D6E-409C-BE32-E72D297353CC}">
              <c16:uniqueId val="{00000089-6A51-4617-9245-8805E499B517}"/>
            </c:ext>
          </c:extLst>
        </c:ser>
        <c:ser>
          <c:idx val="14"/>
          <c:order val="14"/>
          <c:tx>
            <c:strRef>
              <c:f>'GENE GUN'!$A$228</c:f>
              <c:strCache>
                <c:ptCount val="1"/>
                <c:pt idx="0">
                  <c:v>Micronutrients</c:v>
                </c:pt>
              </c:strCache>
            </c:strRef>
          </c:tx>
          <c:spPr>
            <a:solidFill>
              <a:schemeClr val="accent6">
                <a:lumMod val="20000"/>
                <a:lumOff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'GENE GUN'!$F$213:$I$213</c:f>
              <c:strCache>
                <c:ptCount val="4"/>
                <c:pt idx="0">
                  <c:v>System</c:v>
                </c:pt>
                <c:pt idx="1">
                  <c:v>Input</c:v>
                </c:pt>
                <c:pt idx="2">
                  <c:v>Output</c:v>
                </c:pt>
                <c:pt idx="3">
                  <c:v>Waste</c:v>
                </c:pt>
              </c:strCache>
            </c:strRef>
          </c:cat>
          <c:val>
            <c:numRef>
              <c:f>'GENE GUN'!$F$228:$I$228</c:f>
              <c:numCache>
                <c:formatCode>General</c:formatCode>
                <c:ptCount val="4"/>
              </c:numCache>
            </c:numRef>
          </c:val>
          <c:extLst>
            <c:ext xmlns:c16="http://schemas.microsoft.com/office/drawing/2014/chart" uri="{C3380CC4-5D6E-409C-BE32-E72D297353CC}">
              <c16:uniqueId val="{0000008B-6A51-4617-9245-8805E499B517}"/>
            </c:ext>
          </c:extLst>
        </c:ser>
        <c:ser>
          <c:idx val="15"/>
          <c:order val="15"/>
          <c:tx>
            <c:strRef>
              <c:f>'GENE GUN'!$A$229</c:f>
              <c:strCache>
                <c:ptCount val="1"/>
                <c:pt idx="0">
                  <c:v>Biomass waste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'GENE GUN'!$F$213:$I$213</c:f>
              <c:strCache>
                <c:ptCount val="4"/>
                <c:pt idx="0">
                  <c:v>System</c:v>
                </c:pt>
                <c:pt idx="1">
                  <c:v>Input</c:v>
                </c:pt>
                <c:pt idx="2">
                  <c:v>Output</c:v>
                </c:pt>
                <c:pt idx="3">
                  <c:v>Waste</c:v>
                </c:pt>
              </c:strCache>
            </c:strRef>
          </c:cat>
          <c:val>
            <c:numRef>
              <c:f>'GENE GUN'!$F$229:$I$229</c:f>
              <c:numCache>
                <c:formatCode>General</c:formatCode>
                <c:ptCount val="4"/>
                <c:pt idx="3" formatCode="0.00E+00">
                  <c:v>0.16784930555555561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8D-6A51-4617-9245-8805E499B517}"/>
            </c:ext>
          </c:extLst>
        </c:ser>
        <c:ser>
          <c:idx val="16"/>
          <c:order val="16"/>
          <c:tx>
            <c:strRef>
              <c:f>'GENE GUN'!$A$230</c:f>
              <c:strCache>
                <c:ptCount val="1"/>
                <c:pt idx="0">
                  <c:v>Gene Gun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  <a:effectLst/>
          </c:spPr>
          <c:invertIfNegative val="0"/>
          <c:cat>
            <c:strRef>
              <c:f>'GENE GUN'!$F$213:$I$213</c:f>
              <c:strCache>
                <c:ptCount val="4"/>
                <c:pt idx="0">
                  <c:v>System</c:v>
                </c:pt>
                <c:pt idx="1">
                  <c:v>Input</c:v>
                </c:pt>
                <c:pt idx="2">
                  <c:v>Output</c:v>
                </c:pt>
                <c:pt idx="3">
                  <c:v>Waste</c:v>
                </c:pt>
              </c:strCache>
            </c:strRef>
          </c:cat>
          <c:val>
            <c:numRef>
              <c:f>'GENE GUN'!$F$230:$I$230</c:f>
              <c:numCache>
                <c:formatCode>General</c:formatCode>
                <c:ptCount val="4"/>
                <c:pt idx="0" formatCode="0.00E+00">
                  <c:v>1.2044492040000001E-3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8F-6A51-4617-9245-8805E499B517}"/>
            </c:ext>
          </c:extLst>
        </c:ser>
        <c:ser>
          <c:idx val="17"/>
          <c:order val="17"/>
          <c:tx>
            <c:strRef>
              <c:f>'GENE GUN'!$A$231</c:f>
              <c:strCache>
                <c:ptCount val="1"/>
                <c:pt idx="0">
                  <c:v>Connector tubing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cat>
            <c:strRef>
              <c:f>'GENE GUN'!$F$213:$I$213</c:f>
              <c:strCache>
                <c:ptCount val="4"/>
                <c:pt idx="0">
                  <c:v>System</c:v>
                </c:pt>
                <c:pt idx="1">
                  <c:v>Input</c:v>
                </c:pt>
                <c:pt idx="2">
                  <c:v>Output</c:v>
                </c:pt>
                <c:pt idx="3">
                  <c:v>Waste</c:v>
                </c:pt>
              </c:strCache>
            </c:strRef>
          </c:cat>
          <c:val>
            <c:numRef>
              <c:f>'GENE GUN'!$F$231:$I$231</c:f>
              <c:numCache>
                <c:formatCode>General</c:formatCode>
                <c:ptCount val="4"/>
                <c:pt idx="0" formatCode="0.00E+00">
                  <c:v>1.1806419384966127E-4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91-6A51-4617-9245-8805E499B517}"/>
            </c:ext>
          </c:extLst>
        </c:ser>
        <c:ser>
          <c:idx val="18"/>
          <c:order val="18"/>
          <c:tx>
            <c:strRef>
              <c:f>'GENE GUN'!$A$232</c:f>
              <c:strCache>
                <c:ptCount val="1"/>
                <c:pt idx="0">
                  <c:v>Gas cylinder</c:v>
                </c:pt>
              </c:strCache>
            </c:strRef>
          </c:tx>
          <c:invertIfNegative val="0"/>
          <c:cat>
            <c:strRef>
              <c:f>'GENE GUN'!$F$213:$I$213</c:f>
              <c:strCache>
                <c:ptCount val="4"/>
                <c:pt idx="0">
                  <c:v>System</c:v>
                </c:pt>
                <c:pt idx="1">
                  <c:v>Input</c:v>
                </c:pt>
                <c:pt idx="2">
                  <c:v>Output</c:v>
                </c:pt>
                <c:pt idx="3">
                  <c:v>Waste</c:v>
                </c:pt>
              </c:strCache>
            </c:strRef>
          </c:cat>
          <c:val>
            <c:numRef>
              <c:f>'GENE GUN'!$F$232:$I$232</c:f>
              <c:numCache>
                <c:formatCode>General</c:formatCode>
                <c:ptCount val="4"/>
                <c:pt idx="0" formatCode="0.00E+00">
                  <c:v>2.0035546250298216E-3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93-6A51-4617-9245-8805E499B517}"/>
            </c:ext>
          </c:extLst>
        </c:ser>
        <c:ser>
          <c:idx val="19"/>
          <c:order val="19"/>
          <c:tx>
            <c:strRef>
              <c:f>'GENE GUN'!$A$233</c:f>
              <c:strCache>
                <c:ptCount val="1"/>
                <c:pt idx="0">
                  <c:v>Gas regulator</c:v>
                </c:pt>
              </c:strCache>
            </c:strRef>
          </c:tx>
          <c:invertIfNegative val="0"/>
          <c:cat>
            <c:strRef>
              <c:f>'GENE GUN'!$F$213:$I$213</c:f>
              <c:strCache>
                <c:ptCount val="4"/>
                <c:pt idx="0">
                  <c:v>System</c:v>
                </c:pt>
                <c:pt idx="1">
                  <c:v>Input</c:v>
                </c:pt>
                <c:pt idx="2">
                  <c:v>Output</c:v>
                </c:pt>
                <c:pt idx="3">
                  <c:v>Waste</c:v>
                </c:pt>
              </c:strCache>
            </c:strRef>
          </c:cat>
          <c:val>
            <c:numRef>
              <c:f>'GENE GUN'!$F$233:$I$233</c:f>
              <c:numCache>
                <c:formatCode>General</c:formatCode>
                <c:ptCount val="4"/>
                <c:pt idx="0" formatCode="0.00E+00">
                  <c:v>7.5448773833333347E-4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95-6A51-4617-9245-8805E499B517}"/>
            </c:ext>
          </c:extLst>
        </c:ser>
        <c:ser>
          <c:idx val="20"/>
          <c:order val="20"/>
          <c:tx>
            <c:strRef>
              <c:f>'GENE GUN'!$A$234</c:f>
              <c:strCache>
                <c:ptCount val="1"/>
                <c:pt idx="0">
                  <c:v>Cartrdige extractor </c:v>
                </c:pt>
              </c:strCache>
            </c:strRef>
          </c:tx>
          <c:invertIfNegative val="0"/>
          <c:cat>
            <c:strRef>
              <c:f>'GENE GUN'!$F$213:$I$213</c:f>
              <c:strCache>
                <c:ptCount val="4"/>
                <c:pt idx="0">
                  <c:v>System</c:v>
                </c:pt>
                <c:pt idx="1">
                  <c:v>Input</c:v>
                </c:pt>
                <c:pt idx="2">
                  <c:v>Output</c:v>
                </c:pt>
                <c:pt idx="3">
                  <c:v>Waste</c:v>
                </c:pt>
              </c:strCache>
            </c:strRef>
          </c:cat>
          <c:val>
            <c:numRef>
              <c:f>'GENE GUN'!$F$234:$I$234</c:f>
              <c:numCache>
                <c:formatCode>General</c:formatCode>
                <c:ptCount val="4"/>
                <c:pt idx="0" formatCode="0.00E+00">
                  <c:v>6.3711499014801012E-6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97-6A51-4617-9245-8805E499B517}"/>
            </c:ext>
          </c:extLst>
        </c:ser>
        <c:ser>
          <c:idx val="21"/>
          <c:order val="21"/>
          <c:tx>
            <c:strRef>
              <c:f>'GENE GUN'!$A$235</c:f>
              <c:strCache>
                <c:ptCount val="1"/>
                <c:pt idx="0">
                  <c:v>Ear protection</c:v>
                </c:pt>
              </c:strCache>
            </c:strRef>
          </c:tx>
          <c:invertIfNegative val="0"/>
          <c:cat>
            <c:strRef>
              <c:f>'GENE GUN'!$F$213:$I$213</c:f>
              <c:strCache>
                <c:ptCount val="4"/>
                <c:pt idx="0">
                  <c:v>System</c:v>
                </c:pt>
                <c:pt idx="1">
                  <c:v>Input</c:v>
                </c:pt>
                <c:pt idx="2">
                  <c:v>Output</c:v>
                </c:pt>
                <c:pt idx="3">
                  <c:v>Waste</c:v>
                </c:pt>
              </c:strCache>
            </c:strRef>
          </c:cat>
          <c:val>
            <c:numRef>
              <c:f>'GENE GUN'!$F$235:$I$235</c:f>
              <c:numCache>
                <c:formatCode>General</c:formatCode>
                <c:ptCount val="4"/>
                <c:pt idx="0" formatCode="0.00E+00">
                  <c:v>6.5548256000000002E-4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99-6A51-4617-9245-8805E499B517}"/>
            </c:ext>
          </c:extLst>
        </c:ser>
        <c:ser>
          <c:idx val="22"/>
          <c:order val="22"/>
          <c:tx>
            <c:strRef>
              <c:f>'GENE GUN'!$A$236</c:f>
              <c:strCache>
                <c:ptCount val="1"/>
                <c:pt idx="0">
                  <c:v>Eye protection</c:v>
                </c:pt>
              </c:strCache>
            </c:strRef>
          </c:tx>
          <c:invertIfNegative val="0"/>
          <c:cat>
            <c:strRef>
              <c:f>'GENE GUN'!$F$213:$I$213</c:f>
              <c:strCache>
                <c:ptCount val="4"/>
                <c:pt idx="0">
                  <c:v>System</c:v>
                </c:pt>
                <c:pt idx="1">
                  <c:v>Input</c:v>
                </c:pt>
                <c:pt idx="2">
                  <c:v>Output</c:v>
                </c:pt>
                <c:pt idx="3">
                  <c:v>Waste</c:v>
                </c:pt>
              </c:strCache>
            </c:strRef>
          </c:cat>
          <c:val>
            <c:numRef>
              <c:f>'GENE GUN'!$F$236:$I$236</c:f>
              <c:numCache>
                <c:formatCode>General</c:formatCode>
                <c:ptCount val="4"/>
                <c:pt idx="0" formatCode="0.00E+00">
                  <c:v>7.0669213500000011E-5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9B-6A51-4617-9245-8805E499B517}"/>
            </c:ext>
          </c:extLst>
        </c:ser>
        <c:ser>
          <c:idx val="23"/>
          <c:order val="23"/>
          <c:tx>
            <c:strRef>
              <c:f>'GENE GUN'!$A$237</c:f>
              <c:strCache>
                <c:ptCount val="1"/>
                <c:pt idx="0">
                  <c:v>Bullets</c:v>
                </c:pt>
              </c:strCache>
            </c:strRef>
          </c:tx>
          <c:invertIfNegative val="0"/>
          <c:cat>
            <c:strRef>
              <c:f>'GENE GUN'!$F$213:$I$213</c:f>
              <c:strCache>
                <c:ptCount val="4"/>
                <c:pt idx="0">
                  <c:v>System</c:v>
                </c:pt>
                <c:pt idx="1">
                  <c:v>Input</c:v>
                </c:pt>
                <c:pt idx="2">
                  <c:v>Output</c:v>
                </c:pt>
                <c:pt idx="3">
                  <c:v>Waste</c:v>
                </c:pt>
              </c:strCache>
            </c:strRef>
          </c:cat>
          <c:val>
            <c:numRef>
              <c:f>'GENE GUN'!$F$237:$I$237</c:f>
              <c:numCache>
                <c:formatCode>0.00E+00</c:formatCode>
                <c:ptCount val="4"/>
                <c:pt idx="1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9D-6A51-4617-9245-8805E499B517}"/>
            </c:ext>
          </c:extLst>
        </c:ser>
        <c:ser>
          <c:idx val="24"/>
          <c:order val="24"/>
          <c:tx>
            <c:strRef>
              <c:f>'GENE GUN'!$A$238</c:f>
              <c:strCache>
                <c:ptCount val="1"/>
                <c:pt idx="0">
                  <c:v>Battery</c:v>
                </c:pt>
              </c:strCache>
            </c:strRef>
          </c:tx>
          <c:invertIfNegative val="0"/>
          <c:cat>
            <c:strRef>
              <c:f>'GENE GUN'!$F$213:$I$213</c:f>
              <c:strCache>
                <c:ptCount val="4"/>
                <c:pt idx="0">
                  <c:v>System</c:v>
                </c:pt>
                <c:pt idx="1">
                  <c:v>Input</c:v>
                </c:pt>
                <c:pt idx="2">
                  <c:v>Output</c:v>
                </c:pt>
                <c:pt idx="3">
                  <c:v>Waste</c:v>
                </c:pt>
              </c:strCache>
            </c:strRef>
          </c:cat>
          <c:val>
            <c:numRef>
              <c:f>'GENE GUN'!$F$238:$I$238</c:f>
              <c:numCache>
                <c:formatCode>0.00E+00</c:formatCode>
                <c:ptCount val="4"/>
                <c:pt idx="1">
                  <c:v>2.8585023999999997E-2</c:v>
                </c:pt>
                <c:pt idx="3">
                  <c:v>2.8585023999999997E-2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9F-6A51-4617-9245-8805E499B517}"/>
            </c:ext>
          </c:extLst>
        </c:ser>
        <c:ser>
          <c:idx val="25"/>
          <c:order val="25"/>
          <c:tx>
            <c:strRef>
              <c:f>'GENE GUN'!$A$239</c:f>
              <c:strCache>
                <c:ptCount val="1"/>
                <c:pt idx="0">
                  <c:v>Bullet holder vial</c:v>
                </c:pt>
              </c:strCache>
            </c:strRef>
          </c:tx>
          <c:invertIfNegative val="0"/>
          <c:cat>
            <c:strRef>
              <c:f>'GENE GUN'!$F$213:$I$213</c:f>
              <c:strCache>
                <c:ptCount val="4"/>
                <c:pt idx="0">
                  <c:v>System</c:v>
                </c:pt>
                <c:pt idx="1">
                  <c:v>Input</c:v>
                </c:pt>
                <c:pt idx="2">
                  <c:v>Output</c:v>
                </c:pt>
                <c:pt idx="3">
                  <c:v>Waste</c:v>
                </c:pt>
              </c:strCache>
            </c:strRef>
          </c:cat>
          <c:val>
            <c:numRef>
              <c:f>'GENE GUN'!$F$239:$I$239</c:f>
              <c:numCache>
                <c:formatCode>0.00E+00</c:formatCode>
                <c:ptCount val="4"/>
                <c:pt idx="1">
                  <c:v>7.5799713936589708</c:v>
                </c:pt>
                <c:pt idx="3">
                  <c:v>7.5799713936589708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A1-6A51-4617-9245-8805E499B517}"/>
            </c:ext>
          </c:extLst>
        </c:ser>
        <c:ser>
          <c:idx val="26"/>
          <c:order val="26"/>
          <c:tx>
            <c:strRef>
              <c:f>'GENE GUN'!$A$240</c:f>
              <c:strCache>
                <c:ptCount val="1"/>
                <c:pt idx="0">
                  <c:v>Dessicant pack</c:v>
                </c:pt>
              </c:strCache>
            </c:strRef>
          </c:tx>
          <c:invertIfNegative val="0"/>
          <c:cat>
            <c:strRef>
              <c:f>'GENE GUN'!$F$213:$I$213</c:f>
              <c:strCache>
                <c:ptCount val="4"/>
                <c:pt idx="0">
                  <c:v>System</c:v>
                </c:pt>
                <c:pt idx="1">
                  <c:v>Input</c:v>
                </c:pt>
                <c:pt idx="2">
                  <c:v>Output</c:v>
                </c:pt>
                <c:pt idx="3">
                  <c:v>Waste</c:v>
                </c:pt>
              </c:strCache>
            </c:strRef>
          </c:cat>
          <c:val>
            <c:numRef>
              <c:f>'GENE GUN'!$F$240:$I$240</c:f>
              <c:numCache>
                <c:formatCode>0.00E+00</c:formatCode>
                <c:ptCount val="4"/>
                <c:pt idx="1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A3-6A51-4617-9245-8805E499B5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0"/>
        <c:overlap val="100"/>
        <c:axId val="312382031"/>
        <c:axId val="312385871"/>
      </c:barChart>
      <c:catAx>
        <c:axId val="3123820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2385871"/>
        <c:crosses val="autoZero"/>
        <c:auto val="1"/>
        <c:lblAlgn val="ctr"/>
        <c:lblOffset val="100"/>
        <c:noMultiLvlLbl val="0"/>
      </c:catAx>
      <c:valAx>
        <c:axId val="312385871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1" i="0" u="none" strike="noStrike" kern="1200" baseline="0">
                    <a:solidFill>
                      <a:sysClr val="windowText" lastClr="000000"/>
                    </a:solidFill>
                  </a:rPr>
                  <a:t>Volume (m</a:t>
                </a:r>
                <a:r>
                  <a:rPr lang="en-US" sz="1000" b="1" i="0" u="none" strike="noStrike" kern="1200" baseline="30000">
                    <a:solidFill>
                      <a:sysClr val="windowText" lastClr="000000"/>
                    </a:solidFill>
                  </a:rPr>
                  <a:t>3</a:t>
                </a:r>
                <a:r>
                  <a:rPr lang="en-US" sz="1000" b="1" i="0" u="none" strike="noStrike" kern="1200" baseline="0">
                    <a:solidFill>
                      <a:sysClr val="windowText" lastClr="000000"/>
                    </a:solidFill>
                  </a:rPr>
                  <a:t>/CM/Mission)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#,##0" sourceLinked="0"/>
        <c:majorTickMark val="out"/>
        <c:minorTickMark val="none"/>
        <c:tickLblPos val="nextTo"/>
        <c:spPr>
          <a:noFill/>
          <a:ln w="9525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2382031"/>
        <c:crosses val="autoZero"/>
        <c:crossBetween val="between"/>
      </c:valAx>
      <c:spPr>
        <a:ln>
          <a:solidFill>
            <a:schemeClr val="tx1"/>
          </a:solidFill>
        </a:ln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2"/>
      </a:solidFill>
      <a:round/>
    </a:ln>
    <a:effectLst/>
  </c:spPr>
  <c:txPr>
    <a:bodyPr/>
    <a:lstStyle/>
    <a:p>
      <a:pPr>
        <a:defRPr sz="1000" b="1"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sz="1400"/>
              <a:t>GENE GUN - Power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'GENE GUN'!$A$214</c:f>
              <c:strCache>
                <c:ptCount val="1"/>
                <c:pt idx="0">
                  <c:v>Harvesting container</c:v>
                </c:pt>
              </c:strCache>
            </c:strRef>
          </c:tx>
          <c:spPr>
            <a:solidFill>
              <a:schemeClr val="accent2">
                <a:lumMod val="20000"/>
                <a:lumOff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'GENE GUN'!$J$213:$M$213</c:f>
              <c:strCache>
                <c:ptCount val="4"/>
                <c:pt idx="0">
                  <c:v>System</c:v>
                </c:pt>
                <c:pt idx="1">
                  <c:v>Input</c:v>
                </c:pt>
                <c:pt idx="2">
                  <c:v>Output</c:v>
                </c:pt>
                <c:pt idx="3">
                  <c:v>Waste</c:v>
                </c:pt>
              </c:strCache>
            </c:strRef>
          </c:cat>
          <c:val>
            <c:numRef>
              <c:f>'GENE GUN'!$J$214:$M$214</c:f>
              <c:numCache>
                <c:formatCode>General</c:formatCode>
                <c:ptCount val="4"/>
              </c:numCache>
            </c:numRef>
          </c:val>
          <c:extLst>
            <c:ext xmlns:c16="http://schemas.microsoft.com/office/drawing/2014/chart" uri="{C3380CC4-5D6E-409C-BE32-E72D297353CC}">
              <c16:uniqueId val="{0000006F-6A51-4617-9245-8805E499B517}"/>
            </c:ext>
          </c:extLst>
        </c:ser>
        <c:ser>
          <c:idx val="1"/>
          <c:order val="1"/>
          <c:tx>
            <c:strRef>
              <c:f>'GENE GUN'!$A$215</c:f>
              <c:strCache>
                <c:ptCount val="1"/>
                <c:pt idx="0">
                  <c:v>Harvesting tools</c:v>
                </c:pt>
              </c:strCache>
            </c:strRef>
          </c:tx>
          <c:spPr>
            <a:solidFill>
              <a:schemeClr val="accent2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'GENE GUN'!$J$213:$M$213</c:f>
              <c:strCache>
                <c:ptCount val="4"/>
                <c:pt idx="0">
                  <c:v>System</c:v>
                </c:pt>
                <c:pt idx="1">
                  <c:v>Input</c:v>
                </c:pt>
                <c:pt idx="2">
                  <c:v>Output</c:v>
                </c:pt>
                <c:pt idx="3">
                  <c:v>Waste</c:v>
                </c:pt>
              </c:strCache>
            </c:strRef>
          </c:cat>
          <c:val>
            <c:numRef>
              <c:f>'GENE GUN'!$J$215:$M$215</c:f>
              <c:numCache>
                <c:formatCode>General</c:formatCode>
                <c:ptCount val="4"/>
              </c:numCache>
            </c:numRef>
          </c:val>
          <c:extLst>
            <c:ext xmlns:c16="http://schemas.microsoft.com/office/drawing/2014/chart" uri="{C3380CC4-5D6E-409C-BE32-E72D297353CC}">
              <c16:uniqueId val="{00000071-6A51-4617-9245-8805E499B517}"/>
            </c:ext>
          </c:extLst>
        </c:ser>
        <c:ser>
          <c:idx val="2"/>
          <c:order val="2"/>
          <c:tx>
            <c:strRef>
              <c:f>'GENE GUN'!$A$216</c:f>
              <c:strCache>
                <c:ptCount val="1"/>
                <c:pt idx="0">
                  <c:v>Refrigerator/Freezer</c:v>
                </c:pt>
              </c:strCache>
            </c:strRef>
          </c:tx>
          <c:spPr>
            <a:solidFill>
              <a:schemeClr val="accent5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'GENE GUN'!$J$213:$M$213</c:f>
              <c:strCache>
                <c:ptCount val="4"/>
                <c:pt idx="0">
                  <c:v>System</c:v>
                </c:pt>
                <c:pt idx="1">
                  <c:v>Input</c:v>
                </c:pt>
                <c:pt idx="2">
                  <c:v>Output</c:v>
                </c:pt>
                <c:pt idx="3">
                  <c:v>Waste</c:v>
                </c:pt>
              </c:strCache>
            </c:strRef>
          </c:cat>
          <c:val>
            <c:numRef>
              <c:f>'GENE GUN'!$J$216:$M$216</c:f>
              <c:numCache>
                <c:formatCode>General</c:formatCode>
                <c:ptCount val="4"/>
                <c:pt idx="0" formatCode="0.00E+00">
                  <c:v>2.6670860021875002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73-6A51-4617-9245-8805E499B517}"/>
            </c:ext>
          </c:extLst>
        </c:ser>
        <c:ser>
          <c:idx val="3"/>
          <c:order val="3"/>
          <c:tx>
            <c:strRef>
              <c:f>'GENE GUN'!$A$217</c:f>
              <c:strCache>
                <c:ptCount val="1"/>
                <c:pt idx="0">
                  <c:v>Lighting panels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'GENE GUN'!$J$213:$M$213</c:f>
              <c:strCache>
                <c:ptCount val="4"/>
                <c:pt idx="0">
                  <c:v>System</c:v>
                </c:pt>
                <c:pt idx="1">
                  <c:v>Input</c:v>
                </c:pt>
                <c:pt idx="2">
                  <c:v>Output</c:v>
                </c:pt>
                <c:pt idx="3">
                  <c:v>Waste</c:v>
                </c:pt>
              </c:strCache>
            </c:strRef>
          </c:cat>
          <c:val>
            <c:numRef>
              <c:f>'GENE GUN'!$J$217:$M$217</c:f>
              <c:numCache>
                <c:formatCode>General</c:formatCode>
                <c:ptCount val="4"/>
                <c:pt idx="0" formatCode="0.00E+00">
                  <c:v>1.0647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75-6A51-4617-9245-8805E499B517}"/>
            </c:ext>
          </c:extLst>
        </c:ser>
        <c:ser>
          <c:idx val="4"/>
          <c:order val="4"/>
          <c:tx>
            <c:strRef>
              <c:f>'GENE GUN'!$A$218</c:f>
              <c:strCache>
                <c:ptCount val="1"/>
                <c:pt idx="0">
                  <c:v>Plant growth chamber</c:v>
                </c:pt>
              </c:strCache>
            </c:strRef>
          </c:tx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strRef>
              <c:f>'GENE GUN'!$J$213:$M$213</c:f>
              <c:strCache>
                <c:ptCount val="4"/>
                <c:pt idx="0">
                  <c:v>System</c:v>
                </c:pt>
                <c:pt idx="1">
                  <c:v>Input</c:v>
                </c:pt>
                <c:pt idx="2">
                  <c:v>Output</c:v>
                </c:pt>
                <c:pt idx="3">
                  <c:v>Waste</c:v>
                </c:pt>
              </c:strCache>
            </c:strRef>
          </c:cat>
          <c:val>
            <c:numRef>
              <c:f>'GENE GUN'!$J$218:$M$218</c:f>
              <c:numCache>
                <c:formatCode>General</c:formatCode>
                <c:ptCount val="4"/>
                <c:pt idx="0" formatCode="0.00E+00">
                  <c:v>0.97395833333333348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77-6A51-4617-9245-8805E499B517}"/>
            </c:ext>
          </c:extLst>
        </c:ser>
        <c:ser>
          <c:idx val="5"/>
          <c:order val="5"/>
          <c:tx>
            <c:strRef>
              <c:f>'GENE GUN'!$A$219</c:f>
              <c:strCache>
                <c:ptCount val="1"/>
                <c:pt idx="0">
                  <c:v>Lettuce seeds</c:v>
                </c:pt>
              </c:strCache>
            </c:strRef>
          </c:tx>
          <c:spPr>
            <a:solidFill>
              <a:schemeClr val="accent4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strRef>
              <c:f>'GENE GUN'!$J$213:$M$213</c:f>
              <c:strCache>
                <c:ptCount val="4"/>
                <c:pt idx="0">
                  <c:v>System</c:v>
                </c:pt>
                <c:pt idx="1">
                  <c:v>Input</c:v>
                </c:pt>
                <c:pt idx="2">
                  <c:v>Output</c:v>
                </c:pt>
                <c:pt idx="3">
                  <c:v>Waste</c:v>
                </c:pt>
              </c:strCache>
            </c:strRef>
          </c:cat>
          <c:val>
            <c:numRef>
              <c:f>'GENE GUN'!$J$219:$M$219</c:f>
              <c:numCache>
                <c:formatCode>General</c:formatCode>
                <c:ptCount val="4"/>
              </c:numCache>
            </c:numRef>
          </c:val>
          <c:extLst>
            <c:ext xmlns:c16="http://schemas.microsoft.com/office/drawing/2014/chart" uri="{C3380CC4-5D6E-409C-BE32-E72D297353CC}">
              <c16:uniqueId val="{00000079-6A51-4617-9245-8805E499B517}"/>
            </c:ext>
          </c:extLst>
        </c:ser>
        <c:ser>
          <c:idx val="6"/>
          <c:order val="6"/>
          <c:tx>
            <c:strRef>
              <c:f>'GENE GUN'!$A$220</c:f>
              <c:strCache>
                <c:ptCount val="1"/>
                <c:pt idx="0">
                  <c:v>Water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'GENE GUN'!$J$213:$M$213</c:f>
              <c:strCache>
                <c:ptCount val="4"/>
                <c:pt idx="0">
                  <c:v>System</c:v>
                </c:pt>
                <c:pt idx="1">
                  <c:v>Input</c:v>
                </c:pt>
                <c:pt idx="2">
                  <c:v>Output</c:v>
                </c:pt>
                <c:pt idx="3">
                  <c:v>Waste</c:v>
                </c:pt>
              </c:strCache>
            </c:strRef>
          </c:cat>
          <c:val>
            <c:numRef>
              <c:f>'GENE GUN'!$J$220:$M$220</c:f>
              <c:numCache>
                <c:formatCode>General</c:formatCode>
                <c:ptCount val="4"/>
              </c:numCache>
            </c:numRef>
          </c:val>
          <c:extLst>
            <c:ext xmlns:c16="http://schemas.microsoft.com/office/drawing/2014/chart" uri="{C3380CC4-5D6E-409C-BE32-E72D297353CC}">
              <c16:uniqueId val="{0000007B-6A51-4617-9245-8805E499B517}"/>
            </c:ext>
          </c:extLst>
        </c:ser>
        <c:ser>
          <c:idx val="7"/>
          <c:order val="7"/>
          <c:tx>
            <c:strRef>
              <c:f>'GENE GUN'!$A$221</c:f>
              <c:strCache>
                <c:ptCount val="1"/>
                <c:pt idx="0">
                  <c:v>Plant nutrients</c:v>
                </c:pt>
              </c:strCache>
            </c:strRef>
          </c:tx>
          <c:spPr>
            <a:solidFill>
              <a:schemeClr val="accent4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'GENE GUN'!$J$213:$M$213</c:f>
              <c:strCache>
                <c:ptCount val="4"/>
                <c:pt idx="0">
                  <c:v>System</c:v>
                </c:pt>
                <c:pt idx="1">
                  <c:v>Input</c:v>
                </c:pt>
                <c:pt idx="2">
                  <c:v>Output</c:v>
                </c:pt>
                <c:pt idx="3">
                  <c:v>Waste</c:v>
                </c:pt>
              </c:strCache>
            </c:strRef>
          </c:cat>
          <c:val>
            <c:numRef>
              <c:f>'GENE GUN'!$J$221:$M$221</c:f>
              <c:numCache>
                <c:formatCode>General</c:formatCode>
                <c:ptCount val="4"/>
              </c:numCache>
            </c:numRef>
          </c:val>
          <c:extLst>
            <c:ext xmlns:c16="http://schemas.microsoft.com/office/drawing/2014/chart" uri="{C3380CC4-5D6E-409C-BE32-E72D297353CC}">
              <c16:uniqueId val="{0000007D-6A51-4617-9245-8805E499B517}"/>
            </c:ext>
          </c:extLst>
        </c:ser>
        <c:ser>
          <c:idx val="8"/>
          <c:order val="8"/>
          <c:tx>
            <c:strRef>
              <c:f>'GENE GUN'!$A$222</c:f>
              <c:strCache>
                <c:ptCount val="1"/>
                <c:pt idx="0">
                  <c:v>Carbon dioxide</c:v>
                </c:pt>
              </c:strCache>
            </c:strRef>
          </c:tx>
          <c:spPr>
            <a:solidFill>
              <a:schemeClr val="accent4">
                <a:lumMod val="20000"/>
                <a:lumOff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'GENE GUN'!$J$213:$M$213</c:f>
              <c:strCache>
                <c:ptCount val="4"/>
                <c:pt idx="0">
                  <c:v>System</c:v>
                </c:pt>
                <c:pt idx="1">
                  <c:v>Input</c:v>
                </c:pt>
                <c:pt idx="2">
                  <c:v>Output</c:v>
                </c:pt>
                <c:pt idx="3">
                  <c:v>Waste</c:v>
                </c:pt>
              </c:strCache>
            </c:strRef>
          </c:cat>
          <c:val>
            <c:numRef>
              <c:f>'GENE GUN'!$J$222:$M$222</c:f>
              <c:numCache>
                <c:formatCode>General</c:formatCode>
                <c:ptCount val="4"/>
              </c:numCache>
            </c:numRef>
          </c:val>
          <c:extLst>
            <c:ext xmlns:c16="http://schemas.microsoft.com/office/drawing/2014/chart" uri="{C3380CC4-5D6E-409C-BE32-E72D297353CC}">
              <c16:uniqueId val="{0000007F-6A51-4617-9245-8805E499B517}"/>
            </c:ext>
          </c:extLst>
        </c:ser>
        <c:ser>
          <c:idx val="9"/>
          <c:order val="9"/>
          <c:tx>
            <c:strRef>
              <c:f>'GENE GUN'!$A$223</c:f>
              <c:strCache>
                <c:ptCount val="1"/>
                <c:pt idx="0">
                  <c:v>Oxygen</c:v>
                </c:pt>
              </c:strCache>
            </c:strRef>
          </c:tx>
          <c:spPr>
            <a:solidFill>
              <a:srgbClr val="FFC000"/>
            </a:solidFill>
            <a:ln>
              <a:noFill/>
            </a:ln>
            <a:effectLst/>
          </c:spPr>
          <c:invertIfNegative val="0"/>
          <c:cat>
            <c:strRef>
              <c:f>'GENE GUN'!$J$213:$M$213</c:f>
              <c:strCache>
                <c:ptCount val="4"/>
                <c:pt idx="0">
                  <c:v>System</c:v>
                </c:pt>
                <c:pt idx="1">
                  <c:v>Input</c:v>
                </c:pt>
                <c:pt idx="2">
                  <c:v>Output</c:v>
                </c:pt>
                <c:pt idx="3">
                  <c:v>Waste</c:v>
                </c:pt>
              </c:strCache>
            </c:strRef>
          </c:cat>
          <c:val>
            <c:numRef>
              <c:f>'GENE GUN'!$J$223:$M$223</c:f>
              <c:numCache>
                <c:formatCode>General</c:formatCode>
                <c:ptCount val="4"/>
              </c:numCache>
            </c:numRef>
          </c:val>
          <c:extLst>
            <c:ext xmlns:c16="http://schemas.microsoft.com/office/drawing/2014/chart" uri="{C3380CC4-5D6E-409C-BE32-E72D297353CC}">
              <c16:uniqueId val="{00000081-6A51-4617-9245-8805E499B517}"/>
            </c:ext>
          </c:extLst>
        </c:ser>
        <c:ser>
          <c:idx val="10"/>
          <c:order val="10"/>
          <c:tx>
            <c:strRef>
              <c:f>'GENE GUN'!$A$224</c:f>
              <c:strCache>
                <c:ptCount val="1"/>
                <c:pt idx="0">
                  <c:v>PTH-Fc</c:v>
                </c:pt>
              </c:strCache>
            </c:strRef>
          </c:tx>
          <c:spPr>
            <a:solidFill>
              <a:schemeClr val="accent6">
                <a:lumMod val="75000"/>
              </a:schemeClr>
            </a:solidFill>
          </c:spPr>
          <c:invertIfNegative val="0"/>
          <c:cat>
            <c:strRef>
              <c:f>'GENE GUN'!$J$213:$M$213</c:f>
              <c:strCache>
                <c:ptCount val="4"/>
                <c:pt idx="0">
                  <c:v>System</c:v>
                </c:pt>
                <c:pt idx="1">
                  <c:v>Input</c:v>
                </c:pt>
                <c:pt idx="2">
                  <c:v>Output</c:v>
                </c:pt>
                <c:pt idx="3">
                  <c:v>Waste</c:v>
                </c:pt>
              </c:strCache>
            </c:strRef>
          </c:cat>
          <c:val>
            <c:numRef>
              <c:f>'GENE GUN'!$J$224:$M$224</c:f>
              <c:numCache>
                <c:formatCode>General</c:formatCode>
                <c:ptCount val="4"/>
              </c:numCache>
            </c:numRef>
          </c:val>
          <c:extLst>
            <c:ext xmlns:c16="http://schemas.microsoft.com/office/drawing/2014/chart" uri="{C3380CC4-5D6E-409C-BE32-E72D297353CC}">
              <c16:uniqueId val="{00000083-6A51-4617-9245-8805E499B517}"/>
            </c:ext>
          </c:extLst>
        </c:ser>
        <c:ser>
          <c:idx val="11"/>
          <c:order val="11"/>
          <c:tx>
            <c:strRef>
              <c:f>'GENE GUN'!$A$225</c:f>
              <c:strCache>
                <c:ptCount val="1"/>
                <c:pt idx="0">
                  <c:v>Plant biomass</c:v>
                </c:pt>
              </c:strCache>
            </c:strRef>
          </c:tx>
          <c:spPr>
            <a:solidFill>
              <a:schemeClr val="accent3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'GENE GUN'!$J$213:$M$213</c:f>
              <c:strCache>
                <c:ptCount val="4"/>
                <c:pt idx="0">
                  <c:v>System</c:v>
                </c:pt>
                <c:pt idx="1">
                  <c:v>Input</c:v>
                </c:pt>
                <c:pt idx="2">
                  <c:v>Output</c:v>
                </c:pt>
                <c:pt idx="3">
                  <c:v>Waste</c:v>
                </c:pt>
              </c:strCache>
            </c:strRef>
          </c:cat>
          <c:val>
            <c:numRef>
              <c:f>'GENE GUN'!$J$225:$M$225</c:f>
              <c:numCache>
                <c:formatCode>General</c:formatCode>
                <c:ptCount val="4"/>
              </c:numCache>
            </c:numRef>
          </c:val>
          <c:extLst>
            <c:ext xmlns:c16="http://schemas.microsoft.com/office/drawing/2014/chart" uri="{C3380CC4-5D6E-409C-BE32-E72D297353CC}">
              <c16:uniqueId val="{00000085-6A51-4617-9245-8805E499B517}"/>
            </c:ext>
          </c:extLst>
        </c:ser>
        <c:ser>
          <c:idx val="12"/>
          <c:order val="12"/>
          <c:tx>
            <c:strRef>
              <c:f>'GENE GUN'!$A$226</c:f>
              <c:strCache>
                <c:ptCount val="1"/>
                <c:pt idx="0">
                  <c:v>Calories</c:v>
                </c:pt>
              </c:strCache>
            </c:strRef>
          </c:tx>
          <c:spPr>
            <a:solidFill>
              <a:schemeClr val="accent6">
                <a:lumMod val="60000"/>
                <a:lumOff val="40000"/>
              </a:schemeClr>
            </a:solidFill>
          </c:spPr>
          <c:invertIfNegative val="0"/>
          <c:cat>
            <c:strRef>
              <c:f>'GENE GUN'!$J$213:$M$213</c:f>
              <c:strCache>
                <c:ptCount val="4"/>
                <c:pt idx="0">
                  <c:v>System</c:v>
                </c:pt>
                <c:pt idx="1">
                  <c:v>Input</c:v>
                </c:pt>
                <c:pt idx="2">
                  <c:v>Output</c:v>
                </c:pt>
                <c:pt idx="3">
                  <c:v>Waste</c:v>
                </c:pt>
              </c:strCache>
            </c:strRef>
          </c:cat>
          <c:val>
            <c:numRef>
              <c:f>'GENE GUN'!$J$226:$M$226</c:f>
              <c:numCache>
                <c:formatCode>General</c:formatCode>
                <c:ptCount val="4"/>
                <c:pt idx="2" formatCode="0.00E+00">
                  <c:v>6.1951009596836431E-4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87-6A51-4617-9245-8805E499B517}"/>
            </c:ext>
          </c:extLst>
        </c:ser>
        <c:ser>
          <c:idx val="13"/>
          <c:order val="13"/>
          <c:tx>
            <c:strRef>
              <c:f>'GENE GUN'!$A$227</c:f>
              <c:strCache>
                <c:ptCount val="1"/>
                <c:pt idx="0">
                  <c:v>Macronutrients</c:v>
                </c:pt>
              </c:strCache>
            </c:strRef>
          </c:tx>
          <c:spPr>
            <a:solidFill>
              <a:schemeClr val="accent6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'GENE GUN'!$J$213:$M$213</c:f>
              <c:strCache>
                <c:ptCount val="4"/>
                <c:pt idx="0">
                  <c:v>System</c:v>
                </c:pt>
                <c:pt idx="1">
                  <c:v>Input</c:v>
                </c:pt>
                <c:pt idx="2">
                  <c:v>Output</c:v>
                </c:pt>
                <c:pt idx="3">
                  <c:v>Waste</c:v>
                </c:pt>
              </c:strCache>
            </c:strRef>
          </c:cat>
          <c:val>
            <c:numRef>
              <c:f>'GENE GUN'!$J$227:$M$227</c:f>
              <c:numCache>
                <c:formatCode>General</c:formatCode>
                <c:ptCount val="4"/>
              </c:numCache>
            </c:numRef>
          </c:val>
          <c:extLst>
            <c:ext xmlns:c16="http://schemas.microsoft.com/office/drawing/2014/chart" uri="{C3380CC4-5D6E-409C-BE32-E72D297353CC}">
              <c16:uniqueId val="{00000089-6A51-4617-9245-8805E499B517}"/>
            </c:ext>
          </c:extLst>
        </c:ser>
        <c:ser>
          <c:idx val="14"/>
          <c:order val="14"/>
          <c:tx>
            <c:strRef>
              <c:f>'GENE GUN'!$A$228</c:f>
              <c:strCache>
                <c:ptCount val="1"/>
                <c:pt idx="0">
                  <c:v>Micronutrients</c:v>
                </c:pt>
              </c:strCache>
            </c:strRef>
          </c:tx>
          <c:spPr>
            <a:solidFill>
              <a:schemeClr val="accent6">
                <a:lumMod val="20000"/>
                <a:lumOff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'GENE GUN'!$J$213:$M$213</c:f>
              <c:strCache>
                <c:ptCount val="4"/>
                <c:pt idx="0">
                  <c:v>System</c:v>
                </c:pt>
                <c:pt idx="1">
                  <c:v>Input</c:v>
                </c:pt>
                <c:pt idx="2">
                  <c:v>Output</c:v>
                </c:pt>
                <c:pt idx="3">
                  <c:v>Waste</c:v>
                </c:pt>
              </c:strCache>
            </c:strRef>
          </c:cat>
          <c:val>
            <c:numRef>
              <c:f>'GENE GUN'!$J$228:$M$228</c:f>
              <c:numCache>
                <c:formatCode>General</c:formatCode>
                <c:ptCount val="4"/>
              </c:numCache>
            </c:numRef>
          </c:val>
          <c:extLst>
            <c:ext xmlns:c16="http://schemas.microsoft.com/office/drawing/2014/chart" uri="{C3380CC4-5D6E-409C-BE32-E72D297353CC}">
              <c16:uniqueId val="{0000008B-6A51-4617-9245-8805E499B517}"/>
            </c:ext>
          </c:extLst>
        </c:ser>
        <c:ser>
          <c:idx val="15"/>
          <c:order val="15"/>
          <c:tx>
            <c:strRef>
              <c:f>'GENE GUN'!$A$229</c:f>
              <c:strCache>
                <c:ptCount val="1"/>
                <c:pt idx="0">
                  <c:v>Biomass waste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'GENE GUN'!$J$213:$M$213</c:f>
              <c:strCache>
                <c:ptCount val="4"/>
                <c:pt idx="0">
                  <c:v>System</c:v>
                </c:pt>
                <c:pt idx="1">
                  <c:v>Input</c:v>
                </c:pt>
                <c:pt idx="2">
                  <c:v>Output</c:v>
                </c:pt>
                <c:pt idx="3">
                  <c:v>Waste</c:v>
                </c:pt>
              </c:strCache>
            </c:strRef>
          </c:cat>
          <c:val>
            <c:numRef>
              <c:f>'GENE GUN'!$J$229:$M$229</c:f>
              <c:numCache>
                <c:formatCode>General</c:formatCode>
                <c:ptCount val="4"/>
              </c:numCache>
            </c:numRef>
          </c:val>
          <c:extLst>
            <c:ext xmlns:c16="http://schemas.microsoft.com/office/drawing/2014/chart" uri="{C3380CC4-5D6E-409C-BE32-E72D297353CC}">
              <c16:uniqueId val="{0000008D-6A51-4617-9245-8805E499B517}"/>
            </c:ext>
          </c:extLst>
        </c:ser>
        <c:ser>
          <c:idx val="16"/>
          <c:order val="16"/>
          <c:tx>
            <c:strRef>
              <c:f>'GENE GUN'!$A$230</c:f>
              <c:strCache>
                <c:ptCount val="1"/>
                <c:pt idx="0">
                  <c:v>Gene Gun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  <a:effectLst/>
          </c:spPr>
          <c:invertIfNegative val="0"/>
          <c:cat>
            <c:strRef>
              <c:f>'GENE GUN'!$J$213:$M$213</c:f>
              <c:strCache>
                <c:ptCount val="4"/>
                <c:pt idx="0">
                  <c:v>System</c:v>
                </c:pt>
                <c:pt idx="1">
                  <c:v>Input</c:v>
                </c:pt>
                <c:pt idx="2">
                  <c:v>Output</c:v>
                </c:pt>
                <c:pt idx="3">
                  <c:v>Waste</c:v>
                </c:pt>
              </c:strCache>
            </c:strRef>
          </c:cat>
          <c:val>
            <c:numRef>
              <c:f>'GENE GUN'!$J$230:$M$230</c:f>
              <c:numCache>
                <c:formatCode>General</c:formatCode>
                <c:ptCount val="4"/>
              </c:numCache>
            </c:numRef>
          </c:val>
          <c:extLst>
            <c:ext xmlns:c16="http://schemas.microsoft.com/office/drawing/2014/chart" uri="{C3380CC4-5D6E-409C-BE32-E72D297353CC}">
              <c16:uniqueId val="{0000008F-6A51-4617-9245-8805E499B517}"/>
            </c:ext>
          </c:extLst>
        </c:ser>
        <c:ser>
          <c:idx val="17"/>
          <c:order val="17"/>
          <c:tx>
            <c:strRef>
              <c:f>'GENE GUN'!$A$231</c:f>
              <c:strCache>
                <c:ptCount val="1"/>
                <c:pt idx="0">
                  <c:v>Connector tubing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cat>
            <c:strRef>
              <c:f>'GENE GUN'!$J$213:$M$213</c:f>
              <c:strCache>
                <c:ptCount val="4"/>
                <c:pt idx="0">
                  <c:v>System</c:v>
                </c:pt>
                <c:pt idx="1">
                  <c:v>Input</c:v>
                </c:pt>
                <c:pt idx="2">
                  <c:v>Output</c:v>
                </c:pt>
                <c:pt idx="3">
                  <c:v>Waste</c:v>
                </c:pt>
              </c:strCache>
            </c:strRef>
          </c:cat>
          <c:val>
            <c:numRef>
              <c:f>'GENE GUN'!$J$231:$M$231</c:f>
              <c:numCache>
                <c:formatCode>General</c:formatCode>
                <c:ptCount val="4"/>
              </c:numCache>
            </c:numRef>
          </c:val>
          <c:extLst>
            <c:ext xmlns:c16="http://schemas.microsoft.com/office/drawing/2014/chart" uri="{C3380CC4-5D6E-409C-BE32-E72D297353CC}">
              <c16:uniqueId val="{00000091-6A51-4617-9245-8805E499B517}"/>
            </c:ext>
          </c:extLst>
        </c:ser>
        <c:ser>
          <c:idx val="18"/>
          <c:order val="18"/>
          <c:tx>
            <c:strRef>
              <c:f>'GENE GUN'!$A$232</c:f>
              <c:strCache>
                <c:ptCount val="1"/>
                <c:pt idx="0">
                  <c:v>Gas cylinder</c:v>
                </c:pt>
              </c:strCache>
            </c:strRef>
          </c:tx>
          <c:invertIfNegative val="0"/>
          <c:cat>
            <c:strRef>
              <c:f>'GENE GUN'!$J$213:$M$213</c:f>
              <c:strCache>
                <c:ptCount val="4"/>
                <c:pt idx="0">
                  <c:v>System</c:v>
                </c:pt>
                <c:pt idx="1">
                  <c:v>Input</c:v>
                </c:pt>
                <c:pt idx="2">
                  <c:v>Output</c:v>
                </c:pt>
                <c:pt idx="3">
                  <c:v>Waste</c:v>
                </c:pt>
              </c:strCache>
            </c:strRef>
          </c:cat>
          <c:val>
            <c:numRef>
              <c:f>'GENE GUN'!$J$232:$M$232</c:f>
              <c:numCache>
                <c:formatCode>General</c:formatCode>
                <c:ptCount val="4"/>
              </c:numCache>
            </c:numRef>
          </c:val>
          <c:extLst>
            <c:ext xmlns:c16="http://schemas.microsoft.com/office/drawing/2014/chart" uri="{C3380CC4-5D6E-409C-BE32-E72D297353CC}">
              <c16:uniqueId val="{00000093-6A51-4617-9245-8805E499B517}"/>
            </c:ext>
          </c:extLst>
        </c:ser>
        <c:ser>
          <c:idx val="19"/>
          <c:order val="19"/>
          <c:tx>
            <c:strRef>
              <c:f>'GENE GUN'!$A$233</c:f>
              <c:strCache>
                <c:ptCount val="1"/>
                <c:pt idx="0">
                  <c:v>Gas regulator</c:v>
                </c:pt>
              </c:strCache>
            </c:strRef>
          </c:tx>
          <c:invertIfNegative val="0"/>
          <c:cat>
            <c:strRef>
              <c:f>'GENE GUN'!$J$213:$M$213</c:f>
              <c:strCache>
                <c:ptCount val="4"/>
                <c:pt idx="0">
                  <c:v>System</c:v>
                </c:pt>
                <c:pt idx="1">
                  <c:v>Input</c:v>
                </c:pt>
                <c:pt idx="2">
                  <c:v>Output</c:v>
                </c:pt>
                <c:pt idx="3">
                  <c:v>Waste</c:v>
                </c:pt>
              </c:strCache>
            </c:strRef>
          </c:cat>
          <c:val>
            <c:numRef>
              <c:f>'GENE GUN'!$J$233:$M$233</c:f>
              <c:numCache>
                <c:formatCode>General</c:formatCode>
                <c:ptCount val="4"/>
              </c:numCache>
            </c:numRef>
          </c:val>
          <c:extLst>
            <c:ext xmlns:c16="http://schemas.microsoft.com/office/drawing/2014/chart" uri="{C3380CC4-5D6E-409C-BE32-E72D297353CC}">
              <c16:uniqueId val="{00000095-6A51-4617-9245-8805E499B517}"/>
            </c:ext>
          </c:extLst>
        </c:ser>
        <c:ser>
          <c:idx val="20"/>
          <c:order val="20"/>
          <c:tx>
            <c:strRef>
              <c:f>'GENE GUN'!$A$234</c:f>
              <c:strCache>
                <c:ptCount val="1"/>
                <c:pt idx="0">
                  <c:v>Cartrdige extractor </c:v>
                </c:pt>
              </c:strCache>
            </c:strRef>
          </c:tx>
          <c:invertIfNegative val="0"/>
          <c:cat>
            <c:strRef>
              <c:f>'GENE GUN'!$J$213:$M$213</c:f>
              <c:strCache>
                <c:ptCount val="4"/>
                <c:pt idx="0">
                  <c:v>System</c:v>
                </c:pt>
                <c:pt idx="1">
                  <c:v>Input</c:v>
                </c:pt>
                <c:pt idx="2">
                  <c:v>Output</c:v>
                </c:pt>
                <c:pt idx="3">
                  <c:v>Waste</c:v>
                </c:pt>
              </c:strCache>
            </c:strRef>
          </c:cat>
          <c:val>
            <c:numRef>
              <c:f>'GENE GUN'!$J$234:$M$234</c:f>
              <c:numCache>
                <c:formatCode>General</c:formatCode>
                <c:ptCount val="4"/>
              </c:numCache>
            </c:numRef>
          </c:val>
          <c:extLst>
            <c:ext xmlns:c16="http://schemas.microsoft.com/office/drawing/2014/chart" uri="{C3380CC4-5D6E-409C-BE32-E72D297353CC}">
              <c16:uniqueId val="{00000097-6A51-4617-9245-8805E499B517}"/>
            </c:ext>
          </c:extLst>
        </c:ser>
        <c:ser>
          <c:idx val="21"/>
          <c:order val="21"/>
          <c:tx>
            <c:strRef>
              <c:f>'GENE GUN'!$A$235</c:f>
              <c:strCache>
                <c:ptCount val="1"/>
                <c:pt idx="0">
                  <c:v>Ear protection</c:v>
                </c:pt>
              </c:strCache>
            </c:strRef>
          </c:tx>
          <c:invertIfNegative val="0"/>
          <c:cat>
            <c:strRef>
              <c:f>'GENE GUN'!$J$213:$M$213</c:f>
              <c:strCache>
                <c:ptCount val="4"/>
                <c:pt idx="0">
                  <c:v>System</c:v>
                </c:pt>
                <c:pt idx="1">
                  <c:v>Input</c:v>
                </c:pt>
                <c:pt idx="2">
                  <c:v>Output</c:v>
                </c:pt>
                <c:pt idx="3">
                  <c:v>Waste</c:v>
                </c:pt>
              </c:strCache>
            </c:strRef>
          </c:cat>
          <c:val>
            <c:numRef>
              <c:f>'GENE GUN'!$J$235:$M$235</c:f>
              <c:numCache>
                <c:formatCode>General</c:formatCode>
                <c:ptCount val="4"/>
              </c:numCache>
            </c:numRef>
          </c:val>
          <c:extLst>
            <c:ext xmlns:c16="http://schemas.microsoft.com/office/drawing/2014/chart" uri="{C3380CC4-5D6E-409C-BE32-E72D297353CC}">
              <c16:uniqueId val="{00000099-6A51-4617-9245-8805E499B517}"/>
            </c:ext>
          </c:extLst>
        </c:ser>
        <c:ser>
          <c:idx val="22"/>
          <c:order val="22"/>
          <c:tx>
            <c:strRef>
              <c:f>'GENE GUN'!$A$236</c:f>
              <c:strCache>
                <c:ptCount val="1"/>
                <c:pt idx="0">
                  <c:v>Eye protection</c:v>
                </c:pt>
              </c:strCache>
            </c:strRef>
          </c:tx>
          <c:invertIfNegative val="0"/>
          <c:cat>
            <c:strRef>
              <c:f>'GENE GUN'!$J$213:$M$213</c:f>
              <c:strCache>
                <c:ptCount val="4"/>
                <c:pt idx="0">
                  <c:v>System</c:v>
                </c:pt>
                <c:pt idx="1">
                  <c:v>Input</c:v>
                </c:pt>
                <c:pt idx="2">
                  <c:v>Output</c:v>
                </c:pt>
                <c:pt idx="3">
                  <c:v>Waste</c:v>
                </c:pt>
              </c:strCache>
            </c:strRef>
          </c:cat>
          <c:val>
            <c:numRef>
              <c:f>'GENE GUN'!$J$236:$M$236</c:f>
              <c:numCache>
                <c:formatCode>General</c:formatCode>
                <c:ptCount val="4"/>
              </c:numCache>
            </c:numRef>
          </c:val>
          <c:extLst>
            <c:ext xmlns:c16="http://schemas.microsoft.com/office/drawing/2014/chart" uri="{C3380CC4-5D6E-409C-BE32-E72D297353CC}">
              <c16:uniqueId val="{0000009B-6A51-4617-9245-8805E499B517}"/>
            </c:ext>
          </c:extLst>
        </c:ser>
        <c:ser>
          <c:idx val="23"/>
          <c:order val="23"/>
          <c:tx>
            <c:strRef>
              <c:f>'GENE GUN'!$A$237</c:f>
              <c:strCache>
                <c:ptCount val="1"/>
                <c:pt idx="0">
                  <c:v>Bullets</c:v>
                </c:pt>
              </c:strCache>
            </c:strRef>
          </c:tx>
          <c:invertIfNegative val="0"/>
          <c:cat>
            <c:strRef>
              <c:f>'GENE GUN'!$J$213:$M$213</c:f>
              <c:strCache>
                <c:ptCount val="4"/>
                <c:pt idx="0">
                  <c:v>System</c:v>
                </c:pt>
                <c:pt idx="1">
                  <c:v>Input</c:v>
                </c:pt>
                <c:pt idx="2">
                  <c:v>Output</c:v>
                </c:pt>
                <c:pt idx="3">
                  <c:v>Waste</c:v>
                </c:pt>
              </c:strCache>
            </c:strRef>
          </c:cat>
          <c:val>
            <c:numRef>
              <c:f>'GENE GUN'!$J$237:$M$237</c:f>
              <c:numCache>
                <c:formatCode>General</c:formatCode>
                <c:ptCount val="4"/>
              </c:numCache>
            </c:numRef>
          </c:val>
          <c:extLst>
            <c:ext xmlns:c16="http://schemas.microsoft.com/office/drawing/2014/chart" uri="{C3380CC4-5D6E-409C-BE32-E72D297353CC}">
              <c16:uniqueId val="{0000009D-6A51-4617-9245-8805E499B517}"/>
            </c:ext>
          </c:extLst>
        </c:ser>
        <c:ser>
          <c:idx val="24"/>
          <c:order val="24"/>
          <c:tx>
            <c:strRef>
              <c:f>'GENE GUN'!$A$238</c:f>
              <c:strCache>
                <c:ptCount val="1"/>
                <c:pt idx="0">
                  <c:v>Battery</c:v>
                </c:pt>
              </c:strCache>
            </c:strRef>
          </c:tx>
          <c:invertIfNegative val="0"/>
          <c:cat>
            <c:strRef>
              <c:f>'GENE GUN'!$J$213:$M$213</c:f>
              <c:strCache>
                <c:ptCount val="4"/>
                <c:pt idx="0">
                  <c:v>System</c:v>
                </c:pt>
                <c:pt idx="1">
                  <c:v>Input</c:v>
                </c:pt>
                <c:pt idx="2">
                  <c:v>Output</c:v>
                </c:pt>
                <c:pt idx="3">
                  <c:v>Waste</c:v>
                </c:pt>
              </c:strCache>
            </c:strRef>
          </c:cat>
          <c:val>
            <c:numRef>
              <c:f>'GENE GUN'!$J$238:$M$238</c:f>
              <c:numCache>
                <c:formatCode>General</c:formatCode>
                <c:ptCount val="4"/>
              </c:numCache>
            </c:numRef>
          </c:val>
          <c:extLst>
            <c:ext xmlns:c16="http://schemas.microsoft.com/office/drawing/2014/chart" uri="{C3380CC4-5D6E-409C-BE32-E72D297353CC}">
              <c16:uniqueId val="{0000009F-6A51-4617-9245-8805E499B517}"/>
            </c:ext>
          </c:extLst>
        </c:ser>
        <c:ser>
          <c:idx val="25"/>
          <c:order val="25"/>
          <c:tx>
            <c:strRef>
              <c:f>'GENE GUN'!$A$239</c:f>
              <c:strCache>
                <c:ptCount val="1"/>
                <c:pt idx="0">
                  <c:v>Bullet holder vial</c:v>
                </c:pt>
              </c:strCache>
            </c:strRef>
          </c:tx>
          <c:invertIfNegative val="0"/>
          <c:cat>
            <c:strRef>
              <c:f>'GENE GUN'!$J$213:$M$213</c:f>
              <c:strCache>
                <c:ptCount val="4"/>
                <c:pt idx="0">
                  <c:v>System</c:v>
                </c:pt>
                <c:pt idx="1">
                  <c:v>Input</c:v>
                </c:pt>
                <c:pt idx="2">
                  <c:v>Output</c:v>
                </c:pt>
                <c:pt idx="3">
                  <c:v>Waste</c:v>
                </c:pt>
              </c:strCache>
            </c:strRef>
          </c:cat>
          <c:val>
            <c:numRef>
              <c:f>'GENE GUN'!$J$239:$M$239</c:f>
              <c:numCache>
                <c:formatCode>General</c:formatCode>
                <c:ptCount val="4"/>
              </c:numCache>
            </c:numRef>
          </c:val>
          <c:extLst>
            <c:ext xmlns:c16="http://schemas.microsoft.com/office/drawing/2014/chart" uri="{C3380CC4-5D6E-409C-BE32-E72D297353CC}">
              <c16:uniqueId val="{000000A1-6A51-4617-9245-8805E499B517}"/>
            </c:ext>
          </c:extLst>
        </c:ser>
        <c:ser>
          <c:idx val="26"/>
          <c:order val="26"/>
          <c:tx>
            <c:strRef>
              <c:f>'GENE GUN'!$A$240</c:f>
              <c:strCache>
                <c:ptCount val="1"/>
                <c:pt idx="0">
                  <c:v>Dessicant pack</c:v>
                </c:pt>
              </c:strCache>
            </c:strRef>
          </c:tx>
          <c:invertIfNegative val="0"/>
          <c:cat>
            <c:strRef>
              <c:f>'GENE GUN'!$J$213:$M$213</c:f>
              <c:strCache>
                <c:ptCount val="4"/>
                <c:pt idx="0">
                  <c:v>System</c:v>
                </c:pt>
                <c:pt idx="1">
                  <c:v>Input</c:v>
                </c:pt>
                <c:pt idx="2">
                  <c:v>Output</c:v>
                </c:pt>
                <c:pt idx="3">
                  <c:v>Waste</c:v>
                </c:pt>
              </c:strCache>
            </c:strRef>
          </c:cat>
          <c:val>
            <c:numRef>
              <c:f>'GENE GUN'!$J$240:$M$240</c:f>
              <c:numCache>
                <c:formatCode>General</c:formatCode>
                <c:ptCount val="4"/>
              </c:numCache>
            </c:numRef>
          </c:val>
          <c:extLst>
            <c:ext xmlns:c16="http://schemas.microsoft.com/office/drawing/2014/chart" uri="{C3380CC4-5D6E-409C-BE32-E72D297353CC}">
              <c16:uniqueId val="{000000A3-6A51-4617-9245-8805E499B5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0"/>
        <c:overlap val="100"/>
        <c:axId val="312382031"/>
        <c:axId val="312385871"/>
      </c:barChart>
      <c:catAx>
        <c:axId val="3123820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2385871"/>
        <c:crosses val="autoZero"/>
        <c:auto val="1"/>
        <c:lblAlgn val="ctr"/>
        <c:lblOffset val="100"/>
        <c:noMultiLvlLbl val="0"/>
      </c:catAx>
      <c:valAx>
        <c:axId val="312385871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 marL="0" marR="0" lvl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0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1" i="0" u="none" strike="noStrike" kern="1200" baseline="0">
                    <a:solidFill>
                      <a:sysClr val="windowText" lastClr="000000"/>
                    </a:solidFill>
                  </a:rPr>
                  <a:t>Power (kW/CM/Mission)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#,##0.0" sourceLinked="0"/>
        <c:majorTickMark val="out"/>
        <c:minorTickMark val="none"/>
        <c:tickLblPos val="nextTo"/>
        <c:spPr>
          <a:noFill/>
          <a:ln w="9525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2382031"/>
        <c:crosses val="autoZero"/>
        <c:crossBetween val="between"/>
      </c:valAx>
      <c:spPr>
        <a:ln>
          <a:solidFill>
            <a:schemeClr val="tx1"/>
          </a:solidFill>
        </a:ln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2"/>
      </a:solidFill>
      <a:round/>
    </a:ln>
    <a:effectLst/>
  </c:spPr>
  <c:txPr>
    <a:bodyPr/>
    <a:lstStyle/>
    <a:p>
      <a:pPr>
        <a:defRPr sz="1000" b="1"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sz="1400"/>
              <a:t>GENE GUN - Crew</a:t>
            </a:r>
            <a:r>
              <a:rPr lang="en-US" sz="1400" baseline="0"/>
              <a:t> Time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'GENE GUN'!$A$214</c:f>
              <c:strCache>
                <c:ptCount val="1"/>
                <c:pt idx="0">
                  <c:v>Harvesting container</c:v>
                </c:pt>
              </c:strCache>
            </c:strRef>
          </c:tx>
          <c:spPr>
            <a:solidFill>
              <a:schemeClr val="accent2">
                <a:lumMod val="20000"/>
                <a:lumOff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'GENE GUN'!$N$213:$O$213</c:f>
              <c:strCache>
                <c:ptCount val="2"/>
                <c:pt idx="0">
                  <c:v>System</c:v>
                </c:pt>
                <c:pt idx="1">
                  <c:v>Process Operations</c:v>
                </c:pt>
              </c:strCache>
            </c:strRef>
          </c:cat>
          <c:val>
            <c:numRef>
              <c:f>'GENE GUN'!$N$214:$O$214</c:f>
              <c:numCache>
                <c:formatCode>General</c:formatCode>
                <c:ptCount val="2"/>
              </c:numCache>
            </c:numRef>
          </c:val>
          <c:extLst>
            <c:ext xmlns:c16="http://schemas.microsoft.com/office/drawing/2014/chart" uri="{C3380CC4-5D6E-409C-BE32-E72D297353CC}">
              <c16:uniqueId val="{0000006F-6A51-4617-9245-8805E499B517}"/>
            </c:ext>
          </c:extLst>
        </c:ser>
        <c:ser>
          <c:idx val="1"/>
          <c:order val="1"/>
          <c:tx>
            <c:strRef>
              <c:f>'GENE GUN'!$A$215</c:f>
              <c:strCache>
                <c:ptCount val="1"/>
                <c:pt idx="0">
                  <c:v>Harvesting tools</c:v>
                </c:pt>
              </c:strCache>
            </c:strRef>
          </c:tx>
          <c:spPr>
            <a:solidFill>
              <a:schemeClr val="accent2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'GENE GUN'!$N$213:$O$213</c:f>
              <c:strCache>
                <c:ptCount val="2"/>
                <c:pt idx="0">
                  <c:v>System</c:v>
                </c:pt>
                <c:pt idx="1">
                  <c:v>Process Operations</c:v>
                </c:pt>
              </c:strCache>
            </c:strRef>
          </c:cat>
          <c:val>
            <c:numRef>
              <c:f>'GENE GUN'!$N$215:$O$215</c:f>
              <c:numCache>
                <c:formatCode>General</c:formatCode>
                <c:ptCount val="2"/>
              </c:numCache>
            </c:numRef>
          </c:val>
          <c:extLst>
            <c:ext xmlns:c16="http://schemas.microsoft.com/office/drawing/2014/chart" uri="{C3380CC4-5D6E-409C-BE32-E72D297353CC}">
              <c16:uniqueId val="{00000071-6A51-4617-9245-8805E499B517}"/>
            </c:ext>
          </c:extLst>
        </c:ser>
        <c:ser>
          <c:idx val="2"/>
          <c:order val="2"/>
          <c:tx>
            <c:strRef>
              <c:f>'GENE GUN'!$A$216</c:f>
              <c:strCache>
                <c:ptCount val="1"/>
                <c:pt idx="0">
                  <c:v>Refrigerator/Freezer</c:v>
                </c:pt>
              </c:strCache>
            </c:strRef>
          </c:tx>
          <c:spPr>
            <a:solidFill>
              <a:schemeClr val="accent5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'GENE GUN'!$N$213:$O$213</c:f>
              <c:strCache>
                <c:ptCount val="2"/>
                <c:pt idx="0">
                  <c:v>System</c:v>
                </c:pt>
                <c:pt idx="1">
                  <c:v>Process Operations</c:v>
                </c:pt>
              </c:strCache>
            </c:strRef>
          </c:cat>
          <c:val>
            <c:numRef>
              <c:f>'GENE GUN'!$N$216:$O$216</c:f>
              <c:numCache>
                <c:formatCode>General</c:formatCode>
                <c:ptCount val="2"/>
              </c:numCache>
            </c:numRef>
          </c:val>
          <c:extLst>
            <c:ext xmlns:c16="http://schemas.microsoft.com/office/drawing/2014/chart" uri="{C3380CC4-5D6E-409C-BE32-E72D297353CC}">
              <c16:uniqueId val="{00000073-6A51-4617-9245-8805E499B517}"/>
            </c:ext>
          </c:extLst>
        </c:ser>
        <c:ser>
          <c:idx val="3"/>
          <c:order val="3"/>
          <c:tx>
            <c:strRef>
              <c:f>'GENE GUN'!$A$217</c:f>
              <c:strCache>
                <c:ptCount val="1"/>
                <c:pt idx="0">
                  <c:v>Lighting panels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'GENE GUN'!$N$213:$O$213</c:f>
              <c:strCache>
                <c:ptCount val="2"/>
                <c:pt idx="0">
                  <c:v>System</c:v>
                </c:pt>
                <c:pt idx="1">
                  <c:v>Process Operations</c:v>
                </c:pt>
              </c:strCache>
            </c:strRef>
          </c:cat>
          <c:val>
            <c:numRef>
              <c:f>'GENE GUN'!$N$217:$O$217</c:f>
              <c:numCache>
                <c:formatCode>General</c:formatCode>
                <c:ptCount val="2"/>
              </c:numCache>
            </c:numRef>
          </c:val>
          <c:extLst>
            <c:ext xmlns:c16="http://schemas.microsoft.com/office/drawing/2014/chart" uri="{C3380CC4-5D6E-409C-BE32-E72D297353CC}">
              <c16:uniqueId val="{00000075-6A51-4617-9245-8805E499B517}"/>
            </c:ext>
          </c:extLst>
        </c:ser>
        <c:ser>
          <c:idx val="4"/>
          <c:order val="4"/>
          <c:tx>
            <c:strRef>
              <c:f>'GENE GUN'!$A$218</c:f>
              <c:strCache>
                <c:ptCount val="1"/>
                <c:pt idx="0">
                  <c:v>Plant growth chamber</c:v>
                </c:pt>
              </c:strCache>
            </c:strRef>
          </c:tx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strRef>
              <c:f>'GENE GUN'!$N$213:$O$213</c:f>
              <c:strCache>
                <c:ptCount val="2"/>
                <c:pt idx="0">
                  <c:v>System</c:v>
                </c:pt>
                <c:pt idx="1">
                  <c:v>Process Operations</c:v>
                </c:pt>
              </c:strCache>
            </c:strRef>
          </c:cat>
          <c:val>
            <c:numRef>
              <c:f>'GENE GUN'!$N$218:$O$218</c:f>
              <c:numCache>
                <c:formatCode>General</c:formatCode>
                <c:ptCount val="2"/>
              </c:numCache>
            </c:numRef>
          </c:val>
          <c:extLst>
            <c:ext xmlns:c16="http://schemas.microsoft.com/office/drawing/2014/chart" uri="{C3380CC4-5D6E-409C-BE32-E72D297353CC}">
              <c16:uniqueId val="{00000077-6A51-4617-9245-8805E499B517}"/>
            </c:ext>
          </c:extLst>
        </c:ser>
        <c:ser>
          <c:idx val="5"/>
          <c:order val="5"/>
          <c:tx>
            <c:strRef>
              <c:f>'GENE GUN'!$A$219</c:f>
              <c:strCache>
                <c:ptCount val="1"/>
                <c:pt idx="0">
                  <c:v>Lettuce seeds</c:v>
                </c:pt>
              </c:strCache>
            </c:strRef>
          </c:tx>
          <c:spPr>
            <a:solidFill>
              <a:schemeClr val="accent4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strRef>
              <c:f>'GENE GUN'!$N$213:$O$213</c:f>
              <c:strCache>
                <c:ptCount val="2"/>
                <c:pt idx="0">
                  <c:v>System</c:v>
                </c:pt>
                <c:pt idx="1">
                  <c:v>Process Operations</c:v>
                </c:pt>
              </c:strCache>
            </c:strRef>
          </c:cat>
          <c:val>
            <c:numRef>
              <c:f>'GENE GUN'!$N$219:$O$219</c:f>
              <c:numCache>
                <c:formatCode>0.00E+00</c:formatCode>
                <c:ptCount val="2"/>
                <c:pt idx="1">
                  <c:v>2.3650000000000002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79-6A51-4617-9245-8805E499B517}"/>
            </c:ext>
          </c:extLst>
        </c:ser>
        <c:ser>
          <c:idx val="6"/>
          <c:order val="6"/>
          <c:tx>
            <c:strRef>
              <c:f>'GENE GUN'!$A$220</c:f>
              <c:strCache>
                <c:ptCount val="1"/>
                <c:pt idx="0">
                  <c:v>Water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'GENE GUN'!$N$213:$O$213</c:f>
              <c:strCache>
                <c:ptCount val="2"/>
                <c:pt idx="0">
                  <c:v>System</c:v>
                </c:pt>
                <c:pt idx="1">
                  <c:v>Process Operations</c:v>
                </c:pt>
              </c:strCache>
            </c:strRef>
          </c:cat>
          <c:val>
            <c:numRef>
              <c:f>'GENE GUN'!$N$220:$O$220</c:f>
              <c:numCache>
                <c:formatCode>0.00E+00</c:formatCode>
                <c:ptCount val="2"/>
                <c:pt idx="1">
                  <c:v>2.7213698630136989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7B-6A51-4617-9245-8805E499B517}"/>
            </c:ext>
          </c:extLst>
        </c:ser>
        <c:ser>
          <c:idx val="7"/>
          <c:order val="7"/>
          <c:tx>
            <c:strRef>
              <c:f>'GENE GUN'!$A$221</c:f>
              <c:strCache>
                <c:ptCount val="1"/>
                <c:pt idx="0">
                  <c:v>Plant nutrients</c:v>
                </c:pt>
              </c:strCache>
            </c:strRef>
          </c:tx>
          <c:spPr>
            <a:solidFill>
              <a:schemeClr val="accent4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'GENE GUN'!$N$213:$O$213</c:f>
              <c:strCache>
                <c:ptCount val="2"/>
                <c:pt idx="0">
                  <c:v>System</c:v>
                </c:pt>
                <c:pt idx="1">
                  <c:v>Process Operations</c:v>
                </c:pt>
              </c:strCache>
            </c:strRef>
          </c:cat>
          <c:val>
            <c:numRef>
              <c:f>'GENE GUN'!$N$221:$O$221</c:f>
              <c:numCache>
                <c:formatCode>0.00E+00</c:formatCode>
                <c:ptCount val="2"/>
                <c:pt idx="1">
                  <c:v>5.5652391666666672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7D-6A51-4617-9245-8805E499B517}"/>
            </c:ext>
          </c:extLst>
        </c:ser>
        <c:ser>
          <c:idx val="8"/>
          <c:order val="8"/>
          <c:tx>
            <c:strRef>
              <c:f>'GENE GUN'!$A$222</c:f>
              <c:strCache>
                <c:ptCount val="1"/>
                <c:pt idx="0">
                  <c:v>Carbon dioxide</c:v>
                </c:pt>
              </c:strCache>
            </c:strRef>
          </c:tx>
          <c:spPr>
            <a:solidFill>
              <a:schemeClr val="accent4">
                <a:lumMod val="20000"/>
                <a:lumOff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'GENE GUN'!$N$213:$O$213</c:f>
              <c:strCache>
                <c:ptCount val="2"/>
                <c:pt idx="0">
                  <c:v>System</c:v>
                </c:pt>
                <c:pt idx="1">
                  <c:v>Process Operations</c:v>
                </c:pt>
              </c:strCache>
            </c:strRef>
          </c:cat>
          <c:val>
            <c:numRef>
              <c:f>'GENE GUN'!$N$222:$O$222</c:f>
              <c:numCache>
                <c:formatCode>0.00E+00</c:formatCode>
                <c:ptCount val="2"/>
                <c:pt idx="1">
                  <c:v>32.0565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7F-6A51-4617-9245-8805E499B517}"/>
            </c:ext>
          </c:extLst>
        </c:ser>
        <c:ser>
          <c:idx val="9"/>
          <c:order val="9"/>
          <c:tx>
            <c:strRef>
              <c:f>'GENE GUN'!$A$223</c:f>
              <c:strCache>
                <c:ptCount val="1"/>
                <c:pt idx="0">
                  <c:v>Oxygen</c:v>
                </c:pt>
              </c:strCache>
            </c:strRef>
          </c:tx>
          <c:spPr>
            <a:solidFill>
              <a:srgbClr val="FFC000"/>
            </a:solidFill>
            <a:ln>
              <a:noFill/>
            </a:ln>
            <a:effectLst/>
          </c:spPr>
          <c:invertIfNegative val="0"/>
          <c:cat>
            <c:strRef>
              <c:f>'GENE GUN'!$N$213:$O$213</c:f>
              <c:strCache>
                <c:ptCount val="2"/>
                <c:pt idx="0">
                  <c:v>System</c:v>
                </c:pt>
                <c:pt idx="1">
                  <c:v>Process Operations</c:v>
                </c:pt>
              </c:strCache>
            </c:strRef>
          </c:cat>
          <c:val>
            <c:numRef>
              <c:f>'GENE GUN'!$N$223:$O$223</c:f>
              <c:numCache>
                <c:formatCode>0.00E+00</c:formatCode>
                <c:ptCount val="2"/>
              </c:numCache>
            </c:numRef>
          </c:val>
          <c:extLst>
            <c:ext xmlns:c16="http://schemas.microsoft.com/office/drawing/2014/chart" uri="{C3380CC4-5D6E-409C-BE32-E72D297353CC}">
              <c16:uniqueId val="{00000081-6A51-4617-9245-8805E499B517}"/>
            </c:ext>
          </c:extLst>
        </c:ser>
        <c:ser>
          <c:idx val="10"/>
          <c:order val="10"/>
          <c:tx>
            <c:strRef>
              <c:f>'GENE GUN'!$A$224</c:f>
              <c:strCache>
                <c:ptCount val="1"/>
                <c:pt idx="0">
                  <c:v>PTH-Fc</c:v>
                </c:pt>
              </c:strCache>
            </c:strRef>
          </c:tx>
          <c:spPr>
            <a:solidFill>
              <a:schemeClr val="accent6">
                <a:lumMod val="75000"/>
              </a:schemeClr>
            </a:solidFill>
          </c:spPr>
          <c:invertIfNegative val="0"/>
          <c:cat>
            <c:strRef>
              <c:f>'GENE GUN'!$N$213:$O$213</c:f>
              <c:strCache>
                <c:ptCount val="2"/>
                <c:pt idx="0">
                  <c:v>System</c:v>
                </c:pt>
                <c:pt idx="1">
                  <c:v>Process Operations</c:v>
                </c:pt>
              </c:strCache>
            </c:strRef>
          </c:cat>
          <c:val>
            <c:numRef>
              <c:f>'GENE GUN'!$N$224:$O$224</c:f>
              <c:numCache>
                <c:formatCode>General</c:formatCode>
                <c:ptCount val="2"/>
              </c:numCache>
            </c:numRef>
          </c:val>
          <c:extLst>
            <c:ext xmlns:c16="http://schemas.microsoft.com/office/drawing/2014/chart" uri="{C3380CC4-5D6E-409C-BE32-E72D297353CC}">
              <c16:uniqueId val="{00000083-6A51-4617-9245-8805E499B517}"/>
            </c:ext>
          </c:extLst>
        </c:ser>
        <c:ser>
          <c:idx val="11"/>
          <c:order val="11"/>
          <c:tx>
            <c:strRef>
              <c:f>'GENE GUN'!$A$225</c:f>
              <c:strCache>
                <c:ptCount val="1"/>
                <c:pt idx="0">
                  <c:v>Plant biomass</c:v>
                </c:pt>
              </c:strCache>
            </c:strRef>
          </c:tx>
          <c:spPr>
            <a:solidFill>
              <a:schemeClr val="accent3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'GENE GUN'!$N$213:$O$213</c:f>
              <c:strCache>
                <c:ptCount val="2"/>
                <c:pt idx="0">
                  <c:v>System</c:v>
                </c:pt>
                <c:pt idx="1">
                  <c:v>Process Operations</c:v>
                </c:pt>
              </c:strCache>
            </c:strRef>
          </c:cat>
          <c:val>
            <c:numRef>
              <c:f>'GENE GUN'!$N$225:$O$225</c:f>
              <c:numCache>
                <c:formatCode>0.00E+00</c:formatCode>
                <c:ptCount val="2"/>
                <c:pt idx="1">
                  <c:v>4.8901302083333338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85-6A51-4617-9245-8805E499B517}"/>
            </c:ext>
          </c:extLst>
        </c:ser>
        <c:ser>
          <c:idx val="12"/>
          <c:order val="12"/>
          <c:tx>
            <c:strRef>
              <c:f>'GENE GUN'!$A$226</c:f>
              <c:strCache>
                <c:ptCount val="1"/>
                <c:pt idx="0">
                  <c:v>Calories</c:v>
                </c:pt>
              </c:strCache>
            </c:strRef>
          </c:tx>
          <c:spPr>
            <a:solidFill>
              <a:schemeClr val="accent6">
                <a:lumMod val="60000"/>
                <a:lumOff val="40000"/>
              </a:schemeClr>
            </a:solidFill>
          </c:spPr>
          <c:invertIfNegative val="0"/>
          <c:cat>
            <c:strRef>
              <c:f>'GENE GUN'!$N$213:$O$213</c:f>
              <c:strCache>
                <c:ptCount val="2"/>
                <c:pt idx="0">
                  <c:v>System</c:v>
                </c:pt>
                <c:pt idx="1">
                  <c:v>Process Operations</c:v>
                </c:pt>
              </c:strCache>
            </c:strRef>
          </c:cat>
          <c:val>
            <c:numRef>
              <c:f>'GENE GUN'!$N$226:$O$226</c:f>
              <c:numCache>
                <c:formatCode>General</c:formatCode>
                <c:ptCount val="2"/>
              </c:numCache>
            </c:numRef>
          </c:val>
          <c:extLst>
            <c:ext xmlns:c16="http://schemas.microsoft.com/office/drawing/2014/chart" uri="{C3380CC4-5D6E-409C-BE32-E72D297353CC}">
              <c16:uniqueId val="{00000087-6A51-4617-9245-8805E499B517}"/>
            </c:ext>
          </c:extLst>
        </c:ser>
        <c:ser>
          <c:idx val="13"/>
          <c:order val="13"/>
          <c:tx>
            <c:strRef>
              <c:f>'GENE GUN'!$A$227</c:f>
              <c:strCache>
                <c:ptCount val="1"/>
                <c:pt idx="0">
                  <c:v>Macronutrients</c:v>
                </c:pt>
              </c:strCache>
            </c:strRef>
          </c:tx>
          <c:spPr>
            <a:solidFill>
              <a:schemeClr val="accent6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'GENE GUN'!$N$213:$O$213</c:f>
              <c:strCache>
                <c:ptCount val="2"/>
                <c:pt idx="0">
                  <c:v>System</c:v>
                </c:pt>
                <c:pt idx="1">
                  <c:v>Process Operations</c:v>
                </c:pt>
              </c:strCache>
            </c:strRef>
          </c:cat>
          <c:val>
            <c:numRef>
              <c:f>'GENE GUN'!$N$227:$O$227</c:f>
              <c:numCache>
                <c:formatCode>General</c:formatCode>
                <c:ptCount val="2"/>
              </c:numCache>
            </c:numRef>
          </c:val>
          <c:extLst>
            <c:ext xmlns:c16="http://schemas.microsoft.com/office/drawing/2014/chart" uri="{C3380CC4-5D6E-409C-BE32-E72D297353CC}">
              <c16:uniqueId val="{00000089-6A51-4617-9245-8805E499B517}"/>
            </c:ext>
          </c:extLst>
        </c:ser>
        <c:ser>
          <c:idx val="14"/>
          <c:order val="14"/>
          <c:tx>
            <c:strRef>
              <c:f>'GENE GUN'!$A$228</c:f>
              <c:strCache>
                <c:ptCount val="1"/>
                <c:pt idx="0">
                  <c:v>Micronutrients</c:v>
                </c:pt>
              </c:strCache>
            </c:strRef>
          </c:tx>
          <c:spPr>
            <a:solidFill>
              <a:schemeClr val="accent6">
                <a:lumMod val="20000"/>
                <a:lumOff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'GENE GUN'!$N$213:$O$213</c:f>
              <c:strCache>
                <c:ptCount val="2"/>
                <c:pt idx="0">
                  <c:v>System</c:v>
                </c:pt>
                <c:pt idx="1">
                  <c:v>Process Operations</c:v>
                </c:pt>
              </c:strCache>
            </c:strRef>
          </c:cat>
          <c:val>
            <c:numRef>
              <c:f>'GENE GUN'!$N$228:$O$228</c:f>
              <c:numCache>
                <c:formatCode>General</c:formatCode>
                <c:ptCount val="2"/>
              </c:numCache>
            </c:numRef>
          </c:val>
          <c:extLst>
            <c:ext xmlns:c16="http://schemas.microsoft.com/office/drawing/2014/chart" uri="{C3380CC4-5D6E-409C-BE32-E72D297353CC}">
              <c16:uniqueId val="{0000008B-6A51-4617-9245-8805E499B517}"/>
            </c:ext>
          </c:extLst>
        </c:ser>
        <c:ser>
          <c:idx val="15"/>
          <c:order val="15"/>
          <c:tx>
            <c:strRef>
              <c:f>'GENE GUN'!$A$229</c:f>
              <c:strCache>
                <c:ptCount val="1"/>
                <c:pt idx="0">
                  <c:v>Biomass waste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'GENE GUN'!$N$213:$O$213</c:f>
              <c:strCache>
                <c:ptCount val="2"/>
                <c:pt idx="0">
                  <c:v>System</c:v>
                </c:pt>
                <c:pt idx="1">
                  <c:v>Process Operations</c:v>
                </c:pt>
              </c:strCache>
            </c:strRef>
          </c:cat>
          <c:val>
            <c:numRef>
              <c:f>'GENE GUN'!$N$229:$O$229</c:f>
              <c:numCache>
                <c:formatCode>General</c:formatCode>
                <c:ptCount val="2"/>
              </c:numCache>
            </c:numRef>
          </c:val>
          <c:extLst>
            <c:ext xmlns:c16="http://schemas.microsoft.com/office/drawing/2014/chart" uri="{C3380CC4-5D6E-409C-BE32-E72D297353CC}">
              <c16:uniqueId val="{0000008D-6A51-4617-9245-8805E499B517}"/>
            </c:ext>
          </c:extLst>
        </c:ser>
        <c:ser>
          <c:idx val="16"/>
          <c:order val="16"/>
          <c:tx>
            <c:strRef>
              <c:f>'GENE GUN'!$A$230</c:f>
              <c:strCache>
                <c:ptCount val="1"/>
                <c:pt idx="0">
                  <c:v>Gene Gun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  <a:effectLst/>
          </c:spPr>
          <c:invertIfNegative val="0"/>
          <c:cat>
            <c:strRef>
              <c:f>'GENE GUN'!$N$213:$O$213</c:f>
              <c:strCache>
                <c:ptCount val="2"/>
                <c:pt idx="0">
                  <c:v>System</c:v>
                </c:pt>
                <c:pt idx="1">
                  <c:v>Process Operations</c:v>
                </c:pt>
              </c:strCache>
            </c:strRef>
          </c:cat>
          <c:val>
            <c:numRef>
              <c:f>'GENE GUN'!$N$230:$O$230</c:f>
              <c:numCache>
                <c:formatCode>0.00E+00</c:formatCode>
                <c:ptCount val="2"/>
                <c:pt idx="1">
                  <c:v>16559.3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8F-6A51-4617-9245-8805E499B517}"/>
            </c:ext>
          </c:extLst>
        </c:ser>
        <c:ser>
          <c:idx val="17"/>
          <c:order val="17"/>
          <c:tx>
            <c:strRef>
              <c:f>'GENE GUN'!$A$231</c:f>
              <c:strCache>
                <c:ptCount val="1"/>
                <c:pt idx="0">
                  <c:v>Connector tubing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cat>
            <c:strRef>
              <c:f>'GENE GUN'!$N$213:$O$213</c:f>
              <c:strCache>
                <c:ptCount val="2"/>
                <c:pt idx="0">
                  <c:v>System</c:v>
                </c:pt>
                <c:pt idx="1">
                  <c:v>Process Operations</c:v>
                </c:pt>
              </c:strCache>
            </c:strRef>
          </c:cat>
          <c:val>
            <c:numRef>
              <c:f>'GENE GUN'!$N$231:$O$231</c:f>
              <c:numCache>
                <c:formatCode>General</c:formatCode>
                <c:ptCount val="2"/>
              </c:numCache>
            </c:numRef>
          </c:val>
          <c:extLst>
            <c:ext xmlns:c16="http://schemas.microsoft.com/office/drawing/2014/chart" uri="{C3380CC4-5D6E-409C-BE32-E72D297353CC}">
              <c16:uniqueId val="{00000091-6A51-4617-9245-8805E499B517}"/>
            </c:ext>
          </c:extLst>
        </c:ser>
        <c:ser>
          <c:idx val="18"/>
          <c:order val="18"/>
          <c:tx>
            <c:strRef>
              <c:f>'GENE GUN'!$A$232</c:f>
              <c:strCache>
                <c:ptCount val="1"/>
                <c:pt idx="0">
                  <c:v>Gas cylinder</c:v>
                </c:pt>
              </c:strCache>
            </c:strRef>
          </c:tx>
          <c:invertIfNegative val="0"/>
          <c:cat>
            <c:strRef>
              <c:f>'GENE GUN'!$N$213:$O$213</c:f>
              <c:strCache>
                <c:ptCount val="2"/>
                <c:pt idx="0">
                  <c:v>System</c:v>
                </c:pt>
                <c:pt idx="1">
                  <c:v>Process Operations</c:v>
                </c:pt>
              </c:strCache>
            </c:strRef>
          </c:cat>
          <c:val>
            <c:numRef>
              <c:f>'GENE GUN'!$N$232:$O$232</c:f>
              <c:numCache>
                <c:formatCode>General</c:formatCode>
                <c:ptCount val="2"/>
              </c:numCache>
            </c:numRef>
          </c:val>
          <c:extLst>
            <c:ext xmlns:c16="http://schemas.microsoft.com/office/drawing/2014/chart" uri="{C3380CC4-5D6E-409C-BE32-E72D297353CC}">
              <c16:uniqueId val="{00000093-6A51-4617-9245-8805E499B517}"/>
            </c:ext>
          </c:extLst>
        </c:ser>
        <c:ser>
          <c:idx val="19"/>
          <c:order val="19"/>
          <c:tx>
            <c:strRef>
              <c:f>'GENE GUN'!$A$233</c:f>
              <c:strCache>
                <c:ptCount val="1"/>
                <c:pt idx="0">
                  <c:v>Gas regulator</c:v>
                </c:pt>
              </c:strCache>
            </c:strRef>
          </c:tx>
          <c:invertIfNegative val="0"/>
          <c:cat>
            <c:strRef>
              <c:f>'GENE GUN'!$N$213:$O$213</c:f>
              <c:strCache>
                <c:ptCount val="2"/>
                <c:pt idx="0">
                  <c:v>System</c:v>
                </c:pt>
                <c:pt idx="1">
                  <c:v>Process Operations</c:v>
                </c:pt>
              </c:strCache>
            </c:strRef>
          </c:cat>
          <c:val>
            <c:numRef>
              <c:f>'GENE GUN'!$N$233:$O$233</c:f>
              <c:numCache>
                <c:formatCode>General</c:formatCode>
                <c:ptCount val="2"/>
              </c:numCache>
            </c:numRef>
          </c:val>
          <c:extLst>
            <c:ext xmlns:c16="http://schemas.microsoft.com/office/drawing/2014/chart" uri="{C3380CC4-5D6E-409C-BE32-E72D297353CC}">
              <c16:uniqueId val="{00000095-6A51-4617-9245-8805E499B517}"/>
            </c:ext>
          </c:extLst>
        </c:ser>
        <c:ser>
          <c:idx val="20"/>
          <c:order val="20"/>
          <c:tx>
            <c:strRef>
              <c:f>'GENE GUN'!$A$234</c:f>
              <c:strCache>
                <c:ptCount val="1"/>
                <c:pt idx="0">
                  <c:v>Cartrdige extractor </c:v>
                </c:pt>
              </c:strCache>
            </c:strRef>
          </c:tx>
          <c:invertIfNegative val="0"/>
          <c:cat>
            <c:strRef>
              <c:f>'GENE GUN'!$N$213:$O$213</c:f>
              <c:strCache>
                <c:ptCount val="2"/>
                <c:pt idx="0">
                  <c:v>System</c:v>
                </c:pt>
                <c:pt idx="1">
                  <c:v>Process Operations</c:v>
                </c:pt>
              </c:strCache>
            </c:strRef>
          </c:cat>
          <c:val>
            <c:numRef>
              <c:f>'GENE GUN'!$N$234:$O$234</c:f>
              <c:numCache>
                <c:formatCode>General</c:formatCode>
                <c:ptCount val="2"/>
              </c:numCache>
            </c:numRef>
          </c:val>
          <c:extLst>
            <c:ext xmlns:c16="http://schemas.microsoft.com/office/drawing/2014/chart" uri="{C3380CC4-5D6E-409C-BE32-E72D297353CC}">
              <c16:uniqueId val="{00000097-6A51-4617-9245-8805E499B517}"/>
            </c:ext>
          </c:extLst>
        </c:ser>
        <c:ser>
          <c:idx val="21"/>
          <c:order val="21"/>
          <c:tx>
            <c:strRef>
              <c:f>'GENE GUN'!$A$235</c:f>
              <c:strCache>
                <c:ptCount val="1"/>
                <c:pt idx="0">
                  <c:v>Ear protection</c:v>
                </c:pt>
              </c:strCache>
            </c:strRef>
          </c:tx>
          <c:invertIfNegative val="0"/>
          <c:cat>
            <c:strRef>
              <c:f>'GENE GUN'!$N$213:$O$213</c:f>
              <c:strCache>
                <c:ptCount val="2"/>
                <c:pt idx="0">
                  <c:v>System</c:v>
                </c:pt>
                <c:pt idx="1">
                  <c:v>Process Operations</c:v>
                </c:pt>
              </c:strCache>
            </c:strRef>
          </c:cat>
          <c:val>
            <c:numRef>
              <c:f>'GENE GUN'!$N$235:$O$235</c:f>
              <c:numCache>
                <c:formatCode>General</c:formatCode>
                <c:ptCount val="2"/>
              </c:numCache>
            </c:numRef>
          </c:val>
          <c:extLst>
            <c:ext xmlns:c16="http://schemas.microsoft.com/office/drawing/2014/chart" uri="{C3380CC4-5D6E-409C-BE32-E72D297353CC}">
              <c16:uniqueId val="{00000099-6A51-4617-9245-8805E499B517}"/>
            </c:ext>
          </c:extLst>
        </c:ser>
        <c:ser>
          <c:idx val="22"/>
          <c:order val="22"/>
          <c:tx>
            <c:strRef>
              <c:f>'GENE GUN'!$A$236</c:f>
              <c:strCache>
                <c:ptCount val="1"/>
                <c:pt idx="0">
                  <c:v>Eye protection</c:v>
                </c:pt>
              </c:strCache>
            </c:strRef>
          </c:tx>
          <c:invertIfNegative val="0"/>
          <c:cat>
            <c:strRef>
              <c:f>'GENE GUN'!$N$213:$O$213</c:f>
              <c:strCache>
                <c:ptCount val="2"/>
                <c:pt idx="0">
                  <c:v>System</c:v>
                </c:pt>
                <c:pt idx="1">
                  <c:v>Process Operations</c:v>
                </c:pt>
              </c:strCache>
            </c:strRef>
          </c:cat>
          <c:val>
            <c:numRef>
              <c:f>'GENE GUN'!$N$236:$O$236</c:f>
              <c:numCache>
                <c:formatCode>General</c:formatCode>
                <c:ptCount val="2"/>
              </c:numCache>
            </c:numRef>
          </c:val>
          <c:extLst>
            <c:ext xmlns:c16="http://schemas.microsoft.com/office/drawing/2014/chart" uri="{C3380CC4-5D6E-409C-BE32-E72D297353CC}">
              <c16:uniqueId val="{0000009B-6A51-4617-9245-8805E499B517}"/>
            </c:ext>
          </c:extLst>
        </c:ser>
        <c:ser>
          <c:idx val="23"/>
          <c:order val="23"/>
          <c:tx>
            <c:strRef>
              <c:f>'GENE GUN'!$A$237</c:f>
              <c:strCache>
                <c:ptCount val="1"/>
                <c:pt idx="0">
                  <c:v>Bullets</c:v>
                </c:pt>
              </c:strCache>
            </c:strRef>
          </c:tx>
          <c:invertIfNegative val="0"/>
          <c:cat>
            <c:strRef>
              <c:f>'GENE GUN'!$N$213:$O$213</c:f>
              <c:strCache>
                <c:ptCount val="2"/>
                <c:pt idx="0">
                  <c:v>System</c:v>
                </c:pt>
                <c:pt idx="1">
                  <c:v>Process Operations</c:v>
                </c:pt>
              </c:strCache>
            </c:strRef>
          </c:cat>
          <c:val>
            <c:numRef>
              <c:f>'GENE GUN'!$N$237:$O$237</c:f>
              <c:numCache>
                <c:formatCode>General</c:formatCode>
                <c:ptCount val="2"/>
              </c:numCache>
            </c:numRef>
          </c:val>
          <c:extLst>
            <c:ext xmlns:c16="http://schemas.microsoft.com/office/drawing/2014/chart" uri="{C3380CC4-5D6E-409C-BE32-E72D297353CC}">
              <c16:uniqueId val="{0000009D-6A51-4617-9245-8805E499B517}"/>
            </c:ext>
          </c:extLst>
        </c:ser>
        <c:ser>
          <c:idx val="24"/>
          <c:order val="24"/>
          <c:tx>
            <c:strRef>
              <c:f>'GENE GUN'!$A$238</c:f>
              <c:strCache>
                <c:ptCount val="1"/>
                <c:pt idx="0">
                  <c:v>Battery</c:v>
                </c:pt>
              </c:strCache>
            </c:strRef>
          </c:tx>
          <c:invertIfNegative val="0"/>
          <c:cat>
            <c:strRef>
              <c:f>'GENE GUN'!$N$213:$O$213</c:f>
              <c:strCache>
                <c:ptCount val="2"/>
                <c:pt idx="0">
                  <c:v>System</c:v>
                </c:pt>
                <c:pt idx="1">
                  <c:v>Process Operations</c:v>
                </c:pt>
              </c:strCache>
            </c:strRef>
          </c:cat>
          <c:val>
            <c:numRef>
              <c:f>'GENE GUN'!$N$238:$O$238</c:f>
              <c:numCache>
                <c:formatCode>General</c:formatCode>
                <c:ptCount val="2"/>
              </c:numCache>
            </c:numRef>
          </c:val>
          <c:extLst>
            <c:ext xmlns:c16="http://schemas.microsoft.com/office/drawing/2014/chart" uri="{C3380CC4-5D6E-409C-BE32-E72D297353CC}">
              <c16:uniqueId val="{0000009F-6A51-4617-9245-8805E499B517}"/>
            </c:ext>
          </c:extLst>
        </c:ser>
        <c:ser>
          <c:idx val="25"/>
          <c:order val="25"/>
          <c:tx>
            <c:strRef>
              <c:f>'GENE GUN'!$A$239</c:f>
              <c:strCache>
                <c:ptCount val="1"/>
                <c:pt idx="0">
                  <c:v>Bullet holder vial</c:v>
                </c:pt>
              </c:strCache>
            </c:strRef>
          </c:tx>
          <c:invertIfNegative val="0"/>
          <c:cat>
            <c:strRef>
              <c:f>'GENE GUN'!$N$213:$O$213</c:f>
              <c:strCache>
                <c:ptCount val="2"/>
                <c:pt idx="0">
                  <c:v>System</c:v>
                </c:pt>
                <c:pt idx="1">
                  <c:v>Process Operations</c:v>
                </c:pt>
              </c:strCache>
            </c:strRef>
          </c:cat>
          <c:val>
            <c:numRef>
              <c:f>'GENE GUN'!$N$239:$O$239</c:f>
              <c:numCache>
                <c:formatCode>General</c:formatCode>
                <c:ptCount val="2"/>
              </c:numCache>
            </c:numRef>
          </c:val>
          <c:extLst>
            <c:ext xmlns:c16="http://schemas.microsoft.com/office/drawing/2014/chart" uri="{C3380CC4-5D6E-409C-BE32-E72D297353CC}">
              <c16:uniqueId val="{000000A1-6A51-4617-9245-8805E499B517}"/>
            </c:ext>
          </c:extLst>
        </c:ser>
        <c:ser>
          <c:idx val="26"/>
          <c:order val="26"/>
          <c:tx>
            <c:strRef>
              <c:f>'GENE GUN'!$A$240</c:f>
              <c:strCache>
                <c:ptCount val="1"/>
                <c:pt idx="0">
                  <c:v>Dessicant pack</c:v>
                </c:pt>
              </c:strCache>
            </c:strRef>
          </c:tx>
          <c:invertIfNegative val="0"/>
          <c:cat>
            <c:strRef>
              <c:f>'GENE GUN'!$N$213:$O$213</c:f>
              <c:strCache>
                <c:ptCount val="2"/>
                <c:pt idx="0">
                  <c:v>System</c:v>
                </c:pt>
                <c:pt idx="1">
                  <c:v>Process Operations</c:v>
                </c:pt>
              </c:strCache>
            </c:strRef>
          </c:cat>
          <c:val>
            <c:numRef>
              <c:f>'GENE GUN'!$N$240:$O$240</c:f>
              <c:numCache>
                <c:formatCode>General</c:formatCode>
                <c:ptCount val="2"/>
              </c:numCache>
            </c:numRef>
          </c:val>
          <c:extLst>
            <c:ext xmlns:c16="http://schemas.microsoft.com/office/drawing/2014/chart" uri="{C3380CC4-5D6E-409C-BE32-E72D297353CC}">
              <c16:uniqueId val="{000000A3-6A51-4617-9245-8805E499B5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0"/>
        <c:overlap val="100"/>
        <c:axId val="312382031"/>
        <c:axId val="312385871"/>
      </c:barChart>
      <c:catAx>
        <c:axId val="3123820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2385871"/>
        <c:crosses val="autoZero"/>
        <c:auto val="1"/>
        <c:lblAlgn val="ctr"/>
        <c:lblOffset val="100"/>
        <c:noMultiLvlLbl val="0"/>
      </c:catAx>
      <c:valAx>
        <c:axId val="312385871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 marL="0" marR="0" lvl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0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1" i="0" u="none" strike="noStrike" kern="1200" baseline="0">
                    <a:solidFill>
                      <a:sysClr val="windowText" lastClr="000000"/>
                    </a:solidFill>
                  </a:rPr>
                  <a:t>Crewtime (CM-hr/CM/Mission)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#,##0" sourceLinked="0"/>
        <c:majorTickMark val="out"/>
        <c:minorTickMark val="none"/>
        <c:tickLblPos val="nextTo"/>
        <c:spPr>
          <a:noFill/>
          <a:ln w="9525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2382031"/>
        <c:crosses val="autoZero"/>
        <c:crossBetween val="between"/>
      </c:valAx>
      <c:spPr>
        <a:ln>
          <a:solidFill>
            <a:schemeClr val="tx1"/>
          </a:solidFill>
        </a:ln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2"/>
      </a:solidFill>
      <a:round/>
    </a:ln>
    <a:effectLst/>
  </c:spPr>
  <c:txPr>
    <a:bodyPr/>
    <a:lstStyle/>
    <a:p>
      <a:pPr>
        <a:defRPr sz="1000" b="1"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none" strike="noStrike" kern="1200" spc="0" baseline="0">
                <a:solidFill>
                  <a:sysClr val="windowText" lastClr="000000"/>
                </a:solidFill>
              </a:rPr>
              <a:t>AGRO Mass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AGRO!$A$295</c:f>
              <c:strCache>
                <c:ptCount val="1"/>
                <c:pt idx="0">
                  <c:v>Harvesting container</c:v>
                </c:pt>
              </c:strCache>
            </c:strRef>
          </c:tx>
          <c:spPr>
            <a:solidFill>
              <a:schemeClr val="accent2">
                <a:lumMod val="20000"/>
                <a:lumOff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AGRO!$B$294:$E$294</c:f>
              <c:strCache>
                <c:ptCount val="4"/>
                <c:pt idx="0">
                  <c:v>System</c:v>
                </c:pt>
                <c:pt idx="1">
                  <c:v>Input</c:v>
                </c:pt>
                <c:pt idx="2">
                  <c:v>Output</c:v>
                </c:pt>
                <c:pt idx="3">
                  <c:v>Waste</c:v>
                </c:pt>
              </c:strCache>
            </c:strRef>
          </c:cat>
          <c:val>
            <c:numRef>
              <c:f>AGRO!$B$295:$E$295</c:f>
              <c:numCache>
                <c:formatCode>General</c:formatCode>
                <c:ptCount val="4"/>
                <c:pt idx="0" formatCode="0.00E+00">
                  <c:v>1.3825423199999999E-2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5-19C4-40D8-BEF7-BC7E4956FBEC}"/>
            </c:ext>
          </c:extLst>
        </c:ser>
        <c:ser>
          <c:idx val="1"/>
          <c:order val="1"/>
          <c:tx>
            <c:strRef>
              <c:f>AGRO!$A$296</c:f>
              <c:strCache>
                <c:ptCount val="1"/>
                <c:pt idx="0">
                  <c:v>Harvesting tools</c:v>
                </c:pt>
              </c:strCache>
            </c:strRef>
          </c:tx>
          <c:spPr>
            <a:solidFill>
              <a:schemeClr val="accent2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AGRO!$B$294:$E$294</c:f>
              <c:strCache>
                <c:ptCount val="4"/>
                <c:pt idx="0">
                  <c:v>System</c:v>
                </c:pt>
                <c:pt idx="1">
                  <c:v>Input</c:v>
                </c:pt>
                <c:pt idx="2">
                  <c:v>Output</c:v>
                </c:pt>
                <c:pt idx="3">
                  <c:v>Waste</c:v>
                </c:pt>
              </c:strCache>
            </c:strRef>
          </c:cat>
          <c:val>
            <c:numRef>
              <c:f>AGRO!$B$296:$E$296</c:f>
              <c:numCache>
                <c:formatCode>General</c:formatCode>
                <c:ptCount val="4"/>
                <c:pt idx="0" formatCode="0.00E+00">
                  <c:v>3.4018333333333338E-2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7-19C4-40D8-BEF7-BC7E4956FBEC}"/>
            </c:ext>
          </c:extLst>
        </c:ser>
        <c:ser>
          <c:idx val="2"/>
          <c:order val="2"/>
          <c:tx>
            <c:strRef>
              <c:f>AGRO!$A$297</c:f>
              <c:strCache>
                <c:ptCount val="1"/>
                <c:pt idx="0">
                  <c:v>Refrigerator/Freezer</c:v>
                </c:pt>
              </c:strCache>
            </c:strRef>
          </c:tx>
          <c:spPr>
            <a:solidFill>
              <a:schemeClr val="accent5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AGRO!$B$294:$E$294</c:f>
              <c:strCache>
                <c:ptCount val="4"/>
                <c:pt idx="0">
                  <c:v>System</c:v>
                </c:pt>
                <c:pt idx="1">
                  <c:v>Input</c:v>
                </c:pt>
                <c:pt idx="2">
                  <c:v>Output</c:v>
                </c:pt>
                <c:pt idx="3">
                  <c:v>Waste</c:v>
                </c:pt>
              </c:strCache>
            </c:strRef>
          </c:cat>
          <c:val>
            <c:numRef>
              <c:f>AGRO!$B$297:$E$297</c:f>
              <c:numCache>
                <c:formatCode>General</c:formatCode>
                <c:ptCount val="4"/>
                <c:pt idx="0" formatCode="0.00E+00">
                  <c:v>412.01005361930294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9-19C4-40D8-BEF7-BC7E4956FBEC}"/>
            </c:ext>
          </c:extLst>
        </c:ser>
        <c:ser>
          <c:idx val="3"/>
          <c:order val="3"/>
          <c:tx>
            <c:strRef>
              <c:f>AGRO!$A$298</c:f>
              <c:strCache>
                <c:ptCount val="1"/>
                <c:pt idx="0">
                  <c:v>Lighting panels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AGRO!$B$294:$E$294</c:f>
              <c:strCache>
                <c:ptCount val="4"/>
                <c:pt idx="0">
                  <c:v>System</c:v>
                </c:pt>
                <c:pt idx="1">
                  <c:v>Input</c:v>
                </c:pt>
                <c:pt idx="2">
                  <c:v>Output</c:v>
                </c:pt>
                <c:pt idx="3">
                  <c:v>Waste</c:v>
                </c:pt>
              </c:strCache>
            </c:strRef>
          </c:cat>
          <c:val>
            <c:numRef>
              <c:f>AGRO!$B$298:$E$298</c:f>
              <c:numCache>
                <c:formatCode>General</c:formatCode>
                <c:ptCount val="4"/>
                <c:pt idx="0" formatCode="0.00E+00">
                  <c:v>0.24299999999999999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B-19C4-40D8-BEF7-BC7E4956FBEC}"/>
            </c:ext>
          </c:extLst>
        </c:ser>
        <c:ser>
          <c:idx val="4"/>
          <c:order val="4"/>
          <c:tx>
            <c:strRef>
              <c:f>AGRO!$A$299</c:f>
              <c:strCache>
                <c:ptCount val="1"/>
                <c:pt idx="0">
                  <c:v>Plant growth chamber</c:v>
                </c:pt>
              </c:strCache>
            </c:strRef>
          </c:tx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strRef>
              <c:f>AGRO!$B$294:$E$294</c:f>
              <c:strCache>
                <c:ptCount val="4"/>
                <c:pt idx="0">
                  <c:v>System</c:v>
                </c:pt>
                <c:pt idx="1">
                  <c:v>Input</c:v>
                </c:pt>
                <c:pt idx="2">
                  <c:v>Output</c:v>
                </c:pt>
                <c:pt idx="3">
                  <c:v>Waste</c:v>
                </c:pt>
              </c:strCache>
            </c:strRef>
          </c:cat>
          <c:val>
            <c:numRef>
              <c:f>AGRO!$B$299:$E$299</c:f>
              <c:numCache>
                <c:formatCode>General</c:formatCode>
                <c:ptCount val="4"/>
                <c:pt idx="0" formatCode="0.00E+00">
                  <c:v>3.2607899999999987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D-19C4-40D8-BEF7-BC7E4956FBEC}"/>
            </c:ext>
          </c:extLst>
        </c:ser>
        <c:ser>
          <c:idx val="5"/>
          <c:order val="5"/>
          <c:tx>
            <c:strRef>
              <c:f>AGRO!$A$300</c:f>
              <c:strCache>
                <c:ptCount val="1"/>
                <c:pt idx="0">
                  <c:v>N benthamiana seeds</c:v>
                </c:pt>
              </c:strCache>
            </c:strRef>
          </c:tx>
          <c:spPr>
            <a:solidFill>
              <a:schemeClr val="accent4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strRef>
              <c:f>AGRO!$B$294:$E$294</c:f>
              <c:strCache>
                <c:ptCount val="4"/>
                <c:pt idx="0">
                  <c:v>System</c:v>
                </c:pt>
                <c:pt idx="1">
                  <c:v>Input</c:v>
                </c:pt>
                <c:pt idx="2">
                  <c:v>Output</c:v>
                </c:pt>
                <c:pt idx="3">
                  <c:v>Waste</c:v>
                </c:pt>
              </c:strCache>
            </c:strRef>
          </c:cat>
          <c:val>
            <c:numRef>
              <c:f>AGRO!$B$300:$E$300</c:f>
              <c:numCache>
                <c:formatCode>0.00E+00</c:formatCode>
                <c:ptCount val="4"/>
                <c:pt idx="1">
                  <c:v>0.1475072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F-19C4-40D8-BEF7-BC7E4956FBEC}"/>
            </c:ext>
          </c:extLst>
        </c:ser>
        <c:ser>
          <c:idx val="6"/>
          <c:order val="6"/>
          <c:tx>
            <c:strRef>
              <c:f>AGRO!$A$301</c:f>
              <c:strCache>
                <c:ptCount val="1"/>
                <c:pt idx="0">
                  <c:v>Water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AGRO!$B$294:$E$294</c:f>
              <c:strCache>
                <c:ptCount val="4"/>
                <c:pt idx="0">
                  <c:v>System</c:v>
                </c:pt>
                <c:pt idx="1">
                  <c:v>Input</c:v>
                </c:pt>
                <c:pt idx="2">
                  <c:v>Output</c:v>
                </c:pt>
                <c:pt idx="3">
                  <c:v>Waste</c:v>
                </c:pt>
              </c:strCache>
            </c:strRef>
          </c:cat>
          <c:val>
            <c:numRef>
              <c:f>AGRO!$B$301:$E$301</c:f>
              <c:numCache>
                <c:formatCode>0.00E+00</c:formatCode>
                <c:ptCount val="4"/>
                <c:pt idx="1">
                  <c:v>57.809149337122498</c:v>
                </c:pt>
                <c:pt idx="2">
                  <c:v>39.317930543093169</c:v>
                </c:pt>
                <c:pt idx="3" formatCode="General">
                  <c:v>11.3391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1-19C4-40D8-BEF7-BC7E4956FBEC}"/>
            </c:ext>
          </c:extLst>
        </c:ser>
        <c:ser>
          <c:idx val="7"/>
          <c:order val="7"/>
          <c:tx>
            <c:strRef>
              <c:f>AGRO!$A$302</c:f>
              <c:strCache>
                <c:ptCount val="1"/>
                <c:pt idx="0">
                  <c:v>Plant growth nutrients</c:v>
                </c:pt>
              </c:strCache>
            </c:strRef>
          </c:tx>
          <c:spPr>
            <a:solidFill>
              <a:schemeClr val="accent4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AGRO!$B$294:$E$294</c:f>
              <c:strCache>
                <c:ptCount val="4"/>
                <c:pt idx="0">
                  <c:v>System</c:v>
                </c:pt>
                <c:pt idx="1">
                  <c:v>Input</c:v>
                </c:pt>
                <c:pt idx="2">
                  <c:v>Output</c:v>
                </c:pt>
                <c:pt idx="3">
                  <c:v>Waste</c:v>
                </c:pt>
              </c:strCache>
            </c:strRef>
          </c:cat>
          <c:val>
            <c:numRef>
              <c:f>AGRO!$B$302:$E$302</c:f>
              <c:numCache>
                <c:formatCode>0.00E+00</c:formatCode>
                <c:ptCount val="4"/>
                <c:pt idx="1">
                  <c:v>1.7837063737561099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3-19C4-40D8-BEF7-BC7E4956FBEC}"/>
            </c:ext>
          </c:extLst>
        </c:ser>
        <c:ser>
          <c:idx val="8"/>
          <c:order val="8"/>
          <c:tx>
            <c:strRef>
              <c:f>AGRO!$A$303</c:f>
              <c:strCache>
                <c:ptCount val="1"/>
                <c:pt idx="0">
                  <c:v>Carbon dioxide</c:v>
                </c:pt>
              </c:strCache>
            </c:strRef>
          </c:tx>
          <c:spPr>
            <a:solidFill>
              <a:schemeClr val="accent4">
                <a:lumMod val="20000"/>
                <a:lumOff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AGRO!$B$294:$E$294</c:f>
              <c:strCache>
                <c:ptCount val="4"/>
                <c:pt idx="0">
                  <c:v>System</c:v>
                </c:pt>
                <c:pt idx="1">
                  <c:v>Input</c:v>
                </c:pt>
                <c:pt idx="2">
                  <c:v>Output</c:v>
                </c:pt>
                <c:pt idx="3">
                  <c:v>Waste</c:v>
                </c:pt>
              </c:strCache>
            </c:strRef>
          </c:cat>
          <c:val>
            <c:numRef>
              <c:f>AGRO!$B$303:$E$303</c:f>
              <c:numCache>
                <c:formatCode>0.00E+00</c:formatCode>
                <c:ptCount val="4"/>
                <c:pt idx="1">
                  <c:v>0.20033421752909375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5-19C4-40D8-BEF7-BC7E4956FBEC}"/>
            </c:ext>
          </c:extLst>
        </c:ser>
        <c:ser>
          <c:idx val="9"/>
          <c:order val="9"/>
          <c:tx>
            <c:strRef>
              <c:f>AGRO!$A$304</c:f>
              <c:strCache>
                <c:ptCount val="1"/>
                <c:pt idx="0">
                  <c:v>PTH-Fc</c:v>
                </c:pt>
              </c:strCache>
            </c:strRef>
          </c:tx>
          <c:spPr>
            <a:solidFill>
              <a:srgbClr val="FFC000"/>
            </a:solidFill>
            <a:ln>
              <a:noFill/>
            </a:ln>
            <a:effectLst/>
          </c:spPr>
          <c:invertIfNegative val="0"/>
          <c:cat>
            <c:strRef>
              <c:f>AGRO!$B$294:$E$294</c:f>
              <c:strCache>
                <c:ptCount val="4"/>
                <c:pt idx="0">
                  <c:v>System</c:v>
                </c:pt>
                <c:pt idx="1">
                  <c:v>Input</c:v>
                </c:pt>
                <c:pt idx="2">
                  <c:v>Output</c:v>
                </c:pt>
                <c:pt idx="3">
                  <c:v>Waste</c:v>
                </c:pt>
              </c:strCache>
            </c:strRef>
          </c:cat>
          <c:val>
            <c:numRef>
              <c:f>AGRO!$B$304:$E$304</c:f>
              <c:numCache>
                <c:formatCode>General</c:formatCode>
                <c:ptCount val="4"/>
                <c:pt idx="2" formatCode="0.00E+00">
                  <c:v>4.3000000000000004E-4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7-19C4-40D8-BEF7-BC7E4956FBEC}"/>
            </c:ext>
          </c:extLst>
        </c:ser>
        <c:ser>
          <c:idx val="10"/>
          <c:order val="10"/>
          <c:tx>
            <c:strRef>
              <c:f>AGRO!$A$305</c:f>
              <c:strCache>
                <c:ptCount val="1"/>
                <c:pt idx="0">
                  <c:v>Plant biomass</c:v>
                </c:pt>
              </c:strCache>
            </c:strRef>
          </c:tx>
          <c:spPr>
            <a:solidFill>
              <a:schemeClr val="accent6">
                <a:lumMod val="75000"/>
              </a:schemeClr>
            </a:solidFill>
          </c:spPr>
          <c:invertIfNegative val="0"/>
          <c:cat>
            <c:strRef>
              <c:f>AGRO!$B$294:$E$294</c:f>
              <c:strCache>
                <c:ptCount val="4"/>
                <c:pt idx="0">
                  <c:v>System</c:v>
                </c:pt>
                <c:pt idx="1">
                  <c:v>Input</c:v>
                </c:pt>
                <c:pt idx="2">
                  <c:v>Output</c:v>
                </c:pt>
                <c:pt idx="3">
                  <c:v>Waste</c:v>
                </c:pt>
              </c:strCache>
            </c:strRef>
          </c:cat>
          <c:val>
            <c:numRef>
              <c:f>AGRO!$B$305:$E$305</c:f>
              <c:numCache>
                <c:formatCode>General</c:formatCode>
                <c:ptCount val="4"/>
                <c:pt idx="2" formatCode="0.00E+00">
                  <c:v>1.1528150134048256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9-19C4-40D8-BEF7-BC7E4956FBEC}"/>
            </c:ext>
          </c:extLst>
        </c:ser>
        <c:ser>
          <c:idx val="11"/>
          <c:order val="11"/>
          <c:tx>
            <c:strRef>
              <c:f>AGRO!$A$306</c:f>
              <c:strCache>
                <c:ptCount val="1"/>
                <c:pt idx="0">
                  <c:v>Oxygen</c:v>
                </c:pt>
              </c:strCache>
            </c:strRef>
          </c:tx>
          <c:spPr>
            <a:solidFill>
              <a:schemeClr val="accent3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AGRO!$B$294:$E$294</c:f>
              <c:strCache>
                <c:ptCount val="4"/>
                <c:pt idx="0">
                  <c:v>System</c:v>
                </c:pt>
                <c:pt idx="1">
                  <c:v>Input</c:v>
                </c:pt>
                <c:pt idx="2">
                  <c:v>Output</c:v>
                </c:pt>
                <c:pt idx="3">
                  <c:v>Waste</c:v>
                </c:pt>
              </c:strCache>
            </c:strRef>
          </c:cat>
          <c:val>
            <c:numRef>
              <c:f>AGRO!$B$306:$E$306</c:f>
              <c:numCache>
                <c:formatCode>General</c:formatCode>
                <c:ptCount val="4"/>
                <c:pt idx="2" formatCode="0.00E+00">
                  <c:v>0.14566357125012611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B-19C4-40D8-BEF7-BC7E4956FBEC}"/>
            </c:ext>
          </c:extLst>
        </c:ser>
        <c:ser>
          <c:idx val="12"/>
          <c:order val="12"/>
          <c:tx>
            <c:strRef>
              <c:f>AGRO!$A$307</c:f>
              <c:strCache>
                <c:ptCount val="1"/>
                <c:pt idx="0">
                  <c:v>Biomass waste</c:v>
                </c:pt>
              </c:strCache>
            </c:strRef>
          </c:tx>
          <c:spPr>
            <a:solidFill>
              <a:schemeClr val="accent6">
                <a:lumMod val="60000"/>
                <a:lumOff val="40000"/>
              </a:schemeClr>
            </a:solidFill>
          </c:spPr>
          <c:invertIfNegative val="0"/>
          <c:cat>
            <c:strRef>
              <c:f>AGRO!$B$294:$E$294</c:f>
              <c:strCache>
                <c:ptCount val="4"/>
                <c:pt idx="0">
                  <c:v>System</c:v>
                </c:pt>
                <c:pt idx="1">
                  <c:v>Input</c:v>
                </c:pt>
                <c:pt idx="2">
                  <c:v>Output</c:v>
                </c:pt>
                <c:pt idx="3">
                  <c:v>Waste</c:v>
                </c:pt>
              </c:strCache>
            </c:strRef>
          </c:cat>
          <c:val>
            <c:numRef>
              <c:f>AGRO!$B$307:$E$307</c:f>
              <c:numCache>
                <c:formatCode>General</c:formatCode>
                <c:ptCount val="4"/>
                <c:pt idx="3" formatCode="0.00E+00">
                  <c:v>1.2894916291022447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D-19C4-40D8-BEF7-BC7E4956FBEC}"/>
            </c:ext>
          </c:extLst>
        </c:ser>
        <c:ser>
          <c:idx val="13"/>
          <c:order val="13"/>
          <c:tx>
            <c:strRef>
              <c:f>AGRO!$A$308</c:f>
              <c:strCache>
                <c:ptCount val="1"/>
                <c:pt idx="0">
                  <c:v>Scale</c:v>
                </c:pt>
              </c:strCache>
            </c:strRef>
          </c:tx>
          <c:spPr>
            <a:solidFill>
              <a:schemeClr val="accent6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AGRO!$B$294:$E$294</c:f>
              <c:strCache>
                <c:ptCount val="4"/>
                <c:pt idx="0">
                  <c:v>System</c:v>
                </c:pt>
                <c:pt idx="1">
                  <c:v>Input</c:v>
                </c:pt>
                <c:pt idx="2">
                  <c:v>Output</c:v>
                </c:pt>
                <c:pt idx="3">
                  <c:v>Waste</c:v>
                </c:pt>
              </c:strCache>
            </c:strRef>
          </c:cat>
          <c:val>
            <c:numRef>
              <c:f>AGRO!$B$308:$E$308</c:f>
              <c:numCache>
                <c:formatCode>0.00E+00</c:formatCode>
                <c:ptCount val="4"/>
                <c:pt idx="0">
                  <c:v>1.25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F-19C4-40D8-BEF7-BC7E4956FBEC}"/>
            </c:ext>
          </c:extLst>
        </c:ser>
        <c:ser>
          <c:idx val="14"/>
          <c:order val="14"/>
          <c:tx>
            <c:strRef>
              <c:f>AGRO!$A$309</c:f>
              <c:strCache>
                <c:ptCount val="1"/>
                <c:pt idx="0">
                  <c:v>BSC</c:v>
                </c:pt>
              </c:strCache>
            </c:strRef>
          </c:tx>
          <c:spPr>
            <a:solidFill>
              <a:schemeClr val="accent6">
                <a:lumMod val="20000"/>
                <a:lumOff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AGRO!$B$294:$E$294</c:f>
              <c:strCache>
                <c:ptCount val="4"/>
                <c:pt idx="0">
                  <c:v>System</c:v>
                </c:pt>
                <c:pt idx="1">
                  <c:v>Input</c:v>
                </c:pt>
                <c:pt idx="2">
                  <c:v>Output</c:v>
                </c:pt>
                <c:pt idx="3">
                  <c:v>Waste</c:v>
                </c:pt>
              </c:strCache>
            </c:strRef>
          </c:cat>
          <c:val>
            <c:numRef>
              <c:f>AGRO!$B$309:$E$309</c:f>
              <c:numCache>
                <c:formatCode>0.00E+00</c:formatCode>
                <c:ptCount val="4"/>
                <c:pt idx="0">
                  <c:v>21.666666666666668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1-19C4-40D8-BEF7-BC7E4956FBEC}"/>
            </c:ext>
          </c:extLst>
        </c:ser>
        <c:ser>
          <c:idx val="15"/>
          <c:order val="15"/>
          <c:tx>
            <c:strRef>
              <c:f>AGRO!$A$310</c:f>
              <c:strCache>
                <c:ptCount val="1"/>
                <c:pt idx="0">
                  <c:v>Shaking incubator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AGRO!$B$294:$E$294</c:f>
              <c:strCache>
                <c:ptCount val="4"/>
                <c:pt idx="0">
                  <c:v>System</c:v>
                </c:pt>
                <c:pt idx="1">
                  <c:v>Input</c:v>
                </c:pt>
                <c:pt idx="2">
                  <c:v>Output</c:v>
                </c:pt>
                <c:pt idx="3">
                  <c:v>Waste</c:v>
                </c:pt>
              </c:strCache>
            </c:strRef>
          </c:cat>
          <c:val>
            <c:numRef>
              <c:f>AGRO!$B$310:$E$310</c:f>
              <c:numCache>
                <c:formatCode>0.00E+00</c:formatCode>
                <c:ptCount val="4"/>
                <c:pt idx="0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3-19C4-40D8-BEF7-BC7E4956FBEC}"/>
            </c:ext>
          </c:extLst>
        </c:ser>
        <c:ser>
          <c:idx val="16"/>
          <c:order val="16"/>
          <c:tx>
            <c:strRef>
              <c:f>AGRO!$A$311</c:f>
              <c:strCache>
                <c:ptCount val="1"/>
                <c:pt idx="0">
                  <c:v>Vacuum pump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  <a:effectLst/>
          </c:spPr>
          <c:invertIfNegative val="0"/>
          <c:cat>
            <c:strRef>
              <c:f>AGRO!$B$294:$E$294</c:f>
              <c:strCache>
                <c:ptCount val="4"/>
                <c:pt idx="0">
                  <c:v>System</c:v>
                </c:pt>
                <c:pt idx="1">
                  <c:v>Input</c:v>
                </c:pt>
                <c:pt idx="2">
                  <c:v>Output</c:v>
                </c:pt>
                <c:pt idx="3">
                  <c:v>Waste</c:v>
                </c:pt>
              </c:strCache>
            </c:strRef>
          </c:cat>
          <c:val>
            <c:numRef>
              <c:f>AGRO!$B$311:$E$311</c:f>
              <c:numCache>
                <c:formatCode>0.00E+00</c:formatCode>
                <c:ptCount val="4"/>
                <c:pt idx="0">
                  <c:v>1.0959939531368101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5-19C4-40D8-BEF7-BC7E4956FBEC}"/>
            </c:ext>
          </c:extLst>
        </c:ser>
        <c:ser>
          <c:idx val="17"/>
          <c:order val="17"/>
          <c:tx>
            <c:strRef>
              <c:f>AGRO!$A$312</c:f>
              <c:strCache>
                <c:ptCount val="1"/>
                <c:pt idx="0">
                  <c:v>Autoclave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cat>
            <c:strRef>
              <c:f>AGRO!$B$294:$E$294</c:f>
              <c:strCache>
                <c:ptCount val="4"/>
                <c:pt idx="0">
                  <c:v>System</c:v>
                </c:pt>
                <c:pt idx="1">
                  <c:v>Input</c:v>
                </c:pt>
                <c:pt idx="2">
                  <c:v>Output</c:v>
                </c:pt>
                <c:pt idx="3">
                  <c:v>Waste</c:v>
                </c:pt>
              </c:strCache>
            </c:strRef>
          </c:cat>
          <c:val>
            <c:numRef>
              <c:f>AGRO!$B$312:$E$312</c:f>
              <c:numCache>
                <c:formatCode>0.00E+00</c:formatCode>
                <c:ptCount val="4"/>
                <c:pt idx="0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7-19C4-40D8-BEF7-BC7E4956FBEC}"/>
            </c:ext>
          </c:extLst>
        </c:ser>
        <c:ser>
          <c:idx val="18"/>
          <c:order val="18"/>
          <c:tx>
            <c:strRef>
              <c:f>AGRO!$A$313</c:f>
              <c:strCache>
                <c:ptCount val="1"/>
                <c:pt idx="0">
                  <c:v>Centrifuge</c:v>
                </c:pt>
              </c:strCache>
            </c:strRef>
          </c:tx>
          <c:invertIfNegative val="0"/>
          <c:cat>
            <c:strRef>
              <c:f>AGRO!$B$294:$E$294</c:f>
              <c:strCache>
                <c:ptCount val="4"/>
                <c:pt idx="0">
                  <c:v>System</c:v>
                </c:pt>
                <c:pt idx="1">
                  <c:v>Input</c:v>
                </c:pt>
                <c:pt idx="2">
                  <c:v>Output</c:v>
                </c:pt>
                <c:pt idx="3">
                  <c:v>Waste</c:v>
                </c:pt>
              </c:strCache>
            </c:strRef>
          </c:cat>
          <c:val>
            <c:numRef>
              <c:f>AGRO!$B$313:$E$313</c:f>
              <c:numCache>
                <c:formatCode>0.00E+00</c:formatCode>
                <c:ptCount val="4"/>
                <c:pt idx="0">
                  <c:v>11.946666666666665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9-19C4-40D8-BEF7-BC7E4956FBEC}"/>
            </c:ext>
          </c:extLst>
        </c:ser>
        <c:ser>
          <c:idx val="19"/>
          <c:order val="19"/>
          <c:tx>
            <c:strRef>
              <c:f>AGRO!$A$314</c:f>
              <c:strCache>
                <c:ptCount val="1"/>
                <c:pt idx="0">
                  <c:v>Spectrophotometer</c:v>
                </c:pt>
              </c:strCache>
            </c:strRef>
          </c:tx>
          <c:invertIfNegative val="0"/>
          <c:cat>
            <c:strRef>
              <c:f>AGRO!$B$294:$E$294</c:f>
              <c:strCache>
                <c:ptCount val="4"/>
                <c:pt idx="0">
                  <c:v>System</c:v>
                </c:pt>
                <c:pt idx="1">
                  <c:v>Input</c:v>
                </c:pt>
                <c:pt idx="2">
                  <c:v>Output</c:v>
                </c:pt>
                <c:pt idx="3">
                  <c:v>Waste</c:v>
                </c:pt>
              </c:strCache>
            </c:strRef>
          </c:cat>
          <c:val>
            <c:numRef>
              <c:f>AGRO!$B$314:$E$314</c:f>
              <c:numCache>
                <c:formatCode>0.00E+00</c:formatCode>
                <c:ptCount val="4"/>
                <c:pt idx="0">
                  <c:v>0.10166666666666667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B-19C4-40D8-BEF7-BC7E4956FBEC}"/>
            </c:ext>
          </c:extLst>
        </c:ser>
        <c:ser>
          <c:idx val="20"/>
          <c:order val="20"/>
          <c:tx>
            <c:strRef>
              <c:f>AGRO!$A$315</c:f>
              <c:strCache>
                <c:ptCount val="1"/>
                <c:pt idx="0">
                  <c:v>Flask</c:v>
                </c:pt>
              </c:strCache>
            </c:strRef>
          </c:tx>
          <c:invertIfNegative val="0"/>
          <c:cat>
            <c:strRef>
              <c:f>AGRO!$B$294:$E$294</c:f>
              <c:strCache>
                <c:ptCount val="4"/>
                <c:pt idx="0">
                  <c:v>System</c:v>
                </c:pt>
                <c:pt idx="1">
                  <c:v>Input</c:v>
                </c:pt>
                <c:pt idx="2">
                  <c:v>Output</c:v>
                </c:pt>
                <c:pt idx="3">
                  <c:v>Waste</c:v>
                </c:pt>
              </c:strCache>
            </c:strRef>
          </c:cat>
          <c:val>
            <c:numRef>
              <c:f>AGRO!$B$315:$E$315</c:f>
              <c:numCache>
                <c:formatCode>0.00E+00</c:formatCode>
                <c:ptCount val="4"/>
                <c:pt idx="0">
                  <c:v>0.21933333333333335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D-19C4-40D8-BEF7-BC7E4956FBEC}"/>
            </c:ext>
          </c:extLst>
        </c:ser>
        <c:ser>
          <c:idx val="21"/>
          <c:order val="21"/>
          <c:tx>
            <c:strRef>
              <c:f>AGRO!$A$316</c:f>
              <c:strCache>
                <c:ptCount val="1"/>
                <c:pt idx="0">
                  <c:v>Cuvette</c:v>
                </c:pt>
              </c:strCache>
            </c:strRef>
          </c:tx>
          <c:invertIfNegative val="0"/>
          <c:cat>
            <c:strRef>
              <c:f>AGRO!$B$294:$E$294</c:f>
              <c:strCache>
                <c:ptCount val="4"/>
                <c:pt idx="0">
                  <c:v>System</c:v>
                </c:pt>
                <c:pt idx="1">
                  <c:v>Input</c:v>
                </c:pt>
                <c:pt idx="2">
                  <c:v>Output</c:v>
                </c:pt>
                <c:pt idx="3">
                  <c:v>Waste</c:v>
                </c:pt>
              </c:strCache>
            </c:strRef>
          </c:cat>
          <c:val>
            <c:numRef>
              <c:f>AGRO!$B$316:$E$316</c:f>
              <c:numCache>
                <c:formatCode>0.00E+00</c:formatCode>
                <c:ptCount val="4"/>
                <c:pt idx="0">
                  <c:v>4.3645000000000003E-3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F-19C4-40D8-BEF7-BC7E4956FBEC}"/>
            </c:ext>
          </c:extLst>
        </c:ser>
        <c:ser>
          <c:idx val="22"/>
          <c:order val="22"/>
          <c:tx>
            <c:strRef>
              <c:f>AGRO!$A$317</c:f>
              <c:strCache>
                <c:ptCount val="1"/>
                <c:pt idx="0">
                  <c:v>Bottle</c:v>
                </c:pt>
              </c:strCache>
            </c:strRef>
          </c:tx>
          <c:invertIfNegative val="0"/>
          <c:cat>
            <c:strRef>
              <c:f>AGRO!$B$294:$E$294</c:f>
              <c:strCache>
                <c:ptCount val="4"/>
                <c:pt idx="0">
                  <c:v>System</c:v>
                </c:pt>
                <c:pt idx="1">
                  <c:v>Input</c:v>
                </c:pt>
                <c:pt idx="2">
                  <c:v>Output</c:v>
                </c:pt>
                <c:pt idx="3">
                  <c:v>Waste</c:v>
                </c:pt>
              </c:strCache>
            </c:strRef>
          </c:cat>
          <c:val>
            <c:numRef>
              <c:f>AGRO!$B$317:$E$317</c:f>
              <c:numCache>
                <c:formatCode>0.00E+00</c:formatCode>
                <c:ptCount val="4"/>
                <c:pt idx="0">
                  <c:v>0.28849999999999998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51-19C4-40D8-BEF7-BC7E4956FBEC}"/>
            </c:ext>
          </c:extLst>
        </c:ser>
        <c:ser>
          <c:idx val="23"/>
          <c:order val="23"/>
          <c:tx>
            <c:strRef>
              <c:f>AGRO!$A$318</c:f>
              <c:strCache>
                <c:ptCount val="1"/>
                <c:pt idx="0">
                  <c:v>Beaker</c:v>
                </c:pt>
              </c:strCache>
            </c:strRef>
          </c:tx>
          <c:invertIfNegative val="0"/>
          <c:cat>
            <c:strRef>
              <c:f>AGRO!$B$294:$E$294</c:f>
              <c:strCache>
                <c:ptCount val="4"/>
                <c:pt idx="0">
                  <c:v>System</c:v>
                </c:pt>
                <c:pt idx="1">
                  <c:v>Input</c:v>
                </c:pt>
                <c:pt idx="2">
                  <c:v>Output</c:v>
                </c:pt>
                <c:pt idx="3">
                  <c:v>Waste</c:v>
                </c:pt>
              </c:strCache>
            </c:strRef>
          </c:cat>
          <c:val>
            <c:numRef>
              <c:f>AGRO!$B$318:$E$318</c:f>
              <c:numCache>
                <c:formatCode>0.00E+00</c:formatCode>
                <c:ptCount val="4"/>
                <c:pt idx="0">
                  <c:v>1.95E-2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53-19C4-40D8-BEF7-BC7E4956FBEC}"/>
            </c:ext>
          </c:extLst>
        </c:ser>
        <c:ser>
          <c:idx val="24"/>
          <c:order val="24"/>
          <c:tx>
            <c:strRef>
              <c:f>AGRO!$A$319</c:f>
              <c:strCache>
                <c:ptCount val="1"/>
                <c:pt idx="0">
                  <c:v>Vacuum chamber</c:v>
                </c:pt>
              </c:strCache>
            </c:strRef>
          </c:tx>
          <c:invertIfNegative val="0"/>
          <c:cat>
            <c:strRef>
              <c:f>AGRO!$B$294:$E$294</c:f>
              <c:strCache>
                <c:ptCount val="4"/>
                <c:pt idx="0">
                  <c:v>System</c:v>
                </c:pt>
                <c:pt idx="1">
                  <c:v>Input</c:v>
                </c:pt>
                <c:pt idx="2">
                  <c:v>Output</c:v>
                </c:pt>
                <c:pt idx="3">
                  <c:v>Waste</c:v>
                </c:pt>
              </c:strCache>
            </c:strRef>
          </c:cat>
          <c:val>
            <c:numRef>
              <c:f>AGRO!$B$319:$E$319</c:f>
              <c:numCache>
                <c:formatCode>0.00E+00</c:formatCode>
                <c:ptCount val="4"/>
                <c:pt idx="0">
                  <c:v>1.7683333333333333E-3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55-19C4-40D8-BEF7-BC7E4956FBEC}"/>
            </c:ext>
          </c:extLst>
        </c:ser>
        <c:ser>
          <c:idx val="25"/>
          <c:order val="25"/>
          <c:tx>
            <c:strRef>
              <c:f>AGRO!$A$320</c:f>
              <c:strCache>
                <c:ptCount val="1"/>
                <c:pt idx="0">
                  <c:v>Centrifuge tubes</c:v>
                </c:pt>
              </c:strCache>
            </c:strRef>
          </c:tx>
          <c:invertIfNegative val="0"/>
          <c:cat>
            <c:strRef>
              <c:f>AGRO!$B$294:$E$294</c:f>
              <c:strCache>
                <c:ptCount val="4"/>
                <c:pt idx="0">
                  <c:v>System</c:v>
                </c:pt>
                <c:pt idx="1">
                  <c:v>Input</c:v>
                </c:pt>
                <c:pt idx="2">
                  <c:v>Output</c:v>
                </c:pt>
                <c:pt idx="3">
                  <c:v>Waste</c:v>
                </c:pt>
              </c:strCache>
            </c:strRef>
          </c:cat>
          <c:val>
            <c:numRef>
              <c:f>AGRO!$B$320:$E$320</c:f>
              <c:numCache>
                <c:formatCode>0.00E+00</c:formatCode>
                <c:ptCount val="4"/>
                <c:pt idx="0">
                  <c:v>0.49780000000000002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57-19C4-40D8-BEF7-BC7E4956FBEC}"/>
            </c:ext>
          </c:extLst>
        </c:ser>
        <c:ser>
          <c:idx val="26"/>
          <c:order val="26"/>
          <c:tx>
            <c:strRef>
              <c:f>AGRO!$A$321</c:f>
              <c:strCache>
                <c:ptCount val="1"/>
                <c:pt idx="0">
                  <c:v>LB Media mix</c:v>
                </c:pt>
              </c:strCache>
            </c:strRef>
          </c:tx>
          <c:invertIfNegative val="0"/>
          <c:cat>
            <c:strRef>
              <c:f>AGRO!$B$294:$E$294</c:f>
              <c:strCache>
                <c:ptCount val="4"/>
                <c:pt idx="0">
                  <c:v>System</c:v>
                </c:pt>
                <c:pt idx="1">
                  <c:v>Input</c:v>
                </c:pt>
                <c:pt idx="2">
                  <c:v>Output</c:v>
                </c:pt>
                <c:pt idx="3">
                  <c:v>Waste</c:v>
                </c:pt>
              </c:strCache>
            </c:strRef>
          </c:cat>
          <c:val>
            <c:numRef>
              <c:f>AGRO!$B$321:$E$321</c:f>
              <c:numCache>
                <c:formatCode>0.00E+00</c:formatCode>
                <c:ptCount val="4"/>
                <c:pt idx="1">
                  <c:v>7.7601800000000012E-2</c:v>
                </c:pt>
                <c:pt idx="3">
                  <c:v>7.7601800000000012E-2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59-19C4-40D8-BEF7-BC7E4956FBEC}"/>
            </c:ext>
          </c:extLst>
        </c:ser>
        <c:ser>
          <c:idx val="27"/>
          <c:order val="27"/>
          <c:tx>
            <c:strRef>
              <c:f>AGRO!$A$322</c:f>
              <c:strCache>
                <c:ptCount val="1"/>
                <c:pt idx="0">
                  <c:v>Culture tubes</c:v>
                </c:pt>
              </c:strCache>
            </c:strRef>
          </c:tx>
          <c:invertIfNegative val="0"/>
          <c:cat>
            <c:strRef>
              <c:f>AGRO!$B$294:$E$294</c:f>
              <c:strCache>
                <c:ptCount val="4"/>
                <c:pt idx="0">
                  <c:v>System</c:v>
                </c:pt>
                <c:pt idx="1">
                  <c:v>Input</c:v>
                </c:pt>
                <c:pt idx="2">
                  <c:v>Output</c:v>
                </c:pt>
                <c:pt idx="3">
                  <c:v>Waste</c:v>
                </c:pt>
              </c:strCache>
            </c:strRef>
          </c:cat>
          <c:val>
            <c:numRef>
              <c:f>AGRO!$B$322:$E$322</c:f>
              <c:numCache>
                <c:formatCode>0.00E+00</c:formatCode>
                <c:ptCount val="4"/>
                <c:pt idx="1">
                  <c:v>0.84711720000000001</c:v>
                </c:pt>
                <c:pt idx="3">
                  <c:v>0.84711720000000001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5A-19C4-40D8-BEF7-BC7E4956FBEC}"/>
            </c:ext>
          </c:extLst>
        </c:ser>
        <c:ser>
          <c:idx val="28"/>
          <c:order val="28"/>
          <c:tx>
            <c:strRef>
              <c:f>AGRO!$A$323</c:f>
              <c:strCache>
                <c:ptCount val="1"/>
                <c:pt idx="0">
                  <c:v>Kanamycin</c:v>
                </c:pt>
              </c:strCache>
            </c:strRef>
          </c:tx>
          <c:invertIfNegative val="0"/>
          <c:cat>
            <c:strRef>
              <c:f>AGRO!$B$294:$E$294</c:f>
              <c:strCache>
                <c:ptCount val="4"/>
                <c:pt idx="0">
                  <c:v>System</c:v>
                </c:pt>
                <c:pt idx="1">
                  <c:v>Input</c:v>
                </c:pt>
                <c:pt idx="2">
                  <c:v>Output</c:v>
                </c:pt>
                <c:pt idx="3">
                  <c:v>Waste</c:v>
                </c:pt>
              </c:strCache>
            </c:strRef>
          </c:cat>
          <c:val>
            <c:numRef>
              <c:f>AGRO!$B$323:$E$323</c:f>
              <c:numCache>
                <c:formatCode>0.00E+00</c:formatCode>
                <c:ptCount val="4"/>
                <c:pt idx="1">
                  <c:v>4.2000000000000006E-3</c:v>
                </c:pt>
                <c:pt idx="3">
                  <c:v>4.2000000000000006E-3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5B-19C4-40D8-BEF7-BC7E4956FBEC}"/>
            </c:ext>
          </c:extLst>
        </c:ser>
        <c:ser>
          <c:idx val="29"/>
          <c:order val="29"/>
          <c:tx>
            <c:strRef>
              <c:f>AGRO!$A$324</c:f>
              <c:strCache>
                <c:ptCount val="1"/>
                <c:pt idx="0">
                  <c:v>Tetracycline</c:v>
                </c:pt>
              </c:strCache>
            </c:strRef>
          </c:tx>
          <c:invertIfNegative val="0"/>
          <c:cat>
            <c:strRef>
              <c:f>AGRO!$B$294:$E$294</c:f>
              <c:strCache>
                <c:ptCount val="4"/>
                <c:pt idx="0">
                  <c:v>System</c:v>
                </c:pt>
                <c:pt idx="1">
                  <c:v>Input</c:v>
                </c:pt>
                <c:pt idx="2">
                  <c:v>Output</c:v>
                </c:pt>
                <c:pt idx="3">
                  <c:v>Waste</c:v>
                </c:pt>
              </c:strCache>
            </c:strRef>
          </c:cat>
          <c:val>
            <c:numRef>
              <c:f>AGRO!$B$324:$E$324</c:f>
              <c:numCache>
                <c:formatCode>0.00E+00</c:formatCode>
                <c:ptCount val="4"/>
                <c:pt idx="1">
                  <c:v>4.0400000000000002E-3</c:v>
                </c:pt>
                <c:pt idx="3">
                  <c:v>4.0400000000000002E-3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5C-19C4-40D8-BEF7-BC7E4956FBEC}"/>
            </c:ext>
          </c:extLst>
        </c:ser>
        <c:ser>
          <c:idx val="30"/>
          <c:order val="30"/>
          <c:tx>
            <c:strRef>
              <c:f>AGRO!$A$325</c:f>
              <c:strCache>
                <c:ptCount val="1"/>
                <c:pt idx="0">
                  <c:v>Rifampicin</c:v>
                </c:pt>
              </c:strCache>
            </c:strRef>
          </c:tx>
          <c:invertIfNegative val="0"/>
          <c:cat>
            <c:strRef>
              <c:f>AGRO!$B$294:$E$294</c:f>
              <c:strCache>
                <c:ptCount val="4"/>
                <c:pt idx="0">
                  <c:v>System</c:v>
                </c:pt>
                <c:pt idx="1">
                  <c:v>Input</c:v>
                </c:pt>
                <c:pt idx="2">
                  <c:v>Output</c:v>
                </c:pt>
                <c:pt idx="3">
                  <c:v>Waste</c:v>
                </c:pt>
              </c:strCache>
            </c:strRef>
          </c:cat>
          <c:val>
            <c:numRef>
              <c:f>AGRO!$B$325:$E$325</c:f>
              <c:numCache>
                <c:formatCode>0.00E+00</c:formatCode>
                <c:ptCount val="4"/>
                <c:pt idx="1">
                  <c:v>4.0400000000000002E-3</c:v>
                </c:pt>
                <c:pt idx="3">
                  <c:v>4.0400000000000002E-3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5D-19C4-40D8-BEF7-BC7E4956FBEC}"/>
            </c:ext>
          </c:extLst>
        </c:ser>
        <c:ser>
          <c:idx val="31"/>
          <c:order val="31"/>
          <c:tx>
            <c:strRef>
              <c:f>AGRO!$A$326</c:f>
              <c:strCache>
                <c:ptCount val="1"/>
                <c:pt idx="0">
                  <c:v>Acetosyringone</c:v>
                </c:pt>
              </c:strCache>
            </c:strRef>
          </c:tx>
          <c:invertIfNegative val="0"/>
          <c:cat>
            <c:strRef>
              <c:f>AGRO!$B$294:$E$294</c:f>
              <c:strCache>
                <c:ptCount val="4"/>
                <c:pt idx="0">
                  <c:v>System</c:v>
                </c:pt>
                <c:pt idx="1">
                  <c:v>Input</c:v>
                </c:pt>
                <c:pt idx="2">
                  <c:v>Output</c:v>
                </c:pt>
                <c:pt idx="3">
                  <c:v>Waste</c:v>
                </c:pt>
              </c:strCache>
            </c:strRef>
          </c:cat>
          <c:val>
            <c:numRef>
              <c:f>AGRO!$B$326:$E$326</c:f>
              <c:numCache>
                <c:formatCode>0.00E+00</c:formatCode>
                <c:ptCount val="4"/>
                <c:pt idx="1">
                  <c:v>2.1471285E-2</c:v>
                </c:pt>
                <c:pt idx="3">
                  <c:v>2.1471285E-2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5E-19C4-40D8-BEF7-BC7E4956FBEC}"/>
            </c:ext>
          </c:extLst>
        </c:ser>
        <c:ser>
          <c:idx val="32"/>
          <c:order val="32"/>
          <c:tx>
            <c:strRef>
              <c:f>AGRO!$A$327</c:f>
              <c:strCache>
                <c:ptCount val="1"/>
                <c:pt idx="0">
                  <c:v>MES</c:v>
                </c:pt>
              </c:strCache>
            </c:strRef>
          </c:tx>
          <c:invertIfNegative val="0"/>
          <c:cat>
            <c:strRef>
              <c:f>AGRO!$B$294:$E$294</c:f>
              <c:strCache>
                <c:ptCount val="4"/>
                <c:pt idx="0">
                  <c:v>System</c:v>
                </c:pt>
                <c:pt idx="1">
                  <c:v>Input</c:v>
                </c:pt>
                <c:pt idx="2">
                  <c:v>Output</c:v>
                </c:pt>
                <c:pt idx="3">
                  <c:v>Waste</c:v>
                </c:pt>
              </c:strCache>
            </c:strRef>
          </c:cat>
          <c:val>
            <c:numRef>
              <c:f>AGRO!$B$327:$E$327</c:f>
              <c:numCache>
                <c:formatCode>0.00E+00</c:formatCode>
                <c:ptCount val="4"/>
                <c:pt idx="1">
                  <c:v>0.13584200000000002</c:v>
                </c:pt>
                <c:pt idx="3">
                  <c:v>0.13584200000000002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5F-19C4-40D8-BEF7-BC7E4956FBEC}"/>
            </c:ext>
          </c:extLst>
        </c:ser>
        <c:ser>
          <c:idx val="33"/>
          <c:order val="33"/>
          <c:tx>
            <c:strRef>
              <c:f>AGRO!$A$328</c:f>
              <c:strCache>
                <c:ptCount val="1"/>
                <c:pt idx="0">
                  <c:v>MgCl2</c:v>
                </c:pt>
              </c:strCache>
            </c:strRef>
          </c:tx>
          <c:invertIfNegative val="0"/>
          <c:cat>
            <c:strRef>
              <c:f>AGRO!$B$294:$E$294</c:f>
              <c:strCache>
                <c:ptCount val="4"/>
                <c:pt idx="0">
                  <c:v>System</c:v>
                </c:pt>
                <c:pt idx="1">
                  <c:v>Input</c:v>
                </c:pt>
                <c:pt idx="2">
                  <c:v>Output</c:v>
                </c:pt>
                <c:pt idx="3">
                  <c:v>Waste</c:v>
                </c:pt>
              </c:strCache>
            </c:strRef>
          </c:cat>
          <c:val>
            <c:numRef>
              <c:f>AGRO!$B$328:$E$328</c:f>
              <c:numCache>
                <c:formatCode>0.00E+00</c:formatCode>
                <c:ptCount val="4"/>
                <c:pt idx="1">
                  <c:v>0.271206</c:v>
                </c:pt>
                <c:pt idx="3">
                  <c:v>0.271206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60-19C4-40D8-BEF7-BC7E4956FBEC}"/>
            </c:ext>
          </c:extLst>
        </c:ser>
        <c:ser>
          <c:idx val="34"/>
          <c:order val="34"/>
          <c:tx>
            <c:strRef>
              <c:f>AGRO!$A$329</c:f>
              <c:strCache>
                <c:ptCount val="1"/>
                <c:pt idx="0">
                  <c:v>Silwet L-77</c:v>
                </c:pt>
              </c:strCache>
            </c:strRef>
          </c:tx>
          <c:invertIfNegative val="0"/>
          <c:cat>
            <c:strRef>
              <c:f>AGRO!$B$294:$E$294</c:f>
              <c:strCache>
                <c:ptCount val="4"/>
                <c:pt idx="0">
                  <c:v>System</c:v>
                </c:pt>
                <c:pt idx="1">
                  <c:v>Input</c:v>
                </c:pt>
                <c:pt idx="2">
                  <c:v>Output</c:v>
                </c:pt>
                <c:pt idx="3">
                  <c:v>Waste</c:v>
                </c:pt>
              </c:strCache>
            </c:strRef>
          </c:cat>
          <c:val>
            <c:numRef>
              <c:f>AGRO!$B$329:$E$329</c:f>
              <c:numCache>
                <c:formatCode>0.00E+00</c:formatCode>
                <c:ptCount val="4"/>
                <c:pt idx="1">
                  <c:v>3.1349999999999998E-3</c:v>
                </c:pt>
                <c:pt idx="3">
                  <c:v>3.1349999999999998E-3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61-19C4-40D8-BEF7-BC7E4956FBEC}"/>
            </c:ext>
          </c:extLst>
        </c:ser>
        <c:ser>
          <c:idx val="35"/>
          <c:order val="35"/>
          <c:tx>
            <c:strRef>
              <c:f>AGRO!$A$330</c:f>
              <c:strCache>
                <c:ptCount val="1"/>
                <c:pt idx="0">
                  <c:v>Agro stock tubes</c:v>
                </c:pt>
              </c:strCache>
            </c:strRef>
          </c:tx>
          <c:invertIfNegative val="0"/>
          <c:cat>
            <c:strRef>
              <c:f>AGRO!$B$294:$E$294</c:f>
              <c:strCache>
                <c:ptCount val="4"/>
                <c:pt idx="0">
                  <c:v>System</c:v>
                </c:pt>
                <c:pt idx="1">
                  <c:v>Input</c:v>
                </c:pt>
                <c:pt idx="2">
                  <c:v>Output</c:v>
                </c:pt>
                <c:pt idx="3">
                  <c:v>Waste</c:v>
                </c:pt>
              </c:strCache>
            </c:strRef>
          </c:cat>
          <c:val>
            <c:numRef>
              <c:f>AGRO!$B$330:$E$330</c:f>
              <c:numCache>
                <c:formatCode>0.00E+00</c:formatCode>
                <c:ptCount val="4"/>
                <c:pt idx="1">
                  <c:v>8.2249999999999997E-3</c:v>
                </c:pt>
                <c:pt idx="3">
                  <c:v>8.2249999999999997E-3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62-19C4-40D8-BEF7-BC7E4956FB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0"/>
        <c:overlap val="100"/>
        <c:axId val="312382031"/>
        <c:axId val="312385871"/>
      </c:barChart>
      <c:catAx>
        <c:axId val="3123820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2385871"/>
        <c:crosses val="autoZero"/>
        <c:auto val="1"/>
        <c:lblAlgn val="ctr"/>
        <c:lblOffset val="100"/>
        <c:noMultiLvlLbl val="0"/>
      </c:catAx>
      <c:valAx>
        <c:axId val="312385871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1" i="0" u="none" strike="noStrike" kern="1200" baseline="0">
                    <a:solidFill>
                      <a:sysClr val="windowText" lastClr="000000"/>
                    </a:solidFill>
                  </a:rPr>
                  <a:t>Mass (kg/CM/Mission)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#,##0" sourceLinked="0"/>
        <c:majorTickMark val="out"/>
        <c:minorTickMark val="none"/>
        <c:tickLblPos val="nextTo"/>
        <c:spPr>
          <a:noFill/>
          <a:ln w="9525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2382031"/>
        <c:crosses val="autoZero"/>
        <c:crossBetween val="between"/>
      </c:valAx>
      <c:spPr>
        <a:ln>
          <a:solidFill>
            <a:schemeClr val="tx1"/>
          </a:solidFill>
        </a:ln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2"/>
      </a:solidFill>
      <a:round/>
    </a:ln>
    <a:effectLst/>
  </c:spPr>
  <c:txPr>
    <a:bodyPr/>
    <a:lstStyle/>
    <a:p>
      <a:pPr>
        <a:defRPr sz="1000" b="1"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none" strike="noStrike" kern="1200" spc="0" baseline="0">
                <a:solidFill>
                  <a:sysClr val="windowText" lastClr="000000"/>
                </a:solidFill>
              </a:rPr>
              <a:t>AGRO Volume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AGRO!$A$295</c:f>
              <c:strCache>
                <c:ptCount val="1"/>
                <c:pt idx="0">
                  <c:v>Harvesting container</c:v>
                </c:pt>
              </c:strCache>
            </c:strRef>
          </c:tx>
          <c:spPr>
            <a:solidFill>
              <a:schemeClr val="accent2">
                <a:lumMod val="20000"/>
                <a:lumOff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AGRO!$F$294:$I$294</c:f>
              <c:strCache>
                <c:ptCount val="4"/>
                <c:pt idx="0">
                  <c:v>System</c:v>
                </c:pt>
                <c:pt idx="1">
                  <c:v>Input</c:v>
                </c:pt>
                <c:pt idx="2">
                  <c:v>Output</c:v>
                </c:pt>
                <c:pt idx="3">
                  <c:v>Waste</c:v>
                </c:pt>
              </c:strCache>
            </c:strRef>
          </c:cat>
          <c:val>
            <c:numRef>
              <c:f>AGRO!$F$295:$I$295</c:f>
              <c:numCache>
                <c:formatCode>General</c:formatCode>
                <c:ptCount val="4"/>
                <c:pt idx="0" formatCode="0.00E+00">
                  <c:v>7.4585973E-6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5-19C4-40D8-BEF7-BC7E4956FBEC}"/>
            </c:ext>
          </c:extLst>
        </c:ser>
        <c:ser>
          <c:idx val="1"/>
          <c:order val="1"/>
          <c:tx>
            <c:strRef>
              <c:f>AGRO!$A$296</c:f>
              <c:strCache>
                <c:ptCount val="1"/>
                <c:pt idx="0">
                  <c:v>Harvesting tools</c:v>
                </c:pt>
              </c:strCache>
            </c:strRef>
          </c:tx>
          <c:spPr>
            <a:solidFill>
              <a:schemeClr val="accent2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AGRO!$F$294:$I$294</c:f>
              <c:strCache>
                <c:ptCount val="4"/>
                <c:pt idx="0">
                  <c:v>System</c:v>
                </c:pt>
                <c:pt idx="1">
                  <c:v>Input</c:v>
                </c:pt>
                <c:pt idx="2">
                  <c:v>Output</c:v>
                </c:pt>
                <c:pt idx="3">
                  <c:v>Waste</c:v>
                </c:pt>
              </c:strCache>
            </c:strRef>
          </c:cat>
          <c:val>
            <c:numRef>
              <c:f>AGRO!$F$296:$I$296</c:f>
              <c:numCache>
                <c:formatCode>General</c:formatCode>
                <c:ptCount val="4"/>
                <c:pt idx="0" formatCode="0.00E+00">
                  <c:v>1.0735999999999999E-4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7-19C4-40D8-BEF7-BC7E4956FBEC}"/>
            </c:ext>
          </c:extLst>
        </c:ser>
        <c:ser>
          <c:idx val="2"/>
          <c:order val="2"/>
          <c:tx>
            <c:strRef>
              <c:f>AGRO!$A$297</c:f>
              <c:strCache>
                <c:ptCount val="1"/>
                <c:pt idx="0">
                  <c:v>Refrigerator/Freezer</c:v>
                </c:pt>
              </c:strCache>
            </c:strRef>
          </c:tx>
          <c:spPr>
            <a:solidFill>
              <a:schemeClr val="accent5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AGRO!$F$294:$I$294</c:f>
              <c:strCache>
                <c:ptCount val="4"/>
                <c:pt idx="0">
                  <c:v>System</c:v>
                </c:pt>
                <c:pt idx="1">
                  <c:v>Input</c:v>
                </c:pt>
                <c:pt idx="2">
                  <c:v>Output</c:v>
                </c:pt>
                <c:pt idx="3">
                  <c:v>Waste</c:v>
                </c:pt>
              </c:strCache>
            </c:strRef>
          </c:cat>
          <c:val>
            <c:numRef>
              <c:f>AGRO!$F$297:$I$297</c:f>
              <c:numCache>
                <c:formatCode>General</c:formatCode>
                <c:ptCount val="4"/>
                <c:pt idx="0" formatCode="0.00E+00">
                  <c:v>2.0000526809651475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9-19C4-40D8-BEF7-BC7E4956FBEC}"/>
            </c:ext>
          </c:extLst>
        </c:ser>
        <c:ser>
          <c:idx val="3"/>
          <c:order val="3"/>
          <c:tx>
            <c:strRef>
              <c:f>AGRO!$A$298</c:f>
              <c:strCache>
                <c:ptCount val="1"/>
                <c:pt idx="0">
                  <c:v>Lighting panels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AGRO!$F$294:$I$294</c:f>
              <c:strCache>
                <c:ptCount val="4"/>
                <c:pt idx="0">
                  <c:v>System</c:v>
                </c:pt>
                <c:pt idx="1">
                  <c:v>Input</c:v>
                </c:pt>
                <c:pt idx="2">
                  <c:v>Output</c:v>
                </c:pt>
                <c:pt idx="3">
                  <c:v>Waste</c:v>
                </c:pt>
              </c:strCache>
            </c:strRef>
          </c:cat>
          <c:val>
            <c:numRef>
              <c:f>AGRO!$F$298:$I$298</c:f>
              <c:numCache>
                <c:formatCode>General</c:formatCode>
                <c:ptCount val="4"/>
                <c:pt idx="0" formatCode="0.00E+00">
                  <c:v>8.9999999999999992E-5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B-19C4-40D8-BEF7-BC7E4956FBEC}"/>
            </c:ext>
          </c:extLst>
        </c:ser>
        <c:ser>
          <c:idx val="4"/>
          <c:order val="4"/>
          <c:tx>
            <c:strRef>
              <c:f>AGRO!$A$299</c:f>
              <c:strCache>
                <c:ptCount val="1"/>
                <c:pt idx="0">
                  <c:v>Plant growth chamber</c:v>
                </c:pt>
              </c:strCache>
            </c:strRef>
          </c:tx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strRef>
              <c:f>AGRO!$F$294:$I$294</c:f>
              <c:strCache>
                <c:ptCount val="4"/>
                <c:pt idx="0">
                  <c:v>System</c:v>
                </c:pt>
                <c:pt idx="1">
                  <c:v>Input</c:v>
                </c:pt>
                <c:pt idx="2">
                  <c:v>Output</c:v>
                </c:pt>
                <c:pt idx="3">
                  <c:v>Waste</c:v>
                </c:pt>
              </c:strCache>
            </c:strRef>
          </c:cat>
          <c:val>
            <c:numRef>
              <c:f>AGRO!$F$299:$I$299</c:f>
              <c:numCache>
                <c:formatCode>General</c:formatCode>
                <c:ptCount val="4"/>
                <c:pt idx="0" formatCode="0.00E+00">
                  <c:v>3.6230999999999992E-2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D-19C4-40D8-BEF7-BC7E4956FBEC}"/>
            </c:ext>
          </c:extLst>
        </c:ser>
        <c:ser>
          <c:idx val="5"/>
          <c:order val="5"/>
          <c:tx>
            <c:strRef>
              <c:f>AGRO!$A$300</c:f>
              <c:strCache>
                <c:ptCount val="1"/>
                <c:pt idx="0">
                  <c:v>N benthamiana seeds</c:v>
                </c:pt>
              </c:strCache>
            </c:strRef>
          </c:tx>
          <c:spPr>
            <a:solidFill>
              <a:schemeClr val="accent4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strRef>
              <c:f>AGRO!$F$294:$I$294</c:f>
              <c:strCache>
                <c:ptCount val="4"/>
                <c:pt idx="0">
                  <c:v>System</c:v>
                </c:pt>
                <c:pt idx="1">
                  <c:v>Input</c:v>
                </c:pt>
                <c:pt idx="2">
                  <c:v>Output</c:v>
                </c:pt>
                <c:pt idx="3">
                  <c:v>Waste</c:v>
                </c:pt>
              </c:strCache>
            </c:strRef>
          </c:cat>
          <c:val>
            <c:numRef>
              <c:f>AGRO!$F$300:$I$300</c:f>
              <c:numCache>
                <c:formatCode>0.00E+00</c:formatCode>
                <c:ptCount val="4"/>
                <c:pt idx="1">
                  <c:v>4.1033127046699689E-9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F-19C4-40D8-BEF7-BC7E4956FBEC}"/>
            </c:ext>
          </c:extLst>
        </c:ser>
        <c:ser>
          <c:idx val="6"/>
          <c:order val="6"/>
          <c:tx>
            <c:strRef>
              <c:f>AGRO!$A$301</c:f>
              <c:strCache>
                <c:ptCount val="1"/>
                <c:pt idx="0">
                  <c:v>Water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AGRO!$F$294:$I$294</c:f>
              <c:strCache>
                <c:ptCount val="4"/>
                <c:pt idx="0">
                  <c:v>System</c:v>
                </c:pt>
                <c:pt idx="1">
                  <c:v>Input</c:v>
                </c:pt>
                <c:pt idx="2">
                  <c:v>Output</c:v>
                </c:pt>
                <c:pt idx="3">
                  <c:v>Waste</c:v>
                </c:pt>
              </c:strCache>
            </c:strRef>
          </c:cat>
          <c:val>
            <c:numRef>
              <c:f>AGRO!$F$301:$I$301</c:f>
              <c:numCache>
                <c:formatCode>0.00E+00</c:formatCode>
                <c:ptCount val="4"/>
                <c:pt idx="1">
                  <c:v>4.6470049337122503E-2</c:v>
                </c:pt>
                <c:pt idx="2">
                  <c:v>3.9317930543093169E-2</c:v>
                </c:pt>
                <c:pt idx="3" formatCode="General">
                  <c:v>1.13391E-2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1-19C4-40D8-BEF7-BC7E4956FBEC}"/>
            </c:ext>
          </c:extLst>
        </c:ser>
        <c:ser>
          <c:idx val="7"/>
          <c:order val="7"/>
          <c:tx>
            <c:strRef>
              <c:f>AGRO!$A$302</c:f>
              <c:strCache>
                <c:ptCount val="1"/>
                <c:pt idx="0">
                  <c:v>Plant growth nutrients</c:v>
                </c:pt>
              </c:strCache>
            </c:strRef>
          </c:tx>
          <c:spPr>
            <a:solidFill>
              <a:schemeClr val="accent4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AGRO!$F$294:$I$294</c:f>
              <c:strCache>
                <c:ptCount val="4"/>
                <c:pt idx="0">
                  <c:v>System</c:v>
                </c:pt>
                <c:pt idx="1">
                  <c:v>Input</c:v>
                </c:pt>
                <c:pt idx="2">
                  <c:v>Output</c:v>
                </c:pt>
                <c:pt idx="3">
                  <c:v>Waste</c:v>
                </c:pt>
              </c:strCache>
            </c:strRef>
          </c:cat>
          <c:val>
            <c:numRef>
              <c:f>AGRO!$F$302:$I$302</c:f>
              <c:numCache>
                <c:formatCode>General</c:formatCode>
                <c:ptCount val="4"/>
              </c:numCache>
            </c:numRef>
          </c:val>
          <c:extLst>
            <c:ext xmlns:c16="http://schemas.microsoft.com/office/drawing/2014/chart" uri="{C3380CC4-5D6E-409C-BE32-E72D297353CC}">
              <c16:uniqueId val="{00000033-19C4-40D8-BEF7-BC7E4956FBEC}"/>
            </c:ext>
          </c:extLst>
        </c:ser>
        <c:ser>
          <c:idx val="8"/>
          <c:order val="8"/>
          <c:tx>
            <c:strRef>
              <c:f>AGRO!$A$303</c:f>
              <c:strCache>
                <c:ptCount val="1"/>
                <c:pt idx="0">
                  <c:v>Carbon dioxide</c:v>
                </c:pt>
              </c:strCache>
            </c:strRef>
          </c:tx>
          <c:spPr>
            <a:solidFill>
              <a:schemeClr val="accent4">
                <a:lumMod val="20000"/>
                <a:lumOff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AGRO!$F$294:$I$294</c:f>
              <c:strCache>
                <c:ptCount val="4"/>
                <c:pt idx="0">
                  <c:v>System</c:v>
                </c:pt>
                <c:pt idx="1">
                  <c:v>Input</c:v>
                </c:pt>
                <c:pt idx="2">
                  <c:v>Output</c:v>
                </c:pt>
                <c:pt idx="3">
                  <c:v>Waste</c:v>
                </c:pt>
              </c:strCache>
            </c:strRef>
          </c:cat>
          <c:val>
            <c:numRef>
              <c:f>AGRO!$F$303:$I$303</c:f>
              <c:numCache>
                <c:formatCode>0.00E+00</c:formatCode>
                <c:ptCount val="4"/>
                <c:pt idx="1">
                  <c:v>0.11007374589510645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5-19C4-40D8-BEF7-BC7E4956FBEC}"/>
            </c:ext>
          </c:extLst>
        </c:ser>
        <c:ser>
          <c:idx val="9"/>
          <c:order val="9"/>
          <c:tx>
            <c:strRef>
              <c:f>AGRO!$A$304</c:f>
              <c:strCache>
                <c:ptCount val="1"/>
                <c:pt idx="0">
                  <c:v>PTH-Fc</c:v>
                </c:pt>
              </c:strCache>
            </c:strRef>
          </c:tx>
          <c:spPr>
            <a:solidFill>
              <a:srgbClr val="FFC000"/>
            </a:solidFill>
            <a:ln>
              <a:noFill/>
            </a:ln>
            <a:effectLst/>
          </c:spPr>
          <c:invertIfNegative val="0"/>
          <c:cat>
            <c:strRef>
              <c:f>AGRO!$F$294:$I$294</c:f>
              <c:strCache>
                <c:ptCount val="4"/>
                <c:pt idx="0">
                  <c:v>System</c:v>
                </c:pt>
                <c:pt idx="1">
                  <c:v>Input</c:v>
                </c:pt>
                <c:pt idx="2">
                  <c:v>Output</c:v>
                </c:pt>
                <c:pt idx="3">
                  <c:v>Waste</c:v>
                </c:pt>
              </c:strCache>
            </c:strRef>
          </c:cat>
          <c:val>
            <c:numRef>
              <c:f>AGRO!$F$304:$I$304</c:f>
              <c:numCache>
                <c:formatCode>General</c:formatCode>
                <c:ptCount val="4"/>
              </c:numCache>
            </c:numRef>
          </c:val>
          <c:extLst>
            <c:ext xmlns:c16="http://schemas.microsoft.com/office/drawing/2014/chart" uri="{C3380CC4-5D6E-409C-BE32-E72D297353CC}">
              <c16:uniqueId val="{00000037-19C4-40D8-BEF7-BC7E4956FBEC}"/>
            </c:ext>
          </c:extLst>
        </c:ser>
        <c:ser>
          <c:idx val="10"/>
          <c:order val="10"/>
          <c:tx>
            <c:strRef>
              <c:f>AGRO!$A$305</c:f>
              <c:strCache>
                <c:ptCount val="1"/>
                <c:pt idx="0">
                  <c:v>Plant biomass</c:v>
                </c:pt>
              </c:strCache>
            </c:strRef>
          </c:tx>
          <c:spPr>
            <a:solidFill>
              <a:schemeClr val="accent6">
                <a:lumMod val="75000"/>
              </a:schemeClr>
            </a:solidFill>
          </c:spPr>
          <c:invertIfNegative val="0"/>
          <c:cat>
            <c:strRef>
              <c:f>AGRO!$F$294:$I$294</c:f>
              <c:strCache>
                <c:ptCount val="4"/>
                <c:pt idx="0">
                  <c:v>System</c:v>
                </c:pt>
                <c:pt idx="1">
                  <c:v>Input</c:v>
                </c:pt>
                <c:pt idx="2">
                  <c:v>Output</c:v>
                </c:pt>
                <c:pt idx="3">
                  <c:v>Waste</c:v>
                </c:pt>
              </c:strCache>
            </c:strRef>
          </c:cat>
          <c:val>
            <c:numRef>
              <c:f>AGRO!$F$305:$I$305</c:f>
              <c:numCache>
                <c:formatCode>0.00E+00</c:formatCode>
                <c:ptCount val="4"/>
                <c:pt idx="2">
                  <c:v>1.9213583556747092E-2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9-19C4-40D8-BEF7-BC7E4956FBEC}"/>
            </c:ext>
          </c:extLst>
        </c:ser>
        <c:ser>
          <c:idx val="11"/>
          <c:order val="11"/>
          <c:tx>
            <c:strRef>
              <c:f>AGRO!$A$306</c:f>
              <c:strCache>
                <c:ptCount val="1"/>
                <c:pt idx="0">
                  <c:v>Oxygen</c:v>
                </c:pt>
              </c:strCache>
            </c:strRef>
          </c:tx>
          <c:spPr>
            <a:solidFill>
              <a:schemeClr val="accent3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AGRO!$F$294:$I$294</c:f>
              <c:strCache>
                <c:ptCount val="4"/>
                <c:pt idx="0">
                  <c:v>System</c:v>
                </c:pt>
                <c:pt idx="1">
                  <c:v>Input</c:v>
                </c:pt>
                <c:pt idx="2">
                  <c:v>Output</c:v>
                </c:pt>
                <c:pt idx="3">
                  <c:v>Waste</c:v>
                </c:pt>
              </c:strCache>
            </c:strRef>
          </c:cat>
          <c:val>
            <c:numRef>
              <c:f>AGRO!$F$306:$I$306</c:f>
              <c:numCache>
                <c:formatCode>General</c:formatCode>
                <c:ptCount val="4"/>
                <c:pt idx="2" formatCode="0.00E+00">
                  <c:v>0.11204890096163547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B-19C4-40D8-BEF7-BC7E4956FBEC}"/>
            </c:ext>
          </c:extLst>
        </c:ser>
        <c:ser>
          <c:idx val="12"/>
          <c:order val="12"/>
          <c:tx>
            <c:strRef>
              <c:f>AGRO!$A$307</c:f>
              <c:strCache>
                <c:ptCount val="1"/>
                <c:pt idx="0">
                  <c:v>Biomass waste</c:v>
                </c:pt>
              </c:strCache>
            </c:strRef>
          </c:tx>
          <c:spPr>
            <a:solidFill>
              <a:schemeClr val="accent6">
                <a:lumMod val="60000"/>
                <a:lumOff val="40000"/>
              </a:schemeClr>
            </a:solidFill>
          </c:spPr>
          <c:invertIfNegative val="0"/>
          <c:cat>
            <c:strRef>
              <c:f>AGRO!$F$294:$I$294</c:f>
              <c:strCache>
                <c:ptCount val="4"/>
                <c:pt idx="0">
                  <c:v>System</c:v>
                </c:pt>
                <c:pt idx="1">
                  <c:v>Input</c:v>
                </c:pt>
                <c:pt idx="2">
                  <c:v>Output</c:v>
                </c:pt>
                <c:pt idx="3">
                  <c:v>Waste</c:v>
                </c:pt>
              </c:strCache>
            </c:strRef>
          </c:cat>
          <c:val>
            <c:numRef>
              <c:f>AGRO!$F$307:$I$307</c:f>
              <c:numCache>
                <c:formatCode>General</c:formatCode>
                <c:ptCount val="4"/>
                <c:pt idx="3" formatCode="0.00E+00">
                  <c:v>2.2779435949569849E-3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D-19C4-40D8-BEF7-BC7E4956FBEC}"/>
            </c:ext>
          </c:extLst>
        </c:ser>
        <c:ser>
          <c:idx val="13"/>
          <c:order val="13"/>
          <c:tx>
            <c:strRef>
              <c:f>AGRO!$A$308</c:f>
              <c:strCache>
                <c:ptCount val="1"/>
                <c:pt idx="0">
                  <c:v>Scale</c:v>
                </c:pt>
              </c:strCache>
            </c:strRef>
          </c:tx>
          <c:spPr>
            <a:solidFill>
              <a:schemeClr val="accent6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AGRO!$F$294:$I$294</c:f>
              <c:strCache>
                <c:ptCount val="4"/>
                <c:pt idx="0">
                  <c:v>System</c:v>
                </c:pt>
                <c:pt idx="1">
                  <c:v>Input</c:v>
                </c:pt>
                <c:pt idx="2">
                  <c:v>Output</c:v>
                </c:pt>
                <c:pt idx="3">
                  <c:v>Waste</c:v>
                </c:pt>
              </c:strCache>
            </c:strRef>
          </c:cat>
          <c:val>
            <c:numRef>
              <c:f>AGRO!$F$308:$I$308</c:f>
              <c:numCache>
                <c:formatCode>0.00E+00</c:formatCode>
                <c:ptCount val="4"/>
                <c:pt idx="0">
                  <c:v>4.9501190000000002E-3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F-19C4-40D8-BEF7-BC7E4956FBEC}"/>
            </c:ext>
          </c:extLst>
        </c:ser>
        <c:ser>
          <c:idx val="14"/>
          <c:order val="14"/>
          <c:tx>
            <c:strRef>
              <c:f>AGRO!$A$309</c:f>
              <c:strCache>
                <c:ptCount val="1"/>
                <c:pt idx="0">
                  <c:v>BSC</c:v>
                </c:pt>
              </c:strCache>
            </c:strRef>
          </c:tx>
          <c:spPr>
            <a:solidFill>
              <a:schemeClr val="accent6">
                <a:lumMod val="20000"/>
                <a:lumOff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AGRO!$F$294:$I$294</c:f>
              <c:strCache>
                <c:ptCount val="4"/>
                <c:pt idx="0">
                  <c:v>System</c:v>
                </c:pt>
                <c:pt idx="1">
                  <c:v>Input</c:v>
                </c:pt>
                <c:pt idx="2">
                  <c:v>Output</c:v>
                </c:pt>
                <c:pt idx="3">
                  <c:v>Waste</c:v>
                </c:pt>
              </c:strCache>
            </c:strRef>
          </c:cat>
          <c:val>
            <c:numRef>
              <c:f>AGRO!$F$309:$I$309</c:f>
              <c:numCache>
                <c:formatCode>0.00E+00</c:formatCode>
                <c:ptCount val="4"/>
                <c:pt idx="0">
                  <c:v>9.7066666666666648E-2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1-19C4-40D8-BEF7-BC7E4956FBEC}"/>
            </c:ext>
          </c:extLst>
        </c:ser>
        <c:ser>
          <c:idx val="15"/>
          <c:order val="15"/>
          <c:tx>
            <c:strRef>
              <c:f>AGRO!$A$310</c:f>
              <c:strCache>
                <c:ptCount val="1"/>
                <c:pt idx="0">
                  <c:v>Shaking incubator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AGRO!$F$294:$I$294</c:f>
              <c:strCache>
                <c:ptCount val="4"/>
                <c:pt idx="0">
                  <c:v>System</c:v>
                </c:pt>
                <c:pt idx="1">
                  <c:v>Input</c:v>
                </c:pt>
                <c:pt idx="2">
                  <c:v>Output</c:v>
                </c:pt>
                <c:pt idx="3">
                  <c:v>Waste</c:v>
                </c:pt>
              </c:strCache>
            </c:strRef>
          </c:cat>
          <c:val>
            <c:numRef>
              <c:f>AGRO!$F$310:$I$310</c:f>
              <c:numCache>
                <c:formatCode>0.00E+00</c:formatCode>
                <c:ptCount val="4"/>
                <c:pt idx="0">
                  <c:v>4.3305729999999994E-2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3-19C4-40D8-BEF7-BC7E4956FBEC}"/>
            </c:ext>
          </c:extLst>
        </c:ser>
        <c:ser>
          <c:idx val="16"/>
          <c:order val="16"/>
          <c:tx>
            <c:strRef>
              <c:f>AGRO!$A$311</c:f>
              <c:strCache>
                <c:ptCount val="1"/>
                <c:pt idx="0">
                  <c:v>Vacuum pump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  <a:effectLst/>
          </c:spPr>
          <c:invertIfNegative val="0"/>
          <c:cat>
            <c:strRef>
              <c:f>AGRO!$F$294:$I$294</c:f>
              <c:strCache>
                <c:ptCount val="4"/>
                <c:pt idx="0">
                  <c:v>System</c:v>
                </c:pt>
                <c:pt idx="1">
                  <c:v>Input</c:v>
                </c:pt>
                <c:pt idx="2">
                  <c:v>Output</c:v>
                </c:pt>
                <c:pt idx="3">
                  <c:v>Waste</c:v>
                </c:pt>
              </c:strCache>
            </c:strRef>
          </c:cat>
          <c:val>
            <c:numRef>
              <c:f>AGRO!$F$311:$I$311</c:f>
              <c:numCache>
                <c:formatCode>0.00E+00</c:formatCode>
                <c:ptCount val="4"/>
                <c:pt idx="0">
                  <c:v>8.5244195962880015E-4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5-19C4-40D8-BEF7-BC7E4956FBEC}"/>
            </c:ext>
          </c:extLst>
        </c:ser>
        <c:ser>
          <c:idx val="17"/>
          <c:order val="17"/>
          <c:tx>
            <c:strRef>
              <c:f>AGRO!$A$312</c:f>
              <c:strCache>
                <c:ptCount val="1"/>
                <c:pt idx="0">
                  <c:v>Autoclave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cat>
            <c:strRef>
              <c:f>AGRO!$F$294:$I$294</c:f>
              <c:strCache>
                <c:ptCount val="4"/>
                <c:pt idx="0">
                  <c:v>System</c:v>
                </c:pt>
                <c:pt idx="1">
                  <c:v>Input</c:v>
                </c:pt>
                <c:pt idx="2">
                  <c:v>Output</c:v>
                </c:pt>
                <c:pt idx="3">
                  <c:v>Waste</c:v>
                </c:pt>
              </c:strCache>
            </c:strRef>
          </c:cat>
          <c:val>
            <c:numRef>
              <c:f>AGRO!$F$312:$I$312</c:f>
              <c:numCache>
                <c:formatCode>0.00E+00</c:formatCode>
                <c:ptCount val="4"/>
                <c:pt idx="0">
                  <c:v>2.0212999999999998E-2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7-19C4-40D8-BEF7-BC7E4956FBEC}"/>
            </c:ext>
          </c:extLst>
        </c:ser>
        <c:ser>
          <c:idx val="18"/>
          <c:order val="18"/>
          <c:tx>
            <c:strRef>
              <c:f>AGRO!$A$313</c:f>
              <c:strCache>
                <c:ptCount val="1"/>
                <c:pt idx="0">
                  <c:v>Centrifuge</c:v>
                </c:pt>
              </c:strCache>
            </c:strRef>
          </c:tx>
          <c:invertIfNegative val="0"/>
          <c:cat>
            <c:strRef>
              <c:f>AGRO!$F$294:$I$294</c:f>
              <c:strCache>
                <c:ptCount val="4"/>
                <c:pt idx="0">
                  <c:v>System</c:v>
                </c:pt>
                <c:pt idx="1">
                  <c:v>Input</c:v>
                </c:pt>
                <c:pt idx="2">
                  <c:v>Output</c:v>
                </c:pt>
                <c:pt idx="3">
                  <c:v>Waste</c:v>
                </c:pt>
              </c:strCache>
            </c:strRef>
          </c:cat>
          <c:val>
            <c:numRef>
              <c:f>AGRO!$F$313:$I$313</c:f>
              <c:numCache>
                <c:formatCode>0.00E+00</c:formatCode>
                <c:ptCount val="4"/>
                <c:pt idx="0">
                  <c:v>1.8703599999999997E-2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9-19C4-40D8-BEF7-BC7E4956FBEC}"/>
            </c:ext>
          </c:extLst>
        </c:ser>
        <c:ser>
          <c:idx val="19"/>
          <c:order val="19"/>
          <c:tx>
            <c:strRef>
              <c:f>AGRO!$A$314</c:f>
              <c:strCache>
                <c:ptCount val="1"/>
                <c:pt idx="0">
                  <c:v>Spectrophotometer</c:v>
                </c:pt>
              </c:strCache>
            </c:strRef>
          </c:tx>
          <c:invertIfNegative val="0"/>
          <c:cat>
            <c:strRef>
              <c:f>AGRO!$F$294:$I$294</c:f>
              <c:strCache>
                <c:ptCount val="4"/>
                <c:pt idx="0">
                  <c:v>System</c:v>
                </c:pt>
                <c:pt idx="1">
                  <c:v>Input</c:v>
                </c:pt>
                <c:pt idx="2">
                  <c:v>Output</c:v>
                </c:pt>
                <c:pt idx="3">
                  <c:v>Waste</c:v>
                </c:pt>
              </c:strCache>
            </c:strRef>
          </c:cat>
          <c:val>
            <c:numRef>
              <c:f>AGRO!$F$314:$I$314</c:f>
              <c:numCache>
                <c:formatCode>0.00E+00</c:formatCode>
                <c:ptCount val="4"/>
                <c:pt idx="0">
                  <c:v>9.0000000000000006E-5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B-19C4-40D8-BEF7-BC7E4956FBEC}"/>
            </c:ext>
          </c:extLst>
        </c:ser>
        <c:ser>
          <c:idx val="20"/>
          <c:order val="20"/>
          <c:tx>
            <c:strRef>
              <c:f>AGRO!$A$315</c:f>
              <c:strCache>
                <c:ptCount val="1"/>
                <c:pt idx="0">
                  <c:v>Flask</c:v>
                </c:pt>
              </c:strCache>
            </c:strRef>
          </c:tx>
          <c:invertIfNegative val="0"/>
          <c:cat>
            <c:strRef>
              <c:f>AGRO!$F$294:$I$294</c:f>
              <c:strCache>
                <c:ptCount val="4"/>
                <c:pt idx="0">
                  <c:v>System</c:v>
                </c:pt>
                <c:pt idx="1">
                  <c:v>Input</c:v>
                </c:pt>
                <c:pt idx="2">
                  <c:v>Output</c:v>
                </c:pt>
                <c:pt idx="3">
                  <c:v>Waste</c:v>
                </c:pt>
              </c:strCache>
            </c:strRef>
          </c:cat>
          <c:val>
            <c:numRef>
              <c:f>AGRO!$F$315:$I$315</c:f>
              <c:numCache>
                <c:formatCode>0.00E+00</c:formatCode>
                <c:ptCount val="4"/>
                <c:pt idx="0">
                  <c:v>1.5833626974092556E-3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D-19C4-40D8-BEF7-BC7E4956FBEC}"/>
            </c:ext>
          </c:extLst>
        </c:ser>
        <c:ser>
          <c:idx val="21"/>
          <c:order val="21"/>
          <c:tx>
            <c:strRef>
              <c:f>AGRO!$A$316</c:f>
              <c:strCache>
                <c:ptCount val="1"/>
                <c:pt idx="0">
                  <c:v>Cuvette</c:v>
                </c:pt>
              </c:strCache>
            </c:strRef>
          </c:tx>
          <c:invertIfNegative val="0"/>
          <c:cat>
            <c:strRef>
              <c:f>AGRO!$F$294:$I$294</c:f>
              <c:strCache>
                <c:ptCount val="4"/>
                <c:pt idx="0">
                  <c:v>System</c:v>
                </c:pt>
                <c:pt idx="1">
                  <c:v>Input</c:v>
                </c:pt>
                <c:pt idx="2">
                  <c:v>Output</c:v>
                </c:pt>
                <c:pt idx="3">
                  <c:v>Waste</c:v>
                </c:pt>
              </c:strCache>
            </c:strRef>
          </c:cat>
          <c:val>
            <c:numRef>
              <c:f>AGRO!$F$316:$I$316</c:f>
              <c:numCache>
                <c:formatCode>0.00E+00</c:formatCode>
                <c:ptCount val="4"/>
                <c:pt idx="0">
                  <c:v>1.0666666666666669E-5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F-19C4-40D8-BEF7-BC7E4956FBEC}"/>
            </c:ext>
          </c:extLst>
        </c:ser>
        <c:ser>
          <c:idx val="22"/>
          <c:order val="22"/>
          <c:tx>
            <c:strRef>
              <c:f>AGRO!$A$317</c:f>
              <c:strCache>
                <c:ptCount val="1"/>
                <c:pt idx="0">
                  <c:v>Bottle</c:v>
                </c:pt>
              </c:strCache>
            </c:strRef>
          </c:tx>
          <c:invertIfNegative val="0"/>
          <c:cat>
            <c:strRef>
              <c:f>AGRO!$F$294:$I$294</c:f>
              <c:strCache>
                <c:ptCount val="4"/>
                <c:pt idx="0">
                  <c:v>System</c:v>
                </c:pt>
                <c:pt idx="1">
                  <c:v>Input</c:v>
                </c:pt>
                <c:pt idx="2">
                  <c:v>Output</c:v>
                </c:pt>
                <c:pt idx="3">
                  <c:v>Waste</c:v>
                </c:pt>
              </c:strCache>
            </c:strRef>
          </c:cat>
          <c:val>
            <c:numRef>
              <c:f>AGRO!$F$317:$I$317</c:f>
              <c:numCache>
                <c:formatCode>0.00E+00</c:formatCode>
                <c:ptCount val="4"/>
                <c:pt idx="0">
                  <c:v>9.0320788790706564E-4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51-19C4-40D8-BEF7-BC7E4956FBEC}"/>
            </c:ext>
          </c:extLst>
        </c:ser>
        <c:ser>
          <c:idx val="23"/>
          <c:order val="23"/>
          <c:tx>
            <c:strRef>
              <c:f>AGRO!$A$318</c:f>
              <c:strCache>
                <c:ptCount val="1"/>
                <c:pt idx="0">
                  <c:v>Beaker</c:v>
                </c:pt>
              </c:strCache>
            </c:strRef>
          </c:tx>
          <c:invertIfNegative val="0"/>
          <c:cat>
            <c:strRef>
              <c:f>AGRO!$F$294:$I$294</c:f>
              <c:strCache>
                <c:ptCount val="4"/>
                <c:pt idx="0">
                  <c:v>System</c:v>
                </c:pt>
                <c:pt idx="1">
                  <c:v>Input</c:v>
                </c:pt>
                <c:pt idx="2">
                  <c:v>Output</c:v>
                </c:pt>
                <c:pt idx="3">
                  <c:v>Waste</c:v>
                </c:pt>
              </c:strCache>
            </c:strRef>
          </c:cat>
          <c:val>
            <c:numRef>
              <c:f>AGRO!$F$318:$I$318</c:f>
              <c:numCache>
                <c:formatCode>0.00E+00</c:formatCode>
                <c:ptCount val="4"/>
                <c:pt idx="0">
                  <c:v>3.3183072403542192E-4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53-19C4-40D8-BEF7-BC7E4956FBEC}"/>
            </c:ext>
          </c:extLst>
        </c:ser>
        <c:ser>
          <c:idx val="24"/>
          <c:order val="24"/>
          <c:tx>
            <c:strRef>
              <c:f>AGRO!$A$319</c:f>
              <c:strCache>
                <c:ptCount val="1"/>
                <c:pt idx="0">
                  <c:v>Vacuum chamber</c:v>
                </c:pt>
              </c:strCache>
            </c:strRef>
          </c:tx>
          <c:invertIfNegative val="0"/>
          <c:cat>
            <c:strRef>
              <c:f>AGRO!$F$294:$I$294</c:f>
              <c:strCache>
                <c:ptCount val="4"/>
                <c:pt idx="0">
                  <c:v>System</c:v>
                </c:pt>
                <c:pt idx="1">
                  <c:v>Input</c:v>
                </c:pt>
                <c:pt idx="2">
                  <c:v>Output</c:v>
                </c:pt>
                <c:pt idx="3">
                  <c:v>Waste</c:v>
                </c:pt>
              </c:strCache>
            </c:strRef>
          </c:cat>
          <c:val>
            <c:numRef>
              <c:f>AGRO!$F$319:$I$319</c:f>
              <c:numCache>
                <c:formatCode>0.00E+00</c:formatCode>
                <c:ptCount val="4"/>
                <c:pt idx="0">
                  <c:v>2.9866666666666667E-6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55-19C4-40D8-BEF7-BC7E4956FBEC}"/>
            </c:ext>
          </c:extLst>
        </c:ser>
        <c:ser>
          <c:idx val="25"/>
          <c:order val="25"/>
          <c:tx>
            <c:strRef>
              <c:f>AGRO!$A$320</c:f>
              <c:strCache>
                <c:ptCount val="1"/>
                <c:pt idx="0">
                  <c:v>Centrifuge tubes</c:v>
                </c:pt>
              </c:strCache>
            </c:strRef>
          </c:tx>
          <c:invertIfNegative val="0"/>
          <c:cat>
            <c:strRef>
              <c:f>AGRO!$F$294:$I$294</c:f>
              <c:strCache>
                <c:ptCount val="4"/>
                <c:pt idx="0">
                  <c:v>System</c:v>
                </c:pt>
                <c:pt idx="1">
                  <c:v>Input</c:v>
                </c:pt>
                <c:pt idx="2">
                  <c:v>Output</c:v>
                </c:pt>
                <c:pt idx="3">
                  <c:v>Waste</c:v>
                </c:pt>
              </c:strCache>
            </c:strRef>
          </c:cat>
          <c:val>
            <c:numRef>
              <c:f>AGRO!$F$320:$I$320</c:f>
              <c:numCache>
                <c:formatCode>0.00E+00</c:formatCode>
                <c:ptCount val="4"/>
                <c:pt idx="0">
                  <c:v>5.0821873415390602E-3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57-19C4-40D8-BEF7-BC7E4956FBEC}"/>
            </c:ext>
          </c:extLst>
        </c:ser>
        <c:ser>
          <c:idx val="26"/>
          <c:order val="26"/>
          <c:tx>
            <c:strRef>
              <c:f>AGRO!$A$321</c:f>
              <c:strCache>
                <c:ptCount val="1"/>
                <c:pt idx="0">
                  <c:v>LB Media mix</c:v>
                </c:pt>
              </c:strCache>
            </c:strRef>
          </c:tx>
          <c:invertIfNegative val="0"/>
          <c:cat>
            <c:strRef>
              <c:f>AGRO!$F$294:$I$294</c:f>
              <c:strCache>
                <c:ptCount val="4"/>
                <c:pt idx="0">
                  <c:v>System</c:v>
                </c:pt>
                <c:pt idx="1">
                  <c:v>Input</c:v>
                </c:pt>
                <c:pt idx="2">
                  <c:v>Output</c:v>
                </c:pt>
                <c:pt idx="3">
                  <c:v>Waste</c:v>
                </c:pt>
              </c:strCache>
            </c:strRef>
          </c:cat>
          <c:val>
            <c:numRef>
              <c:f>AGRO!$F$321:$I$321</c:f>
              <c:numCache>
                <c:formatCode>0.00E+00</c:formatCode>
                <c:ptCount val="4"/>
                <c:pt idx="1">
                  <c:v>7.1000000000000002E-4</c:v>
                </c:pt>
                <c:pt idx="3">
                  <c:v>7.1000000000000002E-4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59-19C4-40D8-BEF7-BC7E4956FBEC}"/>
            </c:ext>
          </c:extLst>
        </c:ser>
        <c:ser>
          <c:idx val="27"/>
          <c:order val="27"/>
          <c:tx>
            <c:strRef>
              <c:f>AGRO!$A$322</c:f>
              <c:strCache>
                <c:ptCount val="1"/>
                <c:pt idx="0">
                  <c:v>Culture tubes</c:v>
                </c:pt>
              </c:strCache>
            </c:strRef>
          </c:tx>
          <c:invertIfNegative val="0"/>
          <c:cat>
            <c:strRef>
              <c:f>AGRO!$F$294:$I$294</c:f>
              <c:strCache>
                <c:ptCount val="4"/>
                <c:pt idx="0">
                  <c:v>System</c:v>
                </c:pt>
                <c:pt idx="1">
                  <c:v>Input</c:v>
                </c:pt>
                <c:pt idx="2">
                  <c:v>Output</c:v>
                </c:pt>
                <c:pt idx="3">
                  <c:v>Waste</c:v>
                </c:pt>
              </c:strCache>
            </c:strRef>
          </c:cat>
          <c:val>
            <c:numRef>
              <c:f>AGRO!$F$322:$I$322</c:f>
              <c:numCache>
                <c:formatCode>0.00E+00</c:formatCode>
                <c:ptCount val="4"/>
                <c:pt idx="1">
                  <c:v>5.2954685768909554E-3</c:v>
                </c:pt>
                <c:pt idx="3">
                  <c:v>5.2954685768909554E-3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5A-19C4-40D8-BEF7-BC7E4956FBEC}"/>
            </c:ext>
          </c:extLst>
        </c:ser>
        <c:ser>
          <c:idx val="28"/>
          <c:order val="28"/>
          <c:tx>
            <c:strRef>
              <c:f>AGRO!$A$323</c:f>
              <c:strCache>
                <c:ptCount val="1"/>
                <c:pt idx="0">
                  <c:v>Kanamycin</c:v>
                </c:pt>
              </c:strCache>
            </c:strRef>
          </c:tx>
          <c:invertIfNegative val="0"/>
          <c:cat>
            <c:strRef>
              <c:f>AGRO!$F$294:$I$294</c:f>
              <c:strCache>
                <c:ptCount val="4"/>
                <c:pt idx="0">
                  <c:v>System</c:v>
                </c:pt>
                <c:pt idx="1">
                  <c:v>Input</c:v>
                </c:pt>
                <c:pt idx="2">
                  <c:v>Output</c:v>
                </c:pt>
                <c:pt idx="3">
                  <c:v>Waste</c:v>
                </c:pt>
              </c:strCache>
            </c:strRef>
          </c:cat>
          <c:val>
            <c:numRef>
              <c:f>AGRO!$F$323:$I$323</c:f>
              <c:numCache>
                <c:formatCode>0.00E+00</c:formatCode>
                <c:ptCount val="4"/>
                <c:pt idx="1">
                  <c:v>2.8500528553366603E-5</c:v>
                </c:pt>
                <c:pt idx="3">
                  <c:v>2.8500528553366603E-5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5B-19C4-40D8-BEF7-BC7E4956FBEC}"/>
            </c:ext>
          </c:extLst>
        </c:ser>
        <c:ser>
          <c:idx val="29"/>
          <c:order val="29"/>
          <c:tx>
            <c:strRef>
              <c:f>AGRO!$A$324</c:f>
              <c:strCache>
                <c:ptCount val="1"/>
                <c:pt idx="0">
                  <c:v>Tetracycline</c:v>
                </c:pt>
              </c:strCache>
            </c:strRef>
          </c:tx>
          <c:invertIfNegative val="0"/>
          <c:cat>
            <c:strRef>
              <c:f>AGRO!$F$294:$I$294</c:f>
              <c:strCache>
                <c:ptCount val="4"/>
                <c:pt idx="0">
                  <c:v>System</c:v>
                </c:pt>
                <c:pt idx="1">
                  <c:v>Input</c:v>
                </c:pt>
                <c:pt idx="2">
                  <c:v>Output</c:v>
                </c:pt>
                <c:pt idx="3">
                  <c:v>Waste</c:v>
                </c:pt>
              </c:strCache>
            </c:strRef>
          </c:cat>
          <c:val>
            <c:numRef>
              <c:f>AGRO!$F$324:$I$324</c:f>
              <c:numCache>
                <c:formatCode>0.00E+00</c:formatCode>
                <c:ptCount val="4"/>
                <c:pt idx="1">
                  <c:v>2.8500528553366603E-5</c:v>
                </c:pt>
                <c:pt idx="3">
                  <c:v>2.8500528553366603E-5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5C-19C4-40D8-BEF7-BC7E4956FBEC}"/>
            </c:ext>
          </c:extLst>
        </c:ser>
        <c:ser>
          <c:idx val="30"/>
          <c:order val="30"/>
          <c:tx>
            <c:strRef>
              <c:f>AGRO!$A$325</c:f>
              <c:strCache>
                <c:ptCount val="1"/>
                <c:pt idx="0">
                  <c:v>Rifampicin</c:v>
                </c:pt>
              </c:strCache>
            </c:strRef>
          </c:tx>
          <c:invertIfNegative val="0"/>
          <c:cat>
            <c:strRef>
              <c:f>AGRO!$F$294:$I$294</c:f>
              <c:strCache>
                <c:ptCount val="4"/>
                <c:pt idx="0">
                  <c:v>System</c:v>
                </c:pt>
                <c:pt idx="1">
                  <c:v>Input</c:v>
                </c:pt>
                <c:pt idx="2">
                  <c:v>Output</c:v>
                </c:pt>
                <c:pt idx="3">
                  <c:v>Waste</c:v>
                </c:pt>
              </c:strCache>
            </c:strRef>
          </c:cat>
          <c:val>
            <c:numRef>
              <c:f>AGRO!$F$325:$I$325</c:f>
              <c:numCache>
                <c:formatCode>0.00E+00</c:formatCode>
                <c:ptCount val="4"/>
                <c:pt idx="1">
                  <c:v>2.8500528553366603E-5</c:v>
                </c:pt>
                <c:pt idx="3">
                  <c:v>2.8500528553366603E-5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5D-19C4-40D8-BEF7-BC7E4956FBEC}"/>
            </c:ext>
          </c:extLst>
        </c:ser>
        <c:ser>
          <c:idx val="31"/>
          <c:order val="31"/>
          <c:tx>
            <c:strRef>
              <c:f>AGRO!$A$326</c:f>
              <c:strCache>
                <c:ptCount val="1"/>
                <c:pt idx="0">
                  <c:v>Acetosyringone</c:v>
                </c:pt>
              </c:strCache>
            </c:strRef>
          </c:tx>
          <c:invertIfNegative val="0"/>
          <c:cat>
            <c:strRef>
              <c:f>AGRO!$F$294:$I$294</c:f>
              <c:strCache>
                <c:ptCount val="4"/>
                <c:pt idx="0">
                  <c:v>System</c:v>
                </c:pt>
                <c:pt idx="1">
                  <c:v>Input</c:v>
                </c:pt>
                <c:pt idx="2">
                  <c:v>Output</c:v>
                </c:pt>
                <c:pt idx="3">
                  <c:v>Waste</c:v>
                </c:pt>
              </c:strCache>
            </c:strRef>
          </c:cat>
          <c:val>
            <c:numRef>
              <c:f>AGRO!$F$326:$I$326</c:f>
              <c:numCache>
                <c:formatCode>0.00E+00</c:formatCode>
                <c:ptCount val="4"/>
                <c:pt idx="1">
                  <c:v>4.1563270806992968E-5</c:v>
                </c:pt>
                <c:pt idx="3">
                  <c:v>4.1563270806992968E-5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5E-19C4-40D8-BEF7-BC7E4956FBEC}"/>
            </c:ext>
          </c:extLst>
        </c:ser>
        <c:ser>
          <c:idx val="32"/>
          <c:order val="32"/>
          <c:tx>
            <c:strRef>
              <c:f>AGRO!$A$327</c:f>
              <c:strCache>
                <c:ptCount val="1"/>
                <c:pt idx="0">
                  <c:v>MES</c:v>
                </c:pt>
              </c:strCache>
            </c:strRef>
          </c:tx>
          <c:invertIfNegative val="0"/>
          <c:cat>
            <c:strRef>
              <c:f>AGRO!$F$294:$I$294</c:f>
              <c:strCache>
                <c:ptCount val="4"/>
                <c:pt idx="0">
                  <c:v>System</c:v>
                </c:pt>
                <c:pt idx="1">
                  <c:v>Input</c:v>
                </c:pt>
                <c:pt idx="2">
                  <c:v>Output</c:v>
                </c:pt>
                <c:pt idx="3">
                  <c:v>Waste</c:v>
                </c:pt>
              </c:strCache>
            </c:strRef>
          </c:cat>
          <c:val>
            <c:numRef>
              <c:f>AGRO!$F$327:$I$327</c:f>
              <c:numCache>
                <c:formatCode>0.00E+00</c:formatCode>
                <c:ptCount val="4"/>
                <c:pt idx="1">
                  <c:v>2.1063750423788846E-4</c:v>
                </c:pt>
                <c:pt idx="3">
                  <c:v>2.1063750423788846E-4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5F-19C4-40D8-BEF7-BC7E4956FBEC}"/>
            </c:ext>
          </c:extLst>
        </c:ser>
        <c:ser>
          <c:idx val="33"/>
          <c:order val="33"/>
          <c:tx>
            <c:strRef>
              <c:f>AGRO!$A$328</c:f>
              <c:strCache>
                <c:ptCount val="1"/>
                <c:pt idx="0">
                  <c:v>MgCl2</c:v>
                </c:pt>
              </c:strCache>
            </c:strRef>
          </c:tx>
          <c:invertIfNegative val="0"/>
          <c:cat>
            <c:strRef>
              <c:f>AGRO!$F$294:$I$294</c:f>
              <c:strCache>
                <c:ptCount val="4"/>
                <c:pt idx="0">
                  <c:v>System</c:v>
                </c:pt>
                <c:pt idx="1">
                  <c:v>Input</c:v>
                </c:pt>
                <c:pt idx="2">
                  <c:v>Output</c:v>
                </c:pt>
                <c:pt idx="3">
                  <c:v>Waste</c:v>
                </c:pt>
              </c:strCache>
            </c:strRef>
          </c:cat>
          <c:val>
            <c:numRef>
              <c:f>AGRO!$F$328:$I$328</c:f>
              <c:numCache>
                <c:formatCode>0.00E+00</c:formatCode>
                <c:ptCount val="4"/>
                <c:pt idx="1">
                  <c:v>4.2127500847577692E-4</c:v>
                </c:pt>
                <c:pt idx="3">
                  <c:v>4.2127500847577692E-4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60-19C4-40D8-BEF7-BC7E4956FBEC}"/>
            </c:ext>
          </c:extLst>
        </c:ser>
        <c:ser>
          <c:idx val="34"/>
          <c:order val="34"/>
          <c:tx>
            <c:strRef>
              <c:f>AGRO!$A$329</c:f>
              <c:strCache>
                <c:ptCount val="1"/>
                <c:pt idx="0">
                  <c:v>Silwet L-77</c:v>
                </c:pt>
              </c:strCache>
            </c:strRef>
          </c:tx>
          <c:invertIfNegative val="0"/>
          <c:cat>
            <c:strRef>
              <c:f>AGRO!$F$294:$I$294</c:f>
              <c:strCache>
                <c:ptCount val="4"/>
                <c:pt idx="0">
                  <c:v>System</c:v>
                </c:pt>
                <c:pt idx="1">
                  <c:v>Input</c:v>
                </c:pt>
                <c:pt idx="2">
                  <c:v>Output</c:v>
                </c:pt>
                <c:pt idx="3">
                  <c:v>Waste</c:v>
                </c:pt>
              </c:strCache>
            </c:strRef>
          </c:cat>
          <c:val>
            <c:numRef>
              <c:f>AGRO!$F$329:$I$329</c:f>
              <c:numCache>
                <c:formatCode>0.00E+00</c:formatCode>
                <c:ptCount val="4"/>
                <c:pt idx="1">
                  <c:v>4.7500880922277672E-6</c:v>
                </c:pt>
                <c:pt idx="3">
                  <c:v>4.7500880922277672E-6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61-19C4-40D8-BEF7-BC7E4956FBEC}"/>
            </c:ext>
          </c:extLst>
        </c:ser>
        <c:ser>
          <c:idx val="35"/>
          <c:order val="35"/>
          <c:tx>
            <c:strRef>
              <c:f>AGRO!$A$330</c:f>
              <c:strCache>
                <c:ptCount val="1"/>
                <c:pt idx="0">
                  <c:v>Agro stock tubes</c:v>
                </c:pt>
              </c:strCache>
            </c:strRef>
          </c:tx>
          <c:invertIfNegative val="0"/>
          <c:cat>
            <c:strRef>
              <c:f>AGRO!$F$294:$I$294</c:f>
              <c:strCache>
                <c:ptCount val="4"/>
                <c:pt idx="0">
                  <c:v>System</c:v>
                </c:pt>
                <c:pt idx="1">
                  <c:v>Input</c:v>
                </c:pt>
                <c:pt idx="2">
                  <c:v>Output</c:v>
                </c:pt>
                <c:pt idx="3">
                  <c:v>Waste</c:v>
                </c:pt>
              </c:strCache>
            </c:strRef>
          </c:cat>
          <c:val>
            <c:numRef>
              <c:f>AGRO!$F$330:$I$330</c:f>
              <c:numCache>
                <c:formatCode>0.00E+00</c:formatCode>
                <c:ptCount val="4"/>
                <c:pt idx="1">
                  <c:v>9.3132514215669447E-6</c:v>
                </c:pt>
                <c:pt idx="3">
                  <c:v>9.3132514215669447E-6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62-19C4-40D8-BEF7-BC7E4956FB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0"/>
        <c:overlap val="100"/>
        <c:axId val="312382031"/>
        <c:axId val="312385871"/>
      </c:barChart>
      <c:catAx>
        <c:axId val="3123820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2385871"/>
        <c:crosses val="autoZero"/>
        <c:auto val="1"/>
        <c:lblAlgn val="ctr"/>
        <c:lblOffset val="100"/>
        <c:noMultiLvlLbl val="0"/>
      </c:catAx>
      <c:valAx>
        <c:axId val="312385871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1" i="0" u="none" strike="noStrike" kern="1200" baseline="0">
                    <a:solidFill>
                      <a:sysClr val="windowText" lastClr="000000"/>
                    </a:solidFill>
                  </a:rPr>
                  <a:t>Volume (m</a:t>
                </a:r>
                <a:r>
                  <a:rPr lang="en-US" sz="1000" b="1" i="0" u="none" strike="noStrike" kern="1200" baseline="30000">
                    <a:solidFill>
                      <a:sysClr val="windowText" lastClr="000000"/>
                    </a:solidFill>
                  </a:rPr>
                  <a:t>3</a:t>
                </a:r>
                <a:r>
                  <a:rPr lang="en-US" sz="1000" b="1" i="0" u="none" strike="noStrike" kern="1200" baseline="0">
                    <a:solidFill>
                      <a:sysClr val="windowText" lastClr="000000"/>
                    </a:solidFill>
                  </a:rPr>
                  <a:t>/CM/Mission)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#,##0.0" sourceLinked="0"/>
        <c:majorTickMark val="out"/>
        <c:minorTickMark val="none"/>
        <c:tickLblPos val="nextTo"/>
        <c:spPr>
          <a:noFill/>
          <a:ln w="9525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2382031"/>
        <c:crosses val="autoZero"/>
        <c:crossBetween val="between"/>
      </c:valAx>
      <c:spPr>
        <a:ln>
          <a:solidFill>
            <a:schemeClr val="tx1"/>
          </a:solidFill>
        </a:ln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2"/>
      </a:solidFill>
      <a:round/>
    </a:ln>
    <a:effectLst/>
  </c:spPr>
  <c:txPr>
    <a:bodyPr/>
    <a:lstStyle/>
    <a:p>
      <a:pPr>
        <a:defRPr sz="1000" b="1"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none" strike="noStrike" kern="1200" baseline="0">
                <a:solidFill>
                  <a:sysClr val="windowText" lastClr="000000"/>
                </a:solidFill>
              </a:rPr>
              <a:t>AGRO Power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AGRO!$A$295</c:f>
              <c:strCache>
                <c:ptCount val="1"/>
                <c:pt idx="0">
                  <c:v>Harvesting container</c:v>
                </c:pt>
              </c:strCache>
            </c:strRef>
          </c:tx>
          <c:spPr>
            <a:solidFill>
              <a:schemeClr val="accent2">
                <a:lumMod val="20000"/>
                <a:lumOff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AGRO!$J$294:$M$294</c:f>
              <c:strCache>
                <c:ptCount val="4"/>
                <c:pt idx="0">
                  <c:v>System</c:v>
                </c:pt>
                <c:pt idx="1">
                  <c:v>Input</c:v>
                </c:pt>
                <c:pt idx="2">
                  <c:v>Output</c:v>
                </c:pt>
                <c:pt idx="3">
                  <c:v>Waste</c:v>
                </c:pt>
              </c:strCache>
            </c:strRef>
          </c:cat>
          <c:val>
            <c:numRef>
              <c:f>AGRO!$J$295:$M$295</c:f>
              <c:numCache>
                <c:formatCode>General</c:formatCode>
                <c:ptCount val="4"/>
              </c:numCache>
            </c:numRef>
          </c:val>
          <c:extLst>
            <c:ext xmlns:c16="http://schemas.microsoft.com/office/drawing/2014/chart" uri="{C3380CC4-5D6E-409C-BE32-E72D297353CC}">
              <c16:uniqueId val="{00000025-19C4-40D8-BEF7-BC7E4956FBEC}"/>
            </c:ext>
          </c:extLst>
        </c:ser>
        <c:ser>
          <c:idx val="1"/>
          <c:order val="1"/>
          <c:tx>
            <c:strRef>
              <c:f>AGRO!$A$296</c:f>
              <c:strCache>
                <c:ptCount val="1"/>
                <c:pt idx="0">
                  <c:v>Harvesting tools</c:v>
                </c:pt>
              </c:strCache>
            </c:strRef>
          </c:tx>
          <c:spPr>
            <a:solidFill>
              <a:schemeClr val="accent2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AGRO!$J$294:$M$294</c:f>
              <c:strCache>
                <c:ptCount val="4"/>
                <c:pt idx="0">
                  <c:v>System</c:v>
                </c:pt>
                <c:pt idx="1">
                  <c:v>Input</c:v>
                </c:pt>
                <c:pt idx="2">
                  <c:v>Output</c:v>
                </c:pt>
                <c:pt idx="3">
                  <c:v>Waste</c:v>
                </c:pt>
              </c:strCache>
            </c:strRef>
          </c:cat>
          <c:val>
            <c:numRef>
              <c:f>AGRO!$J$296:$M$296</c:f>
              <c:numCache>
                <c:formatCode>General</c:formatCode>
                <c:ptCount val="4"/>
              </c:numCache>
            </c:numRef>
          </c:val>
          <c:extLst>
            <c:ext xmlns:c16="http://schemas.microsoft.com/office/drawing/2014/chart" uri="{C3380CC4-5D6E-409C-BE32-E72D297353CC}">
              <c16:uniqueId val="{00000027-19C4-40D8-BEF7-BC7E4956FBEC}"/>
            </c:ext>
          </c:extLst>
        </c:ser>
        <c:ser>
          <c:idx val="2"/>
          <c:order val="2"/>
          <c:tx>
            <c:strRef>
              <c:f>AGRO!$A$297</c:f>
              <c:strCache>
                <c:ptCount val="1"/>
                <c:pt idx="0">
                  <c:v>Refrigerator/Freezer</c:v>
                </c:pt>
              </c:strCache>
            </c:strRef>
          </c:tx>
          <c:spPr>
            <a:solidFill>
              <a:schemeClr val="accent5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AGRO!$J$294:$M$294</c:f>
              <c:strCache>
                <c:ptCount val="4"/>
                <c:pt idx="0">
                  <c:v>System</c:v>
                </c:pt>
                <c:pt idx="1">
                  <c:v>Input</c:v>
                </c:pt>
                <c:pt idx="2">
                  <c:v>Output</c:v>
                </c:pt>
                <c:pt idx="3">
                  <c:v>Waste</c:v>
                </c:pt>
              </c:strCache>
            </c:strRef>
          </c:cat>
          <c:val>
            <c:numRef>
              <c:f>AGRO!$J$297:$M$297</c:f>
              <c:numCache>
                <c:formatCode>General</c:formatCode>
                <c:ptCount val="4"/>
                <c:pt idx="0" formatCode="0.00E+00">
                  <c:v>0.2050044235924933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9-19C4-40D8-BEF7-BC7E4956FBEC}"/>
            </c:ext>
          </c:extLst>
        </c:ser>
        <c:ser>
          <c:idx val="3"/>
          <c:order val="3"/>
          <c:tx>
            <c:strRef>
              <c:f>AGRO!$A$298</c:f>
              <c:strCache>
                <c:ptCount val="1"/>
                <c:pt idx="0">
                  <c:v>Lighting panels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AGRO!$J$294:$M$294</c:f>
              <c:strCache>
                <c:ptCount val="4"/>
                <c:pt idx="0">
                  <c:v>System</c:v>
                </c:pt>
                <c:pt idx="1">
                  <c:v>Input</c:v>
                </c:pt>
                <c:pt idx="2">
                  <c:v>Output</c:v>
                </c:pt>
                <c:pt idx="3">
                  <c:v>Waste</c:v>
                </c:pt>
              </c:strCache>
            </c:strRef>
          </c:cat>
          <c:val>
            <c:numRef>
              <c:f>AGRO!$J$298:$M$298</c:f>
              <c:numCache>
                <c:formatCode>General</c:formatCode>
                <c:ptCount val="4"/>
                <c:pt idx="0" formatCode="0.00E+00">
                  <c:v>5.0700000000000002E-2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B-19C4-40D8-BEF7-BC7E4956FBEC}"/>
            </c:ext>
          </c:extLst>
        </c:ser>
        <c:ser>
          <c:idx val="4"/>
          <c:order val="4"/>
          <c:tx>
            <c:strRef>
              <c:f>AGRO!$A$299</c:f>
              <c:strCache>
                <c:ptCount val="1"/>
                <c:pt idx="0">
                  <c:v>Plant growth chamber</c:v>
                </c:pt>
              </c:strCache>
            </c:strRef>
          </c:tx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strRef>
              <c:f>AGRO!$J$294:$M$294</c:f>
              <c:strCache>
                <c:ptCount val="4"/>
                <c:pt idx="0">
                  <c:v>System</c:v>
                </c:pt>
                <c:pt idx="1">
                  <c:v>Input</c:v>
                </c:pt>
                <c:pt idx="2">
                  <c:v>Output</c:v>
                </c:pt>
                <c:pt idx="3">
                  <c:v>Waste</c:v>
                </c:pt>
              </c:strCache>
            </c:strRef>
          </c:cat>
          <c:val>
            <c:numRef>
              <c:f>AGRO!$J$299:$M$299</c:f>
              <c:numCache>
                <c:formatCode>General</c:formatCode>
                <c:ptCount val="4"/>
                <c:pt idx="0" formatCode="0.00E+00">
                  <c:v>1.9741249999999995E-2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D-19C4-40D8-BEF7-BC7E4956FBEC}"/>
            </c:ext>
          </c:extLst>
        </c:ser>
        <c:ser>
          <c:idx val="5"/>
          <c:order val="5"/>
          <c:tx>
            <c:strRef>
              <c:f>AGRO!$A$300</c:f>
              <c:strCache>
                <c:ptCount val="1"/>
                <c:pt idx="0">
                  <c:v>N benthamiana seeds</c:v>
                </c:pt>
              </c:strCache>
            </c:strRef>
          </c:tx>
          <c:spPr>
            <a:solidFill>
              <a:schemeClr val="accent4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strRef>
              <c:f>AGRO!$J$294:$M$294</c:f>
              <c:strCache>
                <c:ptCount val="4"/>
                <c:pt idx="0">
                  <c:v>System</c:v>
                </c:pt>
                <c:pt idx="1">
                  <c:v>Input</c:v>
                </c:pt>
                <c:pt idx="2">
                  <c:v>Output</c:v>
                </c:pt>
                <c:pt idx="3">
                  <c:v>Waste</c:v>
                </c:pt>
              </c:strCache>
            </c:strRef>
          </c:cat>
          <c:val>
            <c:numRef>
              <c:f>AGRO!$J$300:$M$300</c:f>
              <c:numCache>
                <c:formatCode>General</c:formatCode>
                <c:ptCount val="4"/>
              </c:numCache>
            </c:numRef>
          </c:val>
          <c:extLst>
            <c:ext xmlns:c16="http://schemas.microsoft.com/office/drawing/2014/chart" uri="{C3380CC4-5D6E-409C-BE32-E72D297353CC}">
              <c16:uniqueId val="{0000002F-19C4-40D8-BEF7-BC7E4956FBEC}"/>
            </c:ext>
          </c:extLst>
        </c:ser>
        <c:ser>
          <c:idx val="6"/>
          <c:order val="6"/>
          <c:tx>
            <c:strRef>
              <c:f>AGRO!$A$301</c:f>
              <c:strCache>
                <c:ptCount val="1"/>
                <c:pt idx="0">
                  <c:v>Water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AGRO!$J$294:$M$294</c:f>
              <c:strCache>
                <c:ptCount val="4"/>
                <c:pt idx="0">
                  <c:v>System</c:v>
                </c:pt>
                <c:pt idx="1">
                  <c:v>Input</c:v>
                </c:pt>
                <c:pt idx="2">
                  <c:v>Output</c:v>
                </c:pt>
                <c:pt idx="3">
                  <c:v>Waste</c:v>
                </c:pt>
              </c:strCache>
            </c:strRef>
          </c:cat>
          <c:val>
            <c:numRef>
              <c:f>AGRO!$J$301:$M$301</c:f>
              <c:numCache>
                <c:formatCode>General</c:formatCode>
                <c:ptCount val="4"/>
              </c:numCache>
            </c:numRef>
          </c:val>
          <c:extLst>
            <c:ext xmlns:c16="http://schemas.microsoft.com/office/drawing/2014/chart" uri="{C3380CC4-5D6E-409C-BE32-E72D297353CC}">
              <c16:uniqueId val="{00000031-19C4-40D8-BEF7-BC7E4956FBEC}"/>
            </c:ext>
          </c:extLst>
        </c:ser>
        <c:ser>
          <c:idx val="7"/>
          <c:order val="7"/>
          <c:tx>
            <c:strRef>
              <c:f>AGRO!$A$302</c:f>
              <c:strCache>
                <c:ptCount val="1"/>
                <c:pt idx="0">
                  <c:v>Plant growth nutrients</c:v>
                </c:pt>
              </c:strCache>
            </c:strRef>
          </c:tx>
          <c:spPr>
            <a:solidFill>
              <a:schemeClr val="accent4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AGRO!$J$294:$M$294</c:f>
              <c:strCache>
                <c:ptCount val="4"/>
                <c:pt idx="0">
                  <c:v>System</c:v>
                </c:pt>
                <c:pt idx="1">
                  <c:v>Input</c:v>
                </c:pt>
                <c:pt idx="2">
                  <c:v>Output</c:v>
                </c:pt>
                <c:pt idx="3">
                  <c:v>Waste</c:v>
                </c:pt>
              </c:strCache>
            </c:strRef>
          </c:cat>
          <c:val>
            <c:numRef>
              <c:f>AGRO!$J$302:$M$302</c:f>
              <c:numCache>
                <c:formatCode>General</c:formatCode>
                <c:ptCount val="4"/>
              </c:numCache>
            </c:numRef>
          </c:val>
          <c:extLst>
            <c:ext xmlns:c16="http://schemas.microsoft.com/office/drawing/2014/chart" uri="{C3380CC4-5D6E-409C-BE32-E72D297353CC}">
              <c16:uniqueId val="{00000033-19C4-40D8-BEF7-BC7E4956FBEC}"/>
            </c:ext>
          </c:extLst>
        </c:ser>
        <c:ser>
          <c:idx val="8"/>
          <c:order val="8"/>
          <c:tx>
            <c:strRef>
              <c:f>AGRO!$A$303</c:f>
              <c:strCache>
                <c:ptCount val="1"/>
                <c:pt idx="0">
                  <c:v>Carbon dioxide</c:v>
                </c:pt>
              </c:strCache>
            </c:strRef>
          </c:tx>
          <c:spPr>
            <a:solidFill>
              <a:schemeClr val="accent4">
                <a:lumMod val="20000"/>
                <a:lumOff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AGRO!$J$294:$M$294</c:f>
              <c:strCache>
                <c:ptCount val="4"/>
                <c:pt idx="0">
                  <c:v>System</c:v>
                </c:pt>
                <c:pt idx="1">
                  <c:v>Input</c:v>
                </c:pt>
                <c:pt idx="2">
                  <c:v>Output</c:v>
                </c:pt>
                <c:pt idx="3">
                  <c:v>Waste</c:v>
                </c:pt>
              </c:strCache>
            </c:strRef>
          </c:cat>
          <c:val>
            <c:numRef>
              <c:f>AGRO!$J$303:$M$303</c:f>
              <c:numCache>
                <c:formatCode>General</c:formatCode>
                <c:ptCount val="4"/>
              </c:numCache>
            </c:numRef>
          </c:val>
          <c:extLst>
            <c:ext xmlns:c16="http://schemas.microsoft.com/office/drawing/2014/chart" uri="{C3380CC4-5D6E-409C-BE32-E72D297353CC}">
              <c16:uniqueId val="{00000035-19C4-40D8-BEF7-BC7E4956FBEC}"/>
            </c:ext>
          </c:extLst>
        </c:ser>
        <c:ser>
          <c:idx val="9"/>
          <c:order val="9"/>
          <c:tx>
            <c:strRef>
              <c:f>AGRO!$A$304</c:f>
              <c:strCache>
                <c:ptCount val="1"/>
                <c:pt idx="0">
                  <c:v>PTH-Fc</c:v>
                </c:pt>
              </c:strCache>
            </c:strRef>
          </c:tx>
          <c:spPr>
            <a:solidFill>
              <a:srgbClr val="FFC000"/>
            </a:solidFill>
            <a:ln>
              <a:noFill/>
            </a:ln>
            <a:effectLst/>
          </c:spPr>
          <c:invertIfNegative val="0"/>
          <c:cat>
            <c:strRef>
              <c:f>AGRO!$J$294:$M$294</c:f>
              <c:strCache>
                <c:ptCount val="4"/>
                <c:pt idx="0">
                  <c:v>System</c:v>
                </c:pt>
                <c:pt idx="1">
                  <c:v>Input</c:v>
                </c:pt>
                <c:pt idx="2">
                  <c:v>Output</c:v>
                </c:pt>
                <c:pt idx="3">
                  <c:v>Waste</c:v>
                </c:pt>
              </c:strCache>
            </c:strRef>
          </c:cat>
          <c:val>
            <c:numRef>
              <c:f>AGRO!$J$304:$M$304</c:f>
              <c:numCache>
                <c:formatCode>General</c:formatCode>
                <c:ptCount val="4"/>
              </c:numCache>
            </c:numRef>
          </c:val>
          <c:extLst>
            <c:ext xmlns:c16="http://schemas.microsoft.com/office/drawing/2014/chart" uri="{C3380CC4-5D6E-409C-BE32-E72D297353CC}">
              <c16:uniqueId val="{00000037-19C4-40D8-BEF7-BC7E4956FBEC}"/>
            </c:ext>
          </c:extLst>
        </c:ser>
        <c:ser>
          <c:idx val="10"/>
          <c:order val="10"/>
          <c:tx>
            <c:strRef>
              <c:f>AGRO!$A$305</c:f>
              <c:strCache>
                <c:ptCount val="1"/>
                <c:pt idx="0">
                  <c:v>Plant biomass</c:v>
                </c:pt>
              </c:strCache>
            </c:strRef>
          </c:tx>
          <c:spPr>
            <a:solidFill>
              <a:schemeClr val="accent6">
                <a:lumMod val="75000"/>
              </a:schemeClr>
            </a:solidFill>
          </c:spPr>
          <c:invertIfNegative val="0"/>
          <c:cat>
            <c:strRef>
              <c:f>AGRO!$J$294:$M$294</c:f>
              <c:strCache>
                <c:ptCount val="4"/>
                <c:pt idx="0">
                  <c:v>System</c:v>
                </c:pt>
                <c:pt idx="1">
                  <c:v>Input</c:v>
                </c:pt>
                <c:pt idx="2">
                  <c:v>Output</c:v>
                </c:pt>
                <c:pt idx="3">
                  <c:v>Waste</c:v>
                </c:pt>
              </c:strCache>
            </c:strRef>
          </c:cat>
          <c:val>
            <c:numRef>
              <c:f>AGRO!$J$305:$M$305</c:f>
              <c:numCache>
                <c:formatCode>General</c:formatCode>
                <c:ptCount val="4"/>
              </c:numCache>
            </c:numRef>
          </c:val>
          <c:extLst>
            <c:ext xmlns:c16="http://schemas.microsoft.com/office/drawing/2014/chart" uri="{C3380CC4-5D6E-409C-BE32-E72D297353CC}">
              <c16:uniqueId val="{00000039-19C4-40D8-BEF7-BC7E4956FBEC}"/>
            </c:ext>
          </c:extLst>
        </c:ser>
        <c:ser>
          <c:idx val="11"/>
          <c:order val="11"/>
          <c:tx>
            <c:strRef>
              <c:f>AGRO!$A$306</c:f>
              <c:strCache>
                <c:ptCount val="1"/>
                <c:pt idx="0">
                  <c:v>Oxygen</c:v>
                </c:pt>
              </c:strCache>
            </c:strRef>
          </c:tx>
          <c:spPr>
            <a:solidFill>
              <a:schemeClr val="accent3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AGRO!$J$294:$M$294</c:f>
              <c:strCache>
                <c:ptCount val="4"/>
                <c:pt idx="0">
                  <c:v>System</c:v>
                </c:pt>
                <c:pt idx="1">
                  <c:v>Input</c:v>
                </c:pt>
                <c:pt idx="2">
                  <c:v>Output</c:v>
                </c:pt>
                <c:pt idx="3">
                  <c:v>Waste</c:v>
                </c:pt>
              </c:strCache>
            </c:strRef>
          </c:cat>
          <c:val>
            <c:numRef>
              <c:f>AGRO!$J$306:$M$306</c:f>
              <c:numCache>
                <c:formatCode>General</c:formatCode>
                <c:ptCount val="4"/>
              </c:numCache>
            </c:numRef>
          </c:val>
          <c:extLst>
            <c:ext xmlns:c16="http://schemas.microsoft.com/office/drawing/2014/chart" uri="{C3380CC4-5D6E-409C-BE32-E72D297353CC}">
              <c16:uniqueId val="{0000003B-19C4-40D8-BEF7-BC7E4956FBEC}"/>
            </c:ext>
          </c:extLst>
        </c:ser>
        <c:ser>
          <c:idx val="12"/>
          <c:order val="12"/>
          <c:tx>
            <c:strRef>
              <c:f>AGRO!$A$307</c:f>
              <c:strCache>
                <c:ptCount val="1"/>
                <c:pt idx="0">
                  <c:v>Biomass waste</c:v>
                </c:pt>
              </c:strCache>
            </c:strRef>
          </c:tx>
          <c:spPr>
            <a:solidFill>
              <a:schemeClr val="accent6">
                <a:lumMod val="60000"/>
                <a:lumOff val="40000"/>
              </a:schemeClr>
            </a:solidFill>
          </c:spPr>
          <c:invertIfNegative val="0"/>
          <c:cat>
            <c:strRef>
              <c:f>AGRO!$J$294:$M$294</c:f>
              <c:strCache>
                <c:ptCount val="4"/>
                <c:pt idx="0">
                  <c:v>System</c:v>
                </c:pt>
                <c:pt idx="1">
                  <c:v>Input</c:v>
                </c:pt>
                <c:pt idx="2">
                  <c:v>Output</c:v>
                </c:pt>
                <c:pt idx="3">
                  <c:v>Waste</c:v>
                </c:pt>
              </c:strCache>
            </c:strRef>
          </c:cat>
          <c:val>
            <c:numRef>
              <c:f>AGRO!$J$307:$M$307</c:f>
              <c:numCache>
                <c:formatCode>General</c:formatCode>
                <c:ptCount val="4"/>
              </c:numCache>
            </c:numRef>
          </c:val>
          <c:extLst>
            <c:ext xmlns:c16="http://schemas.microsoft.com/office/drawing/2014/chart" uri="{C3380CC4-5D6E-409C-BE32-E72D297353CC}">
              <c16:uniqueId val="{0000003D-19C4-40D8-BEF7-BC7E4956FBEC}"/>
            </c:ext>
          </c:extLst>
        </c:ser>
        <c:ser>
          <c:idx val="13"/>
          <c:order val="13"/>
          <c:tx>
            <c:strRef>
              <c:f>AGRO!$A$308</c:f>
              <c:strCache>
                <c:ptCount val="1"/>
                <c:pt idx="0">
                  <c:v>Scale</c:v>
                </c:pt>
              </c:strCache>
            </c:strRef>
          </c:tx>
          <c:spPr>
            <a:solidFill>
              <a:schemeClr val="accent6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AGRO!$J$294:$M$294</c:f>
              <c:strCache>
                <c:ptCount val="4"/>
                <c:pt idx="0">
                  <c:v>System</c:v>
                </c:pt>
                <c:pt idx="1">
                  <c:v>Input</c:v>
                </c:pt>
                <c:pt idx="2">
                  <c:v>Output</c:v>
                </c:pt>
                <c:pt idx="3">
                  <c:v>Waste</c:v>
                </c:pt>
              </c:strCache>
            </c:strRef>
          </c:cat>
          <c:val>
            <c:numRef>
              <c:f>AGRO!$J$308:$M$308</c:f>
              <c:numCache>
                <c:formatCode>0.00E+00</c:formatCode>
                <c:ptCount val="4"/>
                <c:pt idx="0">
                  <c:v>3.6666666666666667E-4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F-19C4-40D8-BEF7-BC7E4956FBEC}"/>
            </c:ext>
          </c:extLst>
        </c:ser>
        <c:ser>
          <c:idx val="14"/>
          <c:order val="14"/>
          <c:tx>
            <c:strRef>
              <c:f>AGRO!$A$309</c:f>
              <c:strCache>
                <c:ptCount val="1"/>
                <c:pt idx="0">
                  <c:v>BSC</c:v>
                </c:pt>
              </c:strCache>
            </c:strRef>
          </c:tx>
          <c:spPr>
            <a:solidFill>
              <a:schemeClr val="accent6">
                <a:lumMod val="20000"/>
                <a:lumOff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AGRO!$J$294:$M$294</c:f>
              <c:strCache>
                <c:ptCount val="4"/>
                <c:pt idx="0">
                  <c:v>System</c:v>
                </c:pt>
                <c:pt idx="1">
                  <c:v>Input</c:v>
                </c:pt>
                <c:pt idx="2">
                  <c:v>Output</c:v>
                </c:pt>
                <c:pt idx="3">
                  <c:v>Waste</c:v>
                </c:pt>
              </c:strCache>
            </c:strRef>
          </c:cat>
          <c:val>
            <c:numRef>
              <c:f>AGRO!$J$309:$M$309</c:f>
              <c:numCache>
                <c:formatCode>0.00E+00</c:formatCode>
                <c:ptCount val="4"/>
                <c:pt idx="0">
                  <c:v>0.11666666666666665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1-19C4-40D8-BEF7-BC7E4956FBEC}"/>
            </c:ext>
          </c:extLst>
        </c:ser>
        <c:ser>
          <c:idx val="15"/>
          <c:order val="15"/>
          <c:tx>
            <c:strRef>
              <c:f>AGRO!$A$310</c:f>
              <c:strCache>
                <c:ptCount val="1"/>
                <c:pt idx="0">
                  <c:v>Shaking incubator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AGRO!$J$294:$M$294</c:f>
              <c:strCache>
                <c:ptCount val="4"/>
                <c:pt idx="0">
                  <c:v>System</c:v>
                </c:pt>
                <c:pt idx="1">
                  <c:v>Input</c:v>
                </c:pt>
                <c:pt idx="2">
                  <c:v>Output</c:v>
                </c:pt>
                <c:pt idx="3">
                  <c:v>Waste</c:v>
                </c:pt>
              </c:strCache>
            </c:strRef>
          </c:cat>
          <c:val>
            <c:numRef>
              <c:f>AGRO!$J$310:$M$310</c:f>
              <c:numCache>
                <c:formatCode>0.00E+00</c:formatCode>
                <c:ptCount val="4"/>
                <c:pt idx="0">
                  <c:v>0.12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3-19C4-40D8-BEF7-BC7E4956FBEC}"/>
            </c:ext>
          </c:extLst>
        </c:ser>
        <c:ser>
          <c:idx val="16"/>
          <c:order val="16"/>
          <c:tx>
            <c:strRef>
              <c:f>AGRO!$A$311</c:f>
              <c:strCache>
                <c:ptCount val="1"/>
                <c:pt idx="0">
                  <c:v>Vacuum pump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  <a:effectLst/>
          </c:spPr>
          <c:invertIfNegative val="0"/>
          <c:cat>
            <c:strRef>
              <c:f>AGRO!$J$294:$M$294</c:f>
              <c:strCache>
                <c:ptCount val="4"/>
                <c:pt idx="0">
                  <c:v>System</c:v>
                </c:pt>
                <c:pt idx="1">
                  <c:v>Input</c:v>
                </c:pt>
                <c:pt idx="2">
                  <c:v>Output</c:v>
                </c:pt>
                <c:pt idx="3">
                  <c:v>Waste</c:v>
                </c:pt>
              </c:strCache>
            </c:strRef>
          </c:cat>
          <c:val>
            <c:numRef>
              <c:f>AGRO!$J$311:$M$311</c:f>
              <c:numCache>
                <c:formatCode>0.00E+00</c:formatCode>
                <c:ptCount val="4"/>
                <c:pt idx="0">
                  <c:v>7.2450000000000001E-2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5-19C4-40D8-BEF7-BC7E4956FBEC}"/>
            </c:ext>
          </c:extLst>
        </c:ser>
        <c:ser>
          <c:idx val="17"/>
          <c:order val="17"/>
          <c:tx>
            <c:strRef>
              <c:f>AGRO!$A$312</c:f>
              <c:strCache>
                <c:ptCount val="1"/>
                <c:pt idx="0">
                  <c:v>Autoclave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cat>
            <c:strRef>
              <c:f>AGRO!$J$294:$M$294</c:f>
              <c:strCache>
                <c:ptCount val="4"/>
                <c:pt idx="0">
                  <c:v>System</c:v>
                </c:pt>
                <c:pt idx="1">
                  <c:v>Input</c:v>
                </c:pt>
                <c:pt idx="2">
                  <c:v>Output</c:v>
                </c:pt>
                <c:pt idx="3">
                  <c:v>Waste</c:v>
                </c:pt>
              </c:strCache>
            </c:strRef>
          </c:cat>
          <c:val>
            <c:numRef>
              <c:f>AGRO!$J$312:$M$312</c:f>
              <c:numCache>
                <c:formatCode>0.00E+00</c:formatCode>
                <c:ptCount val="4"/>
                <c:pt idx="0">
                  <c:v>0.23333333333333331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7-19C4-40D8-BEF7-BC7E4956FBEC}"/>
            </c:ext>
          </c:extLst>
        </c:ser>
        <c:ser>
          <c:idx val="18"/>
          <c:order val="18"/>
          <c:tx>
            <c:strRef>
              <c:f>AGRO!$A$313</c:f>
              <c:strCache>
                <c:ptCount val="1"/>
                <c:pt idx="0">
                  <c:v>Centrifuge</c:v>
                </c:pt>
              </c:strCache>
            </c:strRef>
          </c:tx>
          <c:invertIfNegative val="0"/>
          <c:cat>
            <c:strRef>
              <c:f>AGRO!$J$294:$M$294</c:f>
              <c:strCache>
                <c:ptCount val="4"/>
                <c:pt idx="0">
                  <c:v>System</c:v>
                </c:pt>
                <c:pt idx="1">
                  <c:v>Input</c:v>
                </c:pt>
                <c:pt idx="2">
                  <c:v>Output</c:v>
                </c:pt>
                <c:pt idx="3">
                  <c:v>Waste</c:v>
                </c:pt>
              </c:strCache>
            </c:strRef>
          </c:cat>
          <c:val>
            <c:numRef>
              <c:f>AGRO!$J$313:$M$313</c:f>
              <c:numCache>
                <c:formatCode>0.00E+00</c:formatCode>
                <c:ptCount val="4"/>
                <c:pt idx="0">
                  <c:v>0.15833333333333333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9-19C4-40D8-BEF7-BC7E4956FBEC}"/>
            </c:ext>
          </c:extLst>
        </c:ser>
        <c:ser>
          <c:idx val="19"/>
          <c:order val="19"/>
          <c:tx>
            <c:strRef>
              <c:f>AGRO!$A$314</c:f>
              <c:strCache>
                <c:ptCount val="1"/>
                <c:pt idx="0">
                  <c:v>Spectrophotometer</c:v>
                </c:pt>
              </c:strCache>
            </c:strRef>
          </c:tx>
          <c:invertIfNegative val="0"/>
          <c:cat>
            <c:strRef>
              <c:f>AGRO!$J$294:$M$294</c:f>
              <c:strCache>
                <c:ptCount val="4"/>
                <c:pt idx="0">
                  <c:v>System</c:v>
                </c:pt>
                <c:pt idx="1">
                  <c:v>Input</c:v>
                </c:pt>
                <c:pt idx="2">
                  <c:v>Output</c:v>
                </c:pt>
                <c:pt idx="3">
                  <c:v>Waste</c:v>
                </c:pt>
              </c:strCache>
            </c:strRef>
          </c:cat>
          <c:val>
            <c:numRef>
              <c:f>AGRO!$J$314:$M$314</c:f>
              <c:numCache>
                <c:formatCode>0.00E+00</c:formatCode>
                <c:ptCount val="4"/>
              </c:numCache>
            </c:numRef>
          </c:val>
          <c:extLst>
            <c:ext xmlns:c16="http://schemas.microsoft.com/office/drawing/2014/chart" uri="{C3380CC4-5D6E-409C-BE32-E72D297353CC}">
              <c16:uniqueId val="{0000004B-19C4-40D8-BEF7-BC7E4956FBEC}"/>
            </c:ext>
          </c:extLst>
        </c:ser>
        <c:ser>
          <c:idx val="20"/>
          <c:order val="20"/>
          <c:tx>
            <c:strRef>
              <c:f>AGRO!$A$315</c:f>
              <c:strCache>
                <c:ptCount val="1"/>
                <c:pt idx="0">
                  <c:v>Flask</c:v>
                </c:pt>
              </c:strCache>
            </c:strRef>
          </c:tx>
          <c:invertIfNegative val="0"/>
          <c:cat>
            <c:strRef>
              <c:f>AGRO!$J$294:$M$294</c:f>
              <c:strCache>
                <c:ptCount val="4"/>
                <c:pt idx="0">
                  <c:v>System</c:v>
                </c:pt>
                <c:pt idx="1">
                  <c:v>Input</c:v>
                </c:pt>
                <c:pt idx="2">
                  <c:v>Output</c:v>
                </c:pt>
                <c:pt idx="3">
                  <c:v>Waste</c:v>
                </c:pt>
              </c:strCache>
            </c:strRef>
          </c:cat>
          <c:val>
            <c:numRef>
              <c:f>AGRO!$J$315:$M$315</c:f>
              <c:numCache>
                <c:formatCode>0.00E+00</c:formatCode>
                <c:ptCount val="4"/>
              </c:numCache>
            </c:numRef>
          </c:val>
          <c:extLst>
            <c:ext xmlns:c16="http://schemas.microsoft.com/office/drawing/2014/chart" uri="{C3380CC4-5D6E-409C-BE32-E72D297353CC}">
              <c16:uniqueId val="{0000004D-19C4-40D8-BEF7-BC7E4956FBEC}"/>
            </c:ext>
          </c:extLst>
        </c:ser>
        <c:ser>
          <c:idx val="21"/>
          <c:order val="21"/>
          <c:tx>
            <c:strRef>
              <c:f>AGRO!$A$316</c:f>
              <c:strCache>
                <c:ptCount val="1"/>
                <c:pt idx="0">
                  <c:v>Cuvette</c:v>
                </c:pt>
              </c:strCache>
            </c:strRef>
          </c:tx>
          <c:invertIfNegative val="0"/>
          <c:cat>
            <c:strRef>
              <c:f>AGRO!$J$294:$M$294</c:f>
              <c:strCache>
                <c:ptCount val="4"/>
                <c:pt idx="0">
                  <c:v>System</c:v>
                </c:pt>
                <c:pt idx="1">
                  <c:v>Input</c:v>
                </c:pt>
                <c:pt idx="2">
                  <c:v>Output</c:v>
                </c:pt>
                <c:pt idx="3">
                  <c:v>Waste</c:v>
                </c:pt>
              </c:strCache>
            </c:strRef>
          </c:cat>
          <c:val>
            <c:numRef>
              <c:f>AGRO!$J$316:$M$316</c:f>
              <c:numCache>
                <c:formatCode>0.00E+00</c:formatCode>
                <c:ptCount val="4"/>
              </c:numCache>
            </c:numRef>
          </c:val>
          <c:extLst>
            <c:ext xmlns:c16="http://schemas.microsoft.com/office/drawing/2014/chart" uri="{C3380CC4-5D6E-409C-BE32-E72D297353CC}">
              <c16:uniqueId val="{0000004F-19C4-40D8-BEF7-BC7E4956FBEC}"/>
            </c:ext>
          </c:extLst>
        </c:ser>
        <c:ser>
          <c:idx val="22"/>
          <c:order val="22"/>
          <c:tx>
            <c:strRef>
              <c:f>AGRO!$A$317</c:f>
              <c:strCache>
                <c:ptCount val="1"/>
                <c:pt idx="0">
                  <c:v>Bottle</c:v>
                </c:pt>
              </c:strCache>
            </c:strRef>
          </c:tx>
          <c:invertIfNegative val="0"/>
          <c:cat>
            <c:strRef>
              <c:f>AGRO!$J$294:$M$294</c:f>
              <c:strCache>
                <c:ptCount val="4"/>
                <c:pt idx="0">
                  <c:v>System</c:v>
                </c:pt>
                <c:pt idx="1">
                  <c:v>Input</c:v>
                </c:pt>
                <c:pt idx="2">
                  <c:v>Output</c:v>
                </c:pt>
                <c:pt idx="3">
                  <c:v>Waste</c:v>
                </c:pt>
              </c:strCache>
            </c:strRef>
          </c:cat>
          <c:val>
            <c:numRef>
              <c:f>AGRO!$J$317:$M$317</c:f>
              <c:numCache>
                <c:formatCode>0.00E+00</c:formatCode>
                <c:ptCount val="4"/>
              </c:numCache>
            </c:numRef>
          </c:val>
          <c:extLst>
            <c:ext xmlns:c16="http://schemas.microsoft.com/office/drawing/2014/chart" uri="{C3380CC4-5D6E-409C-BE32-E72D297353CC}">
              <c16:uniqueId val="{00000051-19C4-40D8-BEF7-BC7E4956FBEC}"/>
            </c:ext>
          </c:extLst>
        </c:ser>
        <c:ser>
          <c:idx val="23"/>
          <c:order val="23"/>
          <c:tx>
            <c:strRef>
              <c:f>AGRO!$A$318</c:f>
              <c:strCache>
                <c:ptCount val="1"/>
                <c:pt idx="0">
                  <c:v>Beaker</c:v>
                </c:pt>
              </c:strCache>
            </c:strRef>
          </c:tx>
          <c:invertIfNegative val="0"/>
          <c:cat>
            <c:strRef>
              <c:f>AGRO!$J$294:$M$294</c:f>
              <c:strCache>
                <c:ptCount val="4"/>
                <c:pt idx="0">
                  <c:v>System</c:v>
                </c:pt>
                <c:pt idx="1">
                  <c:v>Input</c:v>
                </c:pt>
                <c:pt idx="2">
                  <c:v>Output</c:v>
                </c:pt>
                <c:pt idx="3">
                  <c:v>Waste</c:v>
                </c:pt>
              </c:strCache>
            </c:strRef>
          </c:cat>
          <c:val>
            <c:numRef>
              <c:f>AGRO!$J$318:$M$318</c:f>
              <c:numCache>
                <c:formatCode>0.00E+00</c:formatCode>
                <c:ptCount val="4"/>
              </c:numCache>
            </c:numRef>
          </c:val>
          <c:extLst>
            <c:ext xmlns:c16="http://schemas.microsoft.com/office/drawing/2014/chart" uri="{C3380CC4-5D6E-409C-BE32-E72D297353CC}">
              <c16:uniqueId val="{00000053-19C4-40D8-BEF7-BC7E4956FBEC}"/>
            </c:ext>
          </c:extLst>
        </c:ser>
        <c:ser>
          <c:idx val="24"/>
          <c:order val="24"/>
          <c:tx>
            <c:strRef>
              <c:f>AGRO!$A$319</c:f>
              <c:strCache>
                <c:ptCount val="1"/>
                <c:pt idx="0">
                  <c:v>Vacuum chamber</c:v>
                </c:pt>
              </c:strCache>
            </c:strRef>
          </c:tx>
          <c:invertIfNegative val="0"/>
          <c:cat>
            <c:strRef>
              <c:f>AGRO!$J$294:$M$294</c:f>
              <c:strCache>
                <c:ptCount val="4"/>
                <c:pt idx="0">
                  <c:v>System</c:v>
                </c:pt>
                <c:pt idx="1">
                  <c:v>Input</c:v>
                </c:pt>
                <c:pt idx="2">
                  <c:v>Output</c:v>
                </c:pt>
                <c:pt idx="3">
                  <c:v>Waste</c:v>
                </c:pt>
              </c:strCache>
            </c:strRef>
          </c:cat>
          <c:val>
            <c:numRef>
              <c:f>AGRO!$J$319:$M$319</c:f>
              <c:numCache>
                <c:formatCode>0.00E+00</c:formatCode>
                <c:ptCount val="4"/>
              </c:numCache>
            </c:numRef>
          </c:val>
          <c:extLst>
            <c:ext xmlns:c16="http://schemas.microsoft.com/office/drawing/2014/chart" uri="{C3380CC4-5D6E-409C-BE32-E72D297353CC}">
              <c16:uniqueId val="{00000055-19C4-40D8-BEF7-BC7E4956FBEC}"/>
            </c:ext>
          </c:extLst>
        </c:ser>
        <c:ser>
          <c:idx val="25"/>
          <c:order val="25"/>
          <c:tx>
            <c:strRef>
              <c:f>AGRO!$A$320</c:f>
              <c:strCache>
                <c:ptCount val="1"/>
                <c:pt idx="0">
                  <c:v>Centrifuge tubes</c:v>
                </c:pt>
              </c:strCache>
            </c:strRef>
          </c:tx>
          <c:invertIfNegative val="0"/>
          <c:cat>
            <c:strRef>
              <c:f>AGRO!$J$294:$M$294</c:f>
              <c:strCache>
                <c:ptCount val="4"/>
                <c:pt idx="0">
                  <c:v>System</c:v>
                </c:pt>
                <c:pt idx="1">
                  <c:v>Input</c:v>
                </c:pt>
                <c:pt idx="2">
                  <c:v>Output</c:v>
                </c:pt>
                <c:pt idx="3">
                  <c:v>Waste</c:v>
                </c:pt>
              </c:strCache>
            </c:strRef>
          </c:cat>
          <c:val>
            <c:numRef>
              <c:f>AGRO!$J$320:$M$320</c:f>
              <c:numCache>
                <c:formatCode>0.00E+00</c:formatCode>
                <c:ptCount val="4"/>
              </c:numCache>
            </c:numRef>
          </c:val>
          <c:extLst>
            <c:ext xmlns:c16="http://schemas.microsoft.com/office/drawing/2014/chart" uri="{C3380CC4-5D6E-409C-BE32-E72D297353CC}">
              <c16:uniqueId val="{00000057-19C4-40D8-BEF7-BC7E4956FBEC}"/>
            </c:ext>
          </c:extLst>
        </c:ser>
        <c:ser>
          <c:idx val="26"/>
          <c:order val="26"/>
          <c:tx>
            <c:strRef>
              <c:f>AGRO!$A$321</c:f>
              <c:strCache>
                <c:ptCount val="1"/>
                <c:pt idx="0">
                  <c:v>LB Media mix</c:v>
                </c:pt>
              </c:strCache>
            </c:strRef>
          </c:tx>
          <c:invertIfNegative val="0"/>
          <c:cat>
            <c:strRef>
              <c:f>AGRO!$J$294:$M$294</c:f>
              <c:strCache>
                <c:ptCount val="4"/>
                <c:pt idx="0">
                  <c:v>System</c:v>
                </c:pt>
                <c:pt idx="1">
                  <c:v>Input</c:v>
                </c:pt>
                <c:pt idx="2">
                  <c:v>Output</c:v>
                </c:pt>
                <c:pt idx="3">
                  <c:v>Waste</c:v>
                </c:pt>
              </c:strCache>
            </c:strRef>
          </c:cat>
          <c:val>
            <c:numRef>
              <c:f>AGRO!$J$321:$M$321</c:f>
              <c:numCache>
                <c:formatCode>0.00E+00</c:formatCode>
                <c:ptCount val="4"/>
              </c:numCache>
            </c:numRef>
          </c:val>
          <c:extLst>
            <c:ext xmlns:c16="http://schemas.microsoft.com/office/drawing/2014/chart" uri="{C3380CC4-5D6E-409C-BE32-E72D297353CC}">
              <c16:uniqueId val="{00000059-19C4-40D8-BEF7-BC7E4956FBEC}"/>
            </c:ext>
          </c:extLst>
        </c:ser>
        <c:ser>
          <c:idx val="27"/>
          <c:order val="27"/>
          <c:tx>
            <c:strRef>
              <c:f>AGRO!$A$322</c:f>
              <c:strCache>
                <c:ptCount val="1"/>
                <c:pt idx="0">
                  <c:v>Culture tubes</c:v>
                </c:pt>
              </c:strCache>
            </c:strRef>
          </c:tx>
          <c:invertIfNegative val="0"/>
          <c:cat>
            <c:strRef>
              <c:f>AGRO!$J$294:$M$294</c:f>
              <c:strCache>
                <c:ptCount val="4"/>
                <c:pt idx="0">
                  <c:v>System</c:v>
                </c:pt>
                <c:pt idx="1">
                  <c:v>Input</c:v>
                </c:pt>
                <c:pt idx="2">
                  <c:v>Output</c:v>
                </c:pt>
                <c:pt idx="3">
                  <c:v>Waste</c:v>
                </c:pt>
              </c:strCache>
            </c:strRef>
          </c:cat>
          <c:val>
            <c:numRef>
              <c:f>AGRO!$J$322:$M$322</c:f>
              <c:numCache>
                <c:formatCode>0.00E+00</c:formatCode>
                <c:ptCount val="4"/>
              </c:numCache>
            </c:numRef>
          </c:val>
          <c:extLst>
            <c:ext xmlns:c16="http://schemas.microsoft.com/office/drawing/2014/chart" uri="{C3380CC4-5D6E-409C-BE32-E72D297353CC}">
              <c16:uniqueId val="{0000005A-19C4-40D8-BEF7-BC7E4956FBEC}"/>
            </c:ext>
          </c:extLst>
        </c:ser>
        <c:ser>
          <c:idx val="28"/>
          <c:order val="28"/>
          <c:tx>
            <c:strRef>
              <c:f>AGRO!$A$323</c:f>
              <c:strCache>
                <c:ptCount val="1"/>
                <c:pt idx="0">
                  <c:v>Kanamycin</c:v>
                </c:pt>
              </c:strCache>
            </c:strRef>
          </c:tx>
          <c:invertIfNegative val="0"/>
          <c:cat>
            <c:strRef>
              <c:f>AGRO!$J$294:$M$294</c:f>
              <c:strCache>
                <c:ptCount val="4"/>
                <c:pt idx="0">
                  <c:v>System</c:v>
                </c:pt>
                <c:pt idx="1">
                  <c:v>Input</c:v>
                </c:pt>
                <c:pt idx="2">
                  <c:v>Output</c:v>
                </c:pt>
                <c:pt idx="3">
                  <c:v>Waste</c:v>
                </c:pt>
              </c:strCache>
            </c:strRef>
          </c:cat>
          <c:val>
            <c:numRef>
              <c:f>AGRO!$J$323:$M$323</c:f>
              <c:numCache>
                <c:formatCode>0.00E+00</c:formatCode>
                <c:ptCount val="4"/>
              </c:numCache>
            </c:numRef>
          </c:val>
          <c:extLst>
            <c:ext xmlns:c16="http://schemas.microsoft.com/office/drawing/2014/chart" uri="{C3380CC4-5D6E-409C-BE32-E72D297353CC}">
              <c16:uniqueId val="{0000005B-19C4-40D8-BEF7-BC7E4956FBEC}"/>
            </c:ext>
          </c:extLst>
        </c:ser>
        <c:ser>
          <c:idx val="29"/>
          <c:order val="29"/>
          <c:tx>
            <c:strRef>
              <c:f>AGRO!$A$324</c:f>
              <c:strCache>
                <c:ptCount val="1"/>
                <c:pt idx="0">
                  <c:v>Tetracycline</c:v>
                </c:pt>
              </c:strCache>
            </c:strRef>
          </c:tx>
          <c:invertIfNegative val="0"/>
          <c:cat>
            <c:strRef>
              <c:f>AGRO!$J$294:$M$294</c:f>
              <c:strCache>
                <c:ptCount val="4"/>
                <c:pt idx="0">
                  <c:v>System</c:v>
                </c:pt>
                <c:pt idx="1">
                  <c:v>Input</c:v>
                </c:pt>
                <c:pt idx="2">
                  <c:v>Output</c:v>
                </c:pt>
                <c:pt idx="3">
                  <c:v>Waste</c:v>
                </c:pt>
              </c:strCache>
            </c:strRef>
          </c:cat>
          <c:val>
            <c:numRef>
              <c:f>AGRO!$J$324:$M$324</c:f>
              <c:numCache>
                <c:formatCode>0.00E+00</c:formatCode>
                <c:ptCount val="4"/>
              </c:numCache>
            </c:numRef>
          </c:val>
          <c:extLst>
            <c:ext xmlns:c16="http://schemas.microsoft.com/office/drawing/2014/chart" uri="{C3380CC4-5D6E-409C-BE32-E72D297353CC}">
              <c16:uniqueId val="{0000005C-19C4-40D8-BEF7-BC7E4956FBEC}"/>
            </c:ext>
          </c:extLst>
        </c:ser>
        <c:ser>
          <c:idx val="30"/>
          <c:order val="30"/>
          <c:tx>
            <c:strRef>
              <c:f>AGRO!$A$325</c:f>
              <c:strCache>
                <c:ptCount val="1"/>
                <c:pt idx="0">
                  <c:v>Rifampicin</c:v>
                </c:pt>
              </c:strCache>
            </c:strRef>
          </c:tx>
          <c:invertIfNegative val="0"/>
          <c:cat>
            <c:strRef>
              <c:f>AGRO!$J$294:$M$294</c:f>
              <c:strCache>
                <c:ptCount val="4"/>
                <c:pt idx="0">
                  <c:v>System</c:v>
                </c:pt>
                <c:pt idx="1">
                  <c:v>Input</c:v>
                </c:pt>
                <c:pt idx="2">
                  <c:v>Output</c:v>
                </c:pt>
                <c:pt idx="3">
                  <c:v>Waste</c:v>
                </c:pt>
              </c:strCache>
            </c:strRef>
          </c:cat>
          <c:val>
            <c:numRef>
              <c:f>AGRO!$J$325:$M$325</c:f>
              <c:numCache>
                <c:formatCode>0.00E+00</c:formatCode>
                <c:ptCount val="4"/>
              </c:numCache>
            </c:numRef>
          </c:val>
          <c:extLst>
            <c:ext xmlns:c16="http://schemas.microsoft.com/office/drawing/2014/chart" uri="{C3380CC4-5D6E-409C-BE32-E72D297353CC}">
              <c16:uniqueId val="{0000005D-19C4-40D8-BEF7-BC7E4956FBEC}"/>
            </c:ext>
          </c:extLst>
        </c:ser>
        <c:ser>
          <c:idx val="31"/>
          <c:order val="31"/>
          <c:tx>
            <c:strRef>
              <c:f>AGRO!$A$326</c:f>
              <c:strCache>
                <c:ptCount val="1"/>
                <c:pt idx="0">
                  <c:v>Acetosyringone</c:v>
                </c:pt>
              </c:strCache>
            </c:strRef>
          </c:tx>
          <c:invertIfNegative val="0"/>
          <c:cat>
            <c:strRef>
              <c:f>AGRO!$J$294:$M$294</c:f>
              <c:strCache>
                <c:ptCount val="4"/>
                <c:pt idx="0">
                  <c:v>System</c:v>
                </c:pt>
                <c:pt idx="1">
                  <c:v>Input</c:v>
                </c:pt>
                <c:pt idx="2">
                  <c:v>Output</c:v>
                </c:pt>
                <c:pt idx="3">
                  <c:v>Waste</c:v>
                </c:pt>
              </c:strCache>
            </c:strRef>
          </c:cat>
          <c:val>
            <c:numRef>
              <c:f>AGRO!$J$326:$M$326</c:f>
              <c:numCache>
                <c:formatCode>0.00E+00</c:formatCode>
                <c:ptCount val="4"/>
              </c:numCache>
            </c:numRef>
          </c:val>
          <c:extLst>
            <c:ext xmlns:c16="http://schemas.microsoft.com/office/drawing/2014/chart" uri="{C3380CC4-5D6E-409C-BE32-E72D297353CC}">
              <c16:uniqueId val="{0000005E-19C4-40D8-BEF7-BC7E4956FBEC}"/>
            </c:ext>
          </c:extLst>
        </c:ser>
        <c:ser>
          <c:idx val="32"/>
          <c:order val="32"/>
          <c:tx>
            <c:strRef>
              <c:f>AGRO!$A$327</c:f>
              <c:strCache>
                <c:ptCount val="1"/>
                <c:pt idx="0">
                  <c:v>MES</c:v>
                </c:pt>
              </c:strCache>
            </c:strRef>
          </c:tx>
          <c:invertIfNegative val="0"/>
          <c:cat>
            <c:strRef>
              <c:f>AGRO!$J$294:$M$294</c:f>
              <c:strCache>
                <c:ptCount val="4"/>
                <c:pt idx="0">
                  <c:v>System</c:v>
                </c:pt>
                <c:pt idx="1">
                  <c:v>Input</c:v>
                </c:pt>
                <c:pt idx="2">
                  <c:v>Output</c:v>
                </c:pt>
                <c:pt idx="3">
                  <c:v>Waste</c:v>
                </c:pt>
              </c:strCache>
            </c:strRef>
          </c:cat>
          <c:val>
            <c:numRef>
              <c:f>AGRO!$J$327:$M$327</c:f>
              <c:numCache>
                <c:formatCode>0.00E+00</c:formatCode>
                <c:ptCount val="4"/>
              </c:numCache>
            </c:numRef>
          </c:val>
          <c:extLst>
            <c:ext xmlns:c16="http://schemas.microsoft.com/office/drawing/2014/chart" uri="{C3380CC4-5D6E-409C-BE32-E72D297353CC}">
              <c16:uniqueId val="{0000005F-19C4-40D8-BEF7-BC7E4956FBEC}"/>
            </c:ext>
          </c:extLst>
        </c:ser>
        <c:ser>
          <c:idx val="33"/>
          <c:order val="33"/>
          <c:tx>
            <c:strRef>
              <c:f>AGRO!$A$328</c:f>
              <c:strCache>
                <c:ptCount val="1"/>
                <c:pt idx="0">
                  <c:v>MgCl2</c:v>
                </c:pt>
              </c:strCache>
            </c:strRef>
          </c:tx>
          <c:invertIfNegative val="0"/>
          <c:cat>
            <c:strRef>
              <c:f>AGRO!$J$294:$M$294</c:f>
              <c:strCache>
                <c:ptCount val="4"/>
                <c:pt idx="0">
                  <c:v>System</c:v>
                </c:pt>
                <c:pt idx="1">
                  <c:v>Input</c:v>
                </c:pt>
                <c:pt idx="2">
                  <c:v>Output</c:v>
                </c:pt>
                <c:pt idx="3">
                  <c:v>Waste</c:v>
                </c:pt>
              </c:strCache>
            </c:strRef>
          </c:cat>
          <c:val>
            <c:numRef>
              <c:f>AGRO!$J$328:$M$328</c:f>
              <c:numCache>
                <c:formatCode>0.00E+00</c:formatCode>
                <c:ptCount val="4"/>
              </c:numCache>
            </c:numRef>
          </c:val>
          <c:extLst>
            <c:ext xmlns:c16="http://schemas.microsoft.com/office/drawing/2014/chart" uri="{C3380CC4-5D6E-409C-BE32-E72D297353CC}">
              <c16:uniqueId val="{00000060-19C4-40D8-BEF7-BC7E4956FBEC}"/>
            </c:ext>
          </c:extLst>
        </c:ser>
        <c:ser>
          <c:idx val="34"/>
          <c:order val="34"/>
          <c:tx>
            <c:strRef>
              <c:f>AGRO!$A$329</c:f>
              <c:strCache>
                <c:ptCount val="1"/>
                <c:pt idx="0">
                  <c:v>Silwet L-77</c:v>
                </c:pt>
              </c:strCache>
            </c:strRef>
          </c:tx>
          <c:invertIfNegative val="0"/>
          <c:cat>
            <c:strRef>
              <c:f>AGRO!$J$294:$M$294</c:f>
              <c:strCache>
                <c:ptCount val="4"/>
                <c:pt idx="0">
                  <c:v>System</c:v>
                </c:pt>
                <c:pt idx="1">
                  <c:v>Input</c:v>
                </c:pt>
                <c:pt idx="2">
                  <c:v>Output</c:v>
                </c:pt>
                <c:pt idx="3">
                  <c:v>Waste</c:v>
                </c:pt>
              </c:strCache>
            </c:strRef>
          </c:cat>
          <c:val>
            <c:numRef>
              <c:f>AGRO!$J$329:$M$329</c:f>
              <c:numCache>
                <c:formatCode>0.00E+00</c:formatCode>
                <c:ptCount val="4"/>
              </c:numCache>
            </c:numRef>
          </c:val>
          <c:extLst>
            <c:ext xmlns:c16="http://schemas.microsoft.com/office/drawing/2014/chart" uri="{C3380CC4-5D6E-409C-BE32-E72D297353CC}">
              <c16:uniqueId val="{00000061-19C4-40D8-BEF7-BC7E4956FBEC}"/>
            </c:ext>
          </c:extLst>
        </c:ser>
        <c:ser>
          <c:idx val="35"/>
          <c:order val="35"/>
          <c:tx>
            <c:strRef>
              <c:f>AGRO!$A$330</c:f>
              <c:strCache>
                <c:ptCount val="1"/>
                <c:pt idx="0">
                  <c:v>Agro stock tubes</c:v>
                </c:pt>
              </c:strCache>
            </c:strRef>
          </c:tx>
          <c:invertIfNegative val="0"/>
          <c:cat>
            <c:strRef>
              <c:f>AGRO!$J$294:$M$294</c:f>
              <c:strCache>
                <c:ptCount val="4"/>
                <c:pt idx="0">
                  <c:v>System</c:v>
                </c:pt>
                <c:pt idx="1">
                  <c:v>Input</c:v>
                </c:pt>
                <c:pt idx="2">
                  <c:v>Output</c:v>
                </c:pt>
                <c:pt idx="3">
                  <c:v>Waste</c:v>
                </c:pt>
              </c:strCache>
            </c:strRef>
          </c:cat>
          <c:val>
            <c:numRef>
              <c:f>AGRO!$J$330:$M$330</c:f>
              <c:numCache>
                <c:formatCode>0.00E+00</c:formatCode>
                <c:ptCount val="4"/>
              </c:numCache>
            </c:numRef>
          </c:val>
          <c:extLst>
            <c:ext xmlns:c16="http://schemas.microsoft.com/office/drawing/2014/chart" uri="{C3380CC4-5D6E-409C-BE32-E72D297353CC}">
              <c16:uniqueId val="{00000062-19C4-40D8-BEF7-BC7E4956FB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0"/>
        <c:overlap val="100"/>
        <c:axId val="312382031"/>
        <c:axId val="312385871"/>
      </c:barChart>
      <c:catAx>
        <c:axId val="3123820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2385871"/>
        <c:crosses val="autoZero"/>
        <c:auto val="1"/>
        <c:lblAlgn val="ctr"/>
        <c:lblOffset val="100"/>
        <c:noMultiLvlLbl val="0"/>
      </c:catAx>
      <c:valAx>
        <c:axId val="312385871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1" i="0" u="none" strike="noStrike" kern="1200" baseline="0">
                    <a:solidFill>
                      <a:sysClr val="windowText" lastClr="000000"/>
                    </a:solidFill>
                  </a:rPr>
                  <a:t>Power (kW/CM/Mission)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#,##0.0" sourceLinked="0"/>
        <c:majorTickMark val="out"/>
        <c:minorTickMark val="none"/>
        <c:tickLblPos val="nextTo"/>
        <c:spPr>
          <a:noFill/>
          <a:ln w="9525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2382031"/>
        <c:crosses val="autoZero"/>
        <c:crossBetween val="between"/>
      </c:valAx>
      <c:spPr>
        <a:ln>
          <a:solidFill>
            <a:schemeClr val="tx1"/>
          </a:solidFill>
        </a:ln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2"/>
      </a:solidFill>
      <a:round/>
    </a:ln>
    <a:effectLst/>
  </c:spPr>
  <c:txPr>
    <a:bodyPr/>
    <a:lstStyle/>
    <a:p>
      <a:pPr>
        <a:defRPr sz="1000" b="1"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none" strike="noStrike" kern="1200" baseline="0">
                <a:solidFill>
                  <a:sysClr val="windowText" lastClr="000000"/>
                </a:solidFill>
              </a:rPr>
              <a:t>AGRO Crew Time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AGRO!$A$295</c:f>
              <c:strCache>
                <c:ptCount val="1"/>
                <c:pt idx="0">
                  <c:v>Harvesting container</c:v>
                </c:pt>
              </c:strCache>
            </c:strRef>
          </c:tx>
          <c:spPr>
            <a:solidFill>
              <a:schemeClr val="accent2">
                <a:lumMod val="20000"/>
                <a:lumOff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AGRO!$N$294:$O$294</c:f>
              <c:strCache>
                <c:ptCount val="2"/>
                <c:pt idx="0">
                  <c:v>System</c:v>
                </c:pt>
                <c:pt idx="1">
                  <c:v>Process Operations</c:v>
                </c:pt>
              </c:strCache>
            </c:strRef>
          </c:cat>
          <c:val>
            <c:numRef>
              <c:f>AGRO!$N$295:$O$295</c:f>
              <c:numCache>
                <c:formatCode>General</c:formatCode>
                <c:ptCount val="2"/>
              </c:numCache>
            </c:numRef>
          </c:val>
          <c:extLst>
            <c:ext xmlns:c16="http://schemas.microsoft.com/office/drawing/2014/chart" uri="{C3380CC4-5D6E-409C-BE32-E72D297353CC}">
              <c16:uniqueId val="{00000025-19C4-40D8-BEF7-BC7E4956FBEC}"/>
            </c:ext>
          </c:extLst>
        </c:ser>
        <c:ser>
          <c:idx val="1"/>
          <c:order val="1"/>
          <c:tx>
            <c:strRef>
              <c:f>AGRO!$A$296</c:f>
              <c:strCache>
                <c:ptCount val="1"/>
                <c:pt idx="0">
                  <c:v>Harvesting tools</c:v>
                </c:pt>
              </c:strCache>
            </c:strRef>
          </c:tx>
          <c:spPr>
            <a:solidFill>
              <a:schemeClr val="accent2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AGRO!$N$294:$O$294</c:f>
              <c:strCache>
                <c:ptCount val="2"/>
                <c:pt idx="0">
                  <c:v>System</c:v>
                </c:pt>
                <c:pt idx="1">
                  <c:v>Process Operations</c:v>
                </c:pt>
              </c:strCache>
            </c:strRef>
          </c:cat>
          <c:val>
            <c:numRef>
              <c:f>AGRO!$N$296:$O$296</c:f>
              <c:numCache>
                <c:formatCode>General</c:formatCode>
                <c:ptCount val="2"/>
              </c:numCache>
            </c:numRef>
          </c:val>
          <c:extLst>
            <c:ext xmlns:c16="http://schemas.microsoft.com/office/drawing/2014/chart" uri="{C3380CC4-5D6E-409C-BE32-E72D297353CC}">
              <c16:uniqueId val="{00000027-19C4-40D8-BEF7-BC7E4956FBEC}"/>
            </c:ext>
          </c:extLst>
        </c:ser>
        <c:ser>
          <c:idx val="2"/>
          <c:order val="2"/>
          <c:tx>
            <c:strRef>
              <c:f>AGRO!$A$297</c:f>
              <c:strCache>
                <c:ptCount val="1"/>
                <c:pt idx="0">
                  <c:v>Refrigerator/Freezer</c:v>
                </c:pt>
              </c:strCache>
            </c:strRef>
          </c:tx>
          <c:spPr>
            <a:solidFill>
              <a:schemeClr val="accent5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AGRO!$N$294:$O$294</c:f>
              <c:strCache>
                <c:ptCount val="2"/>
                <c:pt idx="0">
                  <c:v>System</c:v>
                </c:pt>
                <c:pt idx="1">
                  <c:v>Process Operations</c:v>
                </c:pt>
              </c:strCache>
            </c:strRef>
          </c:cat>
          <c:val>
            <c:numRef>
              <c:f>AGRO!$N$297:$O$297</c:f>
              <c:numCache>
                <c:formatCode>General</c:formatCode>
                <c:ptCount val="2"/>
              </c:numCache>
            </c:numRef>
          </c:val>
          <c:extLst>
            <c:ext xmlns:c16="http://schemas.microsoft.com/office/drawing/2014/chart" uri="{C3380CC4-5D6E-409C-BE32-E72D297353CC}">
              <c16:uniqueId val="{00000029-19C4-40D8-BEF7-BC7E4956FBEC}"/>
            </c:ext>
          </c:extLst>
        </c:ser>
        <c:ser>
          <c:idx val="3"/>
          <c:order val="3"/>
          <c:tx>
            <c:strRef>
              <c:f>AGRO!$A$298</c:f>
              <c:strCache>
                <c:ptCount val="1"/>
                <c:pt idx="0">
                  <c:v>Lighting panels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AGRO!$N$294:$O$294</c:f>
              <c:strCache>
                <c:ptCount val="2"/>
                <c:pt idx="0">
                  <c:v>System</c:v>
                </c:pt>
                <c:pt idx="1">
                  <c:v>Process Operations</c:v>
                </c:pt>
              </c:strCache>
            </c:strRef>
          </c:cat>
          <c:val>
            <c:numRef>
              <c:f>AGRO!$N$298:$O$298</c:f>
              <c:numCache>
                <c:formatCode>General</c:formatCode>
                <c:ptCount val="2"/>
              </c:numCache>
            </c:numRef>
          </c:val>
          <c:extLst>
            <c:ext xmlns:c16="http://schemas.microsoft.com/office/drawing/2014/chart" uri="{C3380CC4-5D6E-409C-BE32-E72D297353CC}">
              <c16:uniqueId val="{0000002B-19C4-40D8-BEF7-BC7E4956FBEC}"/>
            </c:ext>
          </c:extLst>
        </c:ser>
        <c:ser>
          <c:idx val="4"/>
          <c:order val="4"/>
          <c:tx>
            <c:strRef>
              <c:f>AGRO!$A$299</c:f>
              <c:strCache>
                <c:ptCount val="1"/>
                <c:pt idx="0">
                  <c:v>Plant growth chamber</c:v>
                </c:pt>
              </c:strCache>
            </c:strRef>
          </c:tx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strRef>
              <c:f>AGRO!$N$294:$O$294</c:f>
              <c:strCache>
                <c:ptCount val="2"/>
                <c:pt idx="0">
                  <c:v>System</c:v>
                </c:pt>
                <c:pt idx="1">
                  <c:v>Process Operations</c:v>
                </c:pt>
              </c:strCache>
            </c:strRef>
          </c:cat>
          <c:val>
            <c:numRef>
              <c:f>AGRO!$N$299:$O$299</c:f>
              <c:numCache>
                <c:formatCode>General</c:formatCode>
                <c:ptCount val="2"/>
              </c:numCache>
            </c:numRef>
          </c:val>
          <c:extLst>
            <c:ext xmlns:c16="http://schemas.microsoft.com/office/drawing/2014/chart" uri="{C3380CC4-5D6E-409C-BE32-E72D297353CC}">
              <c16:uniqueId val="{0000002D-19C4-40D8-BEF7-BC7E4956FBEC}"/>
            </c:ext>
          </c:extLst>
        </c:ser>
        <c:ser>
          <c:idx val="5"/>
          <c:order val="5"/>
          <c:tx>
            <c:strRef>
              <c:f>AGRO!$A$300</c:f>
              <c:strCache>
                <c:ptCount val="1"/>
                <c:pt idx="0">
                  <c:v>N benthamiana seeds</c:v>
                </c:pt>
              </c:strCache>
            </c:strRef>
          </c:tx>
          <c:spPr>
            <a:solidFill>
              <a:schemeClr val="accent4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strRef>
              <c:f>AGRO!$N$294:$O$294</c:f>
              <c:strCache>
                <c:ptCount val="2"/>
                <c:pt idx="0">
                  <c:v>System</c:v>
                </c:pt>
                <c:pt idx="1">
                  <c:v>Process Operations</c:v>
                </c:pt>
              </c:strCache>
            </c:strRef>
          </c:cat>
          <c:val>
            <c:numRef>
              <c:f>AGRO!$N$300:$O$300</c:f>
              <c:numCache>
                <c:formatCode>0.00E+00</c:formatCode>
                <c:ptCount val="2"/>
                <c:pt idx="1">
                  <c:v>2.2400000000000002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F-19C4-40D8-BEF7-BC7E4956FBEC}"/>
            </c:ext>
          </c:extLst>
        </c:ser>
        <c:ser>
          <c:idx val="6"/>
          <c:order val="6"/>
          <c:tx>
            <c:strRef>
              <c:f>AGRO!$A$301</c:f>
              <c:strCache>
                <c:ptCount val="1"/>
                <c:pt idx="0">
                  <c:v>Water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AGRO!$N$294:$O$294</c:f>
              <c:strCache>
                <c:ptCount val="2"/>
                <c:pt idx="0">
                  <c:v>System</c:v>
                </c:pt>
                <c:pt idx="1">
                  <c:v>Process Operations</c:v>
                </c:pt>
              </c:strCache>
            </c:strRef>
          </c:cat>
          <c:val>
            <c:numRef>
              <c:f>AGRO!$N$301:$O$301</c:f>
              <c:numCache>
                <c:formatCode>0.00E+00</c:formatCode>
                <c:ptCount val="2"/>
                <c:pt idx="1">
                  <c:v>3.6932694052220584E-2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1-19C4-40D8-BEF7-BC7E4956FBEC}"/>
            </c:ext>
          </c:extLst>
        </c:ser>
        <c:ser>
          <c:idx val="7"/>
          <c:order val="7"/>
          <c:tx>
            <c:strRef>
              <c:f>AGRO!$A$302</c:f>
              <c:strCache>
                <c:ptCount val="1"/>
                <c:pt idx="0">
                  <c:v>Plant growth nutrients</c:v>
                </c:pt>
              </c:strCache>
            </c:strRef>
          </c:tx>
          <c:spPr>
            <a:solidFill>
              <a:schemeClr val="accent4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AGRO!$N$294:$O$294</c:f>
              <c:strCache>
                <c:ptCount val="2"/>
                <c:pt idx="0">
                  <c:v>System</c:v>
                </c:pt>
                <c:pt idx="1">
                  <c:v>Process Operations</c:v>
                </c:pt>
              </c:strCache>
            </c:strRef>
          </c:cat>
          <c:val>
            <c:numRef>
              <c:f>AGRO!$N$302:$O$302</c:f>
              <c:numCache>
                <c:formatCode>0.00E+00</c:formatCode>
                <c:ptCount val="2"/>
                <c:pt idx="1">
                  <c:v>7.5527872290875153E-2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3-19C4-40D8-BEF7-BC7E4956FBEC}"/>
            </c:ext>
          </c:extLst>
        </c:ser>
        <c:ser>
          <c:idx val="8"/>
          <c:order val="8"/>
          <c:tx>
            <c:strRef>
              <c:f>AGRO!$A$303</c:f>
              <c:strCache>
                <c:ptCount val="1"/>
                <c:pt idx="0">
                  <c:v>Carbon dioxide</c:v>
                </c:pt>
              </c:strCache>
            </c:strRef>
          </c:tx>
          <c:spPr>
            <a:solidFill>
              <a:schemeClr val="accent4">
                <a:lumMod val="20000"/>
                <a:lumOff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AGRO!$N$294:$O$294</c:f>
              <c:strCache>
                <c:ptCount val="2"/>
                <c:pt idx="0">
                  <c:v>System</c:v>
                </c:pt>
                <c:pt idx="1">
                  <c:v>Process Operations</c:v>
                </c:pt>
              </c:strCache>
            </c:strRef>
          </c:cat>
          <c:val>
            <c:numRef>
              <c:f>AGRO!$N$303:$O$303</c:f>
              <c:numCache>
                <c:formatCode>0.00E+00</c:formatCode>
                <c:ptCount val="2"/>
                <c:pt idx="1">
                  <c:v>32.0565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5-19C4-40D8-BEF7-BC7E4956FBEC}"/>
            </c:ext>
          </c:extLst>
        </c:ser>
        <c:ser>
          <c:idx val="9"/>
          <c:order val="9"/>
          <c:tx>
            <c:strRef>
              <c:f>AGRO!$A$304</c:f>
              <c:strCache>
                <c:ptCount val="1"/>
                <c:pt idx="0">
                  <c:v>PTH-Fc</c:v>
                </c:pt>
              </c:strCache>
            </c:strRef>
          </c:tx>
          <c:spPr>
            <a:solidFill>
              <a:srgbClr val="FFC000"/>
            </a:solidFill>
            <a:ln>
              <a:noFill/>
            </a:ln>
            <a:effectLst/>
          </c:spPr>
          <c:invertIfNegative val="0"/>
          <c:cat>
            <c:strRef>
              <c:f>AGRO!$N$294:$O$294</c:f>
              <c:strCache>
                <c:ptCount val="2"/>
                <c:pt idx="0">
                  <c:v>System</c:v>
                </c:pt>
                <c:pt idx="1">
                  <c:v>Process Operations</c:v>
                </c:pt>
              </c:strCache>
            </c:strRef>
          </c:cat>
          <c:val>
            <c:numRef>
              <c:f>AGRO!$N$304:$O$304</c:f>
              <c:numCache>
                <c:formatCode>General</c:formatCode>
                <c:ptCount val="2"/>
              </c:numCache>
            </c:numRef>
          </c:val>
          <c:extLst>
            <c:ext xmlns:c16="http://schemas.microsoft.com/office/drawing/2014/chart" uri="{C3380CC4-5D6E-409C-BE32-E72D297353CC}">
              <c16:uniqueId val="{00000037-19C4-40D8-BEF7-BC7E4956FBEC}"/>
            </c:ext>
          </c:extLst>
        </c:ser>
        <c:ser>
          <c:idx val="10"/>
          <c:order val="10"/>
          <c:tx>
            <c:strRef>
              <c:f>AGRO!$A$305</c:f>
              <c:strCache>
                <c:ptCount val="1"/>
                <c:pt idx="0">
                  <c:v>Plant biomass</c:v>
                </c:pt>
              </c:strCache>
            </c:strRef>
          </c:tx>
          <c:spPr>
            <a:solidFill>
              <a:schemeClr val="accent6">
                <a:lumMod val="75000"/>
              </a:schemeClr>
            </a:solidFill>
          </c:spPr>
          <c:invertIfNegative val="0"/>
          <c:cat>
            <c:strRef>
              <c:f>AGRO!$N$294:$O$294</c:f>
              <c:strCache>
                <c:ptCount val="2"/>
                <c:pt idx="0">
                  <c:v>System</c:v>
                </c:pt>
                <c:pt idx="1">
                  <c:v>Process Operations</c:v>
                </c:pt>
              </c:strCache>
            </c:strRef>
          </c:cat>
          <c:val>
            <c:numRef>
              <c:f>AGRO!$N$305:$O$305</c:f>
              <c:numCache>
                <c:formatCode>0.00E+00</c:formatCode>
                <c:ptCount val="2"/>
                <c:pt idx="1">
                  <c:v>5.3092579678938726E-2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9-19C4-40D8-BEF7-BC7E4956FBEC}"/>
            </c:ext>
          </c:extLst>
        </c:ser>
        <c:ser>
          <c:idx val="11"/>
          <c:order val="11"/>
          <c:tx>
            <c:strRef>
              <c:f>AGRO!$A$306</c:f>
              <c:strCache>
                <c:ptCount val="1"/>
                <c:pt idx="0">
                  <c:v>Oxygen</c:v>
                </c:pt>
              </c:strCache>
            </c:strRef>
          </c:tx>
          <c:spPr>
            <a:solidFill>
              <a:schemeClr val="accent3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AGRO!$N$294:$O$294</c:f>
              <c:strCache>
                <c:ptCount val="2"/>
                <c:pt idx="0">
                  <c:v>System</c:v>
                </c:pt>
                <c:pt idx="1">
                  <c:v>Process Operations</c:v>
                </c:pt>
              </c:strCache>
            </c:strRef>
          </c:cat>
          <c:val>
            <c:numRef>
              <c:f>AGRO!$N$306:$O$306</c:f>
              <c:numCache>
                <c:formatCode>General</c:formatCode>
                <c:ptCount val="2"/>
              </c:numCache>
            </c:numRef>
          </c:val>
          <c:extLst>
            <c:ext xmlns:c16="http://schemas.microsoft.com/office/drawing/2014/chart" uri="{C3380CC4-5D6E-409C-BE32-E72D297353CC}">
              <c16:uniqueId val="{0000003B-19C4-40D8-BEF7-BC7E4956FBEC}"/>
            </c:ext>
          </c:extLst>
        </c:ser>
        <c:ser>
          <c:idx val="12"/>
          <c:order val="12"/>
          <c:tx>
            <c:strRef>
              <c:f>AGRO!$A$307</c:f>
              <c:strCache>
                <c:ptCount val="1"/>
                <c:pt idx="0">
                  <c:v>Biomass waste</c:v>
                </c:pt>
              </c:strCache>
            </c:strRef>
          </c:tx>
          <c:spPr>
            <a:solidFill>
              <a:schemeClr val="accent6">
                <a:lumMod val="60000"/>
                <a:lumOff val="40000"/>
              </a:schemeClr>
            </a:solidFill>
          </c:spPr>
          <c:invertIfNegative val="0"/>
          <c:cat>
            <c:strRef>
              <c:f>AGRO!$N$294:$O$294</c:f>
              <c:strCache>
                <c:ptCount val="2"/>
                <c:pt idx="0">
                  <c:v>System</c:v>
                </c:pt>
                <c:pt idx="1">
                  <c:v>Process Operations</c:v>
                </c:pt>
              </c:strCache>
            </c:strRef>
          </c:cat>
          <c:val>
            <c:numRef>
              <c:f>AGRO!$N$307:$O$307</c:f>
              <c:numCache>
                <c:formatCode>General</c:formatCode>
                <c:ptCount val="2"/>
              </c:numCache>
            </c:numRef>
          </c:val>
          <c:extLst>
            <c:ext xmlns:c16="http://schemas.microsoft.com/office/drawing/2014/chart" uri="{C3380CC4-5D6E-409C-BE32-E72D297353CC}">
              <c16:uniqueId val="{0000003D-19C4-40D8-BEF7-BC7E4956FBEC}"/>
            </c:ext>
          </c:extLst>
        </c:ser>
        <c:ser>
          <c:idx val="13"/>
          <c:order val="13"/>
          <c:tx>
            <c:strRef>
              <c:f>AGRO!$A$308</c:f>
              <c:strCache>
                <c:ptCount val="1"/>
                <c:pt idx="0">
                  <c:v>Scale</c:v>
                </c:pt>
              </c:strCache>
            </c:strRef>
          </c:tx>
          <c:spPr>
            <a:solidFill>
              <a:schemeClr val="accent6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AGRO!$N$294:$O$294</c:f>
              <c:strCache>
                <c:ptCount val="2"/>
                <c:pt idx="0">
                  <c:v>System</c:v>
                </c:pt>
                <c:pt idx="1">
                  <c:v>Process Operations</c:v>
                </c:pt>
              </c:strCache>
            </c:strRef>
          </c:cat>
          <c:val>
            <c:numRef>
              <c:f>AGRO!$N$308:$O$308</c:f>
              <c:numCache>
                <c:formatCode>General</c:formatCode>
                <c:ptCount val="2"/>
              </c:numCache>
            </c:numRef>
          </c:val>
          <c:extLst>
            <c:ext xmlns:c16="http://schemas.microsoft.com/office/drawing/2014/chart" uri="{C3380CC4-5D6E-409C-BE32-E72D297353CC}">
              <c16:uniqueId val="{0000003F-19C4-40D8-BEF7-BC7E4956FBEC}"/>
            </c:ext>
          </c:extLst>
        </c:ser>
        <c:ser>
          <c:idx val="14"/>
          <c:order val="14"/>
          <c:tx>
            <c:strRef>
              <c:f>AGRO!$A$309</c:f>
              <c:strCache>
                <c:ptCount val="1"/>
                <c:pt idx="0">
                  <c:v>BSC</c:v>
                </c:pt>
              </c:strCache>
            </c:strRef>
          </c:tx>
          <c:spPr>
            <a:solidFill>
              <a:schemeClr val="accent6">
                <a:lumMod val="20000"/>
                <a:lumOff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AGRO!$N$294:$O$294</c:f>
              <c:strCache>
                <c:ptCount val="2"/>
                <c:pt idx="0">
                  <c:v>System</c:v>
                </c:pt>
                <c:pt idx="1">
                  <c:v>Process Operations</c:v>
                </c:pt>
              </c:strCache>
            </c:strRef>
          </c:cat>
          <c:val>
            <c:numRef>
              <c:f>AGRO!$N$309:$O$309</c:f>
              <c:numCache>
                <c:formatCode>General</c:formatCode>
                <c:ptCount val="2"/>
              </c:numCache>
            </c:numRef>
          </c:val>
          <c:extLst>
            <c:ext xmlns:c16="http://schemas.microsoft.com/office/drawing/2014/chart" uri="{C3380CC4-5D6E-409C-BE32-E72D297353CC}">
              <c16:uniqueId val="{00000041-19C4-40D8-BEF7-BC7E4956FBEC}"/>
            </c:ext>
          </c:extLst>
        </c:ser>
        <c:ser>
          <c:idx val="15"/>
          <c:order val="15"/>
          <c:tx>
            <c:strRef>
              <c:f>AGRO!$A$310</c:f>
              <c:strCache>
                <c:ptCount val="1"/>
                <c:pt idx="0">
                  <c:v>Shaking incubator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AGRO!$N$294:$O$294</c:f>
              <c:strCache>
                <c:ptCount val="2"/>
                <c:pt idx="0">
                  <c:v>System</c:v>
                </c:pt>
                <c:pt idx="1">
                  <c:v>Process Operations</c:v>
                </c:pt>
              </c:strCache>
            </c:strRef>
          </c:cat>
          <c:val>
            <c:numRef>
              <c:f>AGRO!$N$310:$O$310</c:f>
              <c:numCache>
                <c:formatCode>General</c:formatCode>
                <c:ptCount val="2"/>
              </c:numCache>
            </c:numRef>
          </c:val>
          <c:extLst>
            <c:ext xmlns:c16="http://schemas.microsoft.com/office/drawing/2014/chart" uri="{C3380CC4-5D6E-409C-BE32-E72D297353CC}">
              <c16:uniqueId val="{00000043-19C4-40D8-BEF7-BC7E4956FBEC}"/>
            </c:ext>
          </c:extLst>
        </c:ser>
        <c:ser>
          <c:idx val="16"/>
          <c:order val="16"/>
          <c:tx>
            <c:strRef>
              <c:f>AGRO!$A$311</c:f>
              <c:strCache>
                <c:ptCount val="1"/>
                <c:pt idx="0">
                  <c:v>Vacuum pump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  <a:effectLst/>
          </c:spPr>
          <c:invertIfNegative val="0"/>
          <c:cat>
            <c:strRef>
              <c:f>AGRO!$N$294:$O$294</c:f>
              <c:strCache>
                <c:ptCount val="2"/>
                <c:pt idx="0">
                  <c:v>System</c:v>
                </c:pt>
                <c:pt idx="1">
                  <c:v>Process Operations</c:v>
                </c:pt>
              </c:strCache>
            </c:strRef>
          </c:cat>
          <c:val>
            <c:numRef>
              <c:f>AGRO!$N$311:$O$311</c:f>
              <c:numCache>
                <c:formatCode>General</c:formatCode>
                <c:ptCount val="2"/>
              </c:numCache>
            </c:numRef>
          </c:val>
          <c:extLst>
            <c:ext xmlns:c16="http://schemas.microsoft.com/office/drawing/2014/chart" uri="{C3380CC4-5D6E-409C-BE32-E72D297353CC}">
              <c16:uniqueId val="{00000045-19C4-40D8-BEF7-BC7E4956FBEC}"/>
            </c:ext>
          </c:extLst>
        </c:ser>
        <c:ser>
          <c:idx val="17"/>
          <c:order val="17"/>
          <c:tx>
            <c:strRef>
              <c:f>AGRO!$A$312</c:f>
              <c:strCache>
                <c:ptCount val="1"/>
                <c:pt idx="0">
                  <c:v>Autoclave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cat>
            <c:strRef>
              <c:f>AGRO!$N$294:$O$294</c:f>
              <c:strCache>
                <c:ptCount val="2"/>
                <c:pt idx="0">
                  <c:v>System</c:v>
                </c:pt>
                <c:pt idx="1">
                  <c:v>Process Operations</c:v>
                </c:pt>
              </c:strCache>
            </c:strRef>
          </c:cat>
          <c:val>
            <c:numRef>
              <c:f>AGRO!$N$312:$O$312</c:f>
              <c:numCache>
                <c:formatCode>General</c:formatCode>
                <c:ptCount val="2"/>
              </c:numCache>
            </c:numRef>
          </c:val>
          <c:extLst>
            <c:ext xmlns:c16="http://schemas.microsoft.com/office/drawing/2014/chart" uri="{C3380CC4-5D6E-409C-BE32-E72D297353CC}">
              <c16:uniqueId val="{00000047-19C4-40D8-BEF7-BC7E4956FBEC}"/>
            </c:ext>
          </c:extLst>
        </c:ser>
        <c:ser>
          <c:idx val="18"/>
          <c:order val="18"/>
          <c:tx>
            <c:strRef>
              <c:f>AGRO!$A$313</c:f>
              <c:strCache>
                <c:ptCount val="1"/>
                <c:pt idx="0">
                  <c:v>Centrifuge</c:v>
                </c:pt>
              </c:strCache>
            </c:strRef>
          </c:tx>
          <c:invertIfNegative val="0"/>
          <c:cat>
            <c:strRef>
              <c:f>AGRO!$N$294:$O$294</c:f>
              <c:strCache>
                <c:ptCount val="2"/>
                <c:pt idx="0">
                  <c:v>System</c:v>
                </c:pt>
                <c:pt idx="1">
                  <c:v>Process Operations</c:v>
                </c:pt>
              </c:strCache>
            </c:strRef>
          </c:cat>
          <c:val>
            <c:numRef>
              <c:f>AGRO!$N$313:$O$313</c:f>
              <c:numCache>
                <c:formatCode>General</c:formatCode>
                <c:ptCount val="2"/>
              </c:numCache>
            </c:numRef>
          </c:val>
          <c:extLst>
            <c:ext xmlns:c16="http://schemas.microsoft.com/office/drawing/2014/chart" uri="{C3380CC4-5D6E-409C-BE32-E72D297353CC}">
              <c16:uniqueId val="{00000049-19C4-40D8-BEF7-BC7E4956FBEC}"/>
            </c:ext>
          </c:extLst>
        </c:ser>
        <c:ser>
          <c:idx val="19"/>
          <c:order val="19"/>
          <c:tx>
            <c:strRef>
              <c:f>AGRO!$A$314</c:f>
              <c:strCache>
                <c:ptCount val="1"/>
                <c:pt idx="0">
                  <c:v>Spectrophotometer</c:v>
                </c:pt>
              </c:strCache>
            </c:strRef>
          </c:tx>
          <c:invertIfNegative val="0"/>
          <c:cat>
            <c:strRef>
              <c:f>AGRO!$N$294:$O$294</c:f>
              <c:strCache>
                <c:ptCount val="2"/>
                <c:pt idx="0">
                  <c:v>System</c:v>
                </c:pt>
                <c:pt idx="1">
                  <c:v>Process Operations</c:v>
                </c:pt>
              </c:strCache>
            </c:strRef>
          </c:cat>
          <c:val>
            <c:numRef>
              <c:f>AGRO!$N$314:$O$314</c:f>
              <c:numCache>
                <c:formatCode>General</c:formatCode>
                <c:ptCount val="2"/>
              </c:numCache>
            </c:numRef>
          </c:val>
          <c:extLst>
            <c:ext xmlns:c16="http://schemas.microsoft.com/office/drawing/2014/chart" uri="{C3380CC4-5D6E-409C-BE32-E72D297353CC}">
              <c16:uniqueId val="{0000004B-19C4-40D8-BEF7-BC7E4956FBEC}"/>
            </c:ext>
          </c:extLst>
        </c:ser>
        <c:ser>
          <c:idx val="20"/>
          <c:order val="20"/>
          <c:tx>
            <c:strRef>
              <c:f>AGRO!$A$315</c:f>
              <c:strCache>
                <c:ptCount val="1"/>
                <c:pt idx="0">
                  <c:v>Flask</c:v>
                </c:pt>
              </c:strCache>
            </c:strRef>
          </c:tx>
          <c:invertIfNegative val="0"/>
          <c:cat>
            <c:strRef>
              <c:f>AGRO!$N$294:$O$294</c:f>
              <c:strCache>
                <c:ptCount val="2"/>
                <c:pt idx="0">
                  <c:v>System</c:v>
                </c:pt>
                <c:pt idx="1">
                  <c:v>Process Operations</c:v>
                </c:pt>
              </c:strCache>
            </c:strRef>
          </c:cat>
          <c:val>
            <c:numRef>
              <c:f>AGRO!$N$315:$O$315</c:f>
              <c:numCache>
                <c:formatCode>General</c:formatCode>
                <c:ptCount val="2"/>
              </c:numCache>
            </c:numRef>
          </c:val>
          <c:extLst>
            <c:ext xmlns:c16="http://schemas.microsoft.com/office/drawing/2014/chart" uri="{C3380CC4-5D6E-409C-BE32-E72D297353CC}">
              <c16:uniqueId val="{0000004D-19C4-40D8-BEF7-BC7E4956FBEC}"/>
            </c:ext>
          </c:extLst>
        </c:ser>
        <c:ser>
          <c:idx val="21"/>
          <c:order val="21"/>
          <c:tx>
            <c:strRef>
              <c:f>AGRO!$A$316</c:f>
              <c:strCache>
                <c:ptCount val="1"/>
                <c:pt idx="0">
                  <c:v>Cuvette</c:v>
                </c:pt>
              </c:strCache>
            </c:strRef>
          </c:tx>
          <c:invertIfNegative val="0"/>
          <c:cat>
            <c:strRef>
              <c:f>AGRO!$N$294:$O$294</c:f>
              <c:strCache>
                <c:ptCount val="2"/>
                <c:pt idx="0">
                  <c:v>System</c:v>
                </c:pt>
                <c:pt idx="1">
                  <c:v>Process Operations</c:v>
                </c:pt>
              </c:strCache>
            </c:strRef>
          </c:cat>
          <c:val>
            <c:numRef>
              <c:f>AGRO!$N$316:$O$316</c:f>
              <c:numCache>
                <c:formatCode>General</c:formatCode>
                <c:ptCount val="2"/>
              </c:numCache>
            </c:numRef>
          </c:val>
          <c:extLst>
            <c:ext xmlns:c16="http://schemas.microsoft.com/office/drawing/2014/chart" uri="{C3380CC4-5D6E-409C-BE32-E72D297353CC}">
              <c16:uniqueId val="{0000004F-19C4-40D8-BEF7-BC7E4956FBEC}"/>
            </c:ext>
          </c:extLst>
        </c:ser>
        <c:ser>
          <c:idx val="22"/>
          <c:order val="22"/>
          <c:tx>
            <c:strRef>
              <c:f>AGRO!$A$317</c:f>
              <c:strCache>
                <c:ptCount val="1"/>
                <c:pt idx="0">
                  <c:v>Bottle</c:v>
                </c:pt>
              </c:strCache>
            </c:strRef>
          </c:tx>
          <c:invertIfNegative val="0"/>
          <c:cat>
            <c:strRef>
              <c:f>AGRO!$N$294:$O$294</c:f>
              <c:strCache>
                <c:ptCount val="2"/>
                <c:pt idx="0">
                  <c:v>System</c:v>
                </c:pt>
                <c:pt idx="1">
                  <c:v>Process Operations</c:v>
                </c:pt>
              </c:strCache>
            </c:strRef>
          </c:cat>
          <c:val>
            <c:numRef>
              <c:f>AGRO!$N$317:$O$317</c:f>
              <c:numCache>
                <c:formatCode>General</c:formatCode>
                <c:ptCount val="2"/>
              </c:numCache>
            </c:numRef>
          </c:val>
          <c:extLst>
            <c:ext xmlns:c16="http://schemas.microsoft.com/office/drawing/2014/chart" uri="{C3380CC4-5D6E-409C-BE32-E72D297353CC}">
              <c16:uniqueId val="{00000051-19C4-40D8-BEF7-BC7E4956FBEC}"/>
            </c:ext>
          </c:extLst>
        </c:ser>
        <c:ser>
          <c:idx val="23"/>
          <c:order val="23"/>
          <c:tx>
            <c:strRef>
              <c:f>AGRO!$A$318</c:f>
              <c:strCache>
                <c:ptCount val="1"/>
                <c:pt idx="0">
                  <c:v>Beaker</c:v>
                </c:pt>
              </c:strCache>
            </c:strRef>
          </c:tx>
          <c:invertIfNegative val="0"/>
          <c:cat>
            <c:strRef>
              <c:f>AGRO!$N$294:$O$294</c:f>
              <c:strCache>
                <c:ptCount val="2"/>
                <c:pt idx="0">
                  <c:v>System</c:v>
                </c:pt>
                <c:pt idx="1">
                  <c:v>Process Operations</c:v>
                </c:pt>
              </c:strCache>
            </c:strRef>
          </c:cat>
          <c:val>
            <c:numRef>
              <c:f>AGRO!$N$318:$O$318</c:f>
              <c:numCache>
                <c:formatCode>General</c:formatCode>
                <c:ptCount val="2"/>
              </c:numCache>
            </c:numRef>
          </c:val>
          <c:extLst>
            <c:ext xmlns:c16="http://schemas.microsoft.com/office/drawing/2014/chart" uri="{C3380CC4-5D6E-409C-BE32-E72D297353CC}">
              <c16:uniqueId val="{00000053-19C4-40D8-BEF7-BC7E4956FBEC}"/>
            </c:ext>
          </c:extLst>
        </c:ser>
        <c:ser>
          <c:idx val="24"/>
          <c:order val="24"/>
          <c:tx>
            <c:strRef>
              <c:f>AGRO!$A$319</c:f>
              <c:strCache>
                <c:ptCount val="1"/>
                <c:pt idx="0">
                  <c:v>Vacuum chamber</c:v>
                </c:pt>
              </c:strCache>
            </c:strRef>
          </c:tx>
          <c:invertIfNegative val="0"/>
          <c:cat>
            <c:strRef>
              <c:f>AGRO!$N$294:$O$294</c:f>
              <c:strCache>
                <c:ptCount val="2"/>
                <c:pt idx="0">
                  <c:v>System</c:v>
                </c:pt>
                <c:pt idx="1">
                  <c:v>Process Operations</c:v>
                </c:pt>
              </c:strCache>
            </c:strRef>
          </c:cat>
          <c:val>
            <c:numRef>
              <c:f>AGRO!$N$319:$O$319</c:f>
              <c:numCache>
                <c:formatCode>General</c:formatCode>
                <c:ptCount val="2"/>
              </c:numCache>
            </c:numRef>
          </c:val>
          <c:extLst>
            <c:ext xmlns:c16="http://schemas.microsoft.com/office/drawing/2014/chart" uri="{C3380CC4-5D6E-409C-BE32-E72D297353CC}">
              <c16:uniqueId val="{00000055-19C4-40D8-BEF7-BC7E4956FBEC}"/>
            </c:ext>
          </c:extLst>
        </c:ser>
        <c:ser>
          <c:idx val="25"/>
          <c:order val="25"/>
          <c:tx>
            <c:strRef>
              <c:f>AGRO!$A$320</c:f>
              <c:strCache>
                <c:ptCount val="1"/>
                <c:pt idx="0">
                  <c:v>Centrifuge tubes</c:v>
                </c:pt>
              </c:strCache>
            </c:strRef>
          </c:tx>
          <c:invertIfNegative val="0"/>
          <c:cat>
            <c:strRef>
              <c:f>AGRO!$N$294:$O$294</c:f>
              <c:strCache>
                <c:ptCount val="2"/>
                <c:pt idx="0">
                  <c:v>System</c:v>
                </c:pt>
                <c:pt idx="1">
                  <c:v>Process Operations</c:v>
                </c:pt>
              </c:strCache>
            </c:strRef>
          </c:cat>
          <c:val>
            <c:numRef>
              <c:f>AGRO!$N$320:$O$320</c:f>
              <c:numCache>
                <c:formatCode>General</c:formatCode>
                <c:ptCount val="2"/>
              </c:numCache>
            </c:numRef>
          </c:val>
          <c:extLst>
            <c:ext xmlns:c16="http://schemas.microsoft.com/office/drawing/2014/chart" uri="{C3380CC4-5D6E-409C-BE32-E72D297353CC}">
              <c16:uniqueId val="{00000057-19C4-40D8-BEF7-BC7E4956FBEC}"/>
            </c:ext>
          </c:extLst>
        </c:ser>
        <c:ser>
          <c:idx val="26"/>
          <c:order val="26"/>
          <c:tx>
            <c:strRef>
              <c:f>AGRO!$A$321</c:f>
              <c:strCache>
                <c:ptCount val="1"/>
                <c:pt idx="0">
                  <c:v>LB Media mix</c:v>
                </c:pt>
              </c:strCache>
            </c:strRef>
          </c:tx>
          <c:invertIfNegative val="0"/>
          <c:cat>
            <c:strRef>
              <c:f>AGRO!$N$294:$O$294</c:f>
              <c:strCache>
                <c:ptCount val="2"/>
                <c:pt idx="0">
                  <c:v>System</c:v>
                </c:pt>
                <c:pt idx="1">
                  <c:v>Process Operations</c:v>
                </c:pt>
              </c:strCache>
            </c:strRef>
          </c:cat>
          <c:val>
            <c:numRef>
              <c:f>AGRO!$N$321:$O$321</c:f>
              <c:numCache>
                <c:formatCode>General</c:formatCode>
                <c:ptCount val="2"/>
                <c:pt idx="1">
                  <c:v>344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59-19C4-40D8-BEF7-BC7E4956FBEC}"/>
            </c:ext>
          </c:extLst>
        </c:ser>
        <c:ser>
          <c:idx val="27"/>
          <c:order val="27"/>
          <c:tx>
            <c:strRef>
              <c:f>AGRO!$A$322</c:f>
              <c:strCache>
                <c:ptCount val="1"/>
                <c:pt idx="0">
                  <c:v>Culture tubes</c:v>
                </c:pt>
              </c:strCache>
            </c:strRef>
          </c:tx>
          <c:invertIfNegative val="0"/>
          <c:cat>
            <c:strRef>
              <c:f>AGRO!$N$294:$O$294</c:f>
              <c:strCache>
                <c:ptCount val="2"/>
                <c:pt idx="0">
                  <c:v>System</c:v>
                </c:pt>
                <c:pt idx="1">
                  <c:v>Process Operations</c:v>
                </c:pt>
              </c:strCache>
            </c:strRef>
          </c:cat>
          <c:val>
            <c:numRef>
              <c:f>AGRO!$N$322:$O$322</c:f>
              <c:numCache>
                <c:formatCode>General</c:formatCode>
                <c:ptCount val="2"/>
              </c:numCache>
            </c:numRef>
          </c:val>
          <c:extLst>
            <c:ext xmlns:c16="http://schemas.microsoft.com/office/drawing/2014/chart" uri="{C3380CC4-5D6E-409C-BE32-E72D297353CC}">
              <c16:uniqueId val="{0000005A-19C4-40D8-BEF7-BC7E4956FBEC}"/>
            </c:ext>
          </c:extLst>
        </c:ser>
        <c:ser>
          <c:idx val="28"/>
          <c:order val="28"/>
          <c:tx>
            <c:strRef>
              <c:f>AGRO!$A$323</c:f>
              <c:strCache>
                <c:ptCount val="1"/>
                <c:pt idx="0">
                  <c:v>Kanamycin</c:v>
                </c:pt>
              </c:strCache>
            </c:strRef>
          </c:tx>
          <c:invertIfNegative val="0"/>
          <c:cat>
            <c:strRef>
              <c:f>AGRO!$N$294:$O$294</c:f>
              <c:strCache>
                <c:ptCount val="2"/>
                <c:pt idx="0">
                  <c:v>System</c:v>
                </c:pt>
                <c:pt idx="1">
                  <c:v>Process Operations</c:v>
                </c:pt>
              </c:strCache>
            </c:strRef>
          </c:cat>
          <c:val>
            <c:numRef>
              <c:f>AGRO!$N$323:$O$323</c:f>
              <c:numCache>
                <c:formatCode>General</c:formatCode>
                <c:ptCount val="2"/>
              </c:numCache>
            </c:numRef>
          </c:val>
          <c:extLst>
            <c:ext xmlns:c16="http://schemas.microsoft.com/office/drawing/2014/chart" uri="{C3380CC4-5D6E-409C-BE32-E72D297353CC}">
              <c16:uniqueId val="{0000005B-19C4-40D8-BEF7-BC7E4956FBEC}"/>
            </c:ext>
          </c:extLst>
        </c:ser>
        <c:ser>
          <c:idx val="29"/>
          <c:order val="29"/>
          <c:tx>
            <c:strRef>
              <c:f>AGRO!$A$324</c:f>
              <c:strCache>
                <c:ptCount val="1"/>
                <c:pt idx="0">
                  <c:v>Tetracycline</c:v>
                </c:pt>
              </c:strCache>
            </c:strRef>
          </c:tx>
          <c:invertIfNegative val="0"/>
          <c:cat>
            <c:strRef>
              <c:f>AGRO!$N$294:$O$294</c:f>
              <c:strCache>
                <c:ptCount val="2"/>
                <c:pt idx="0">
                  <c:v>System</c:v>
                </c:pt>
                <c:pt idx="1">
                  <c:v>Process Operations</c:v>
                </c:pt>
              </c:strCache>
            </c:strRef>
          </c:cat>
          <c:val>
            <c:numRef>
              <c:f>AGRO!$N$324:$O$324</c:f>
              <c:numCache>
                <c:formatCode>General</c:formatCode>
                <c:ptCount val="2"/>
              </c:numCache>
            </c:numRef>
          </c:val>
          <c:extLst>
            <c:ext xmlns:c16="http://schemas.microsoft.com/office/drawing/2014/chart" uri="{C3380CC4-5D6E-409C-BE32-E72D297353CC}">
              <c16:uniqueId val="{0000005C-19C4-40D8-BEF7-BC7E4956FBEC}"/>
            </c:ext>
          </c:extLst>
        </c:ser>
        <c:ser>
          <c:idx val="30"/>
          <c:order val="30"/>
          <c:tx>
            <c:strRef>
              <c:f>AGRO!$A$325</c:f>
              <c:strCache>
                <c:ptCount val="1"/>
                <c:pt idx="0">
                  <c:v>Rifampicin</c:v>
                </c:pt>
              </c:strCache>
            </c:strRef>
          </c:tx>
          <c:invertIfNegative val="0"/>
          <c:cat>
            <c:strRef>
              <c:f>AGRO!$N$294:$O$294</c:f>
              <c:strCache>
                <c:ptCount val="2"/>
                <c:pt idx="0">
                  <c:v>System</c:v>
                </c:pt>
                <c:pt idx="1">
                  <c:v>Process Operations</c:v>
                </c:pt>
              </c:strCache>
            </c:strRef>
          </c:cat>
          <c:val>
            <c:numRef>
              <c:f>AGRO!$N$325:$O$325</c:f>
              <c:numCache>
                <c:formatCode>General</c:formatCode>
                <c:ptCount val="2"/>
              </c:numCache>
            </c:numRef>
          </c:val>
          <c:extLst>
            <c:ext xmlns:c16="http://schemas.microsoft.com/office/drawing/2014/chart" uri="{C3380CC4-5D6E-409C-BE32-E72D297353CC}">
              <c16:uniqueId val="{0000005D-19C4-40D8-BEF7-BC7E4956FBEC}"/>
            </c:ext>
          </c:extLst>
        </c:ser>
        <c:ser>
          <c:idx val="31"/>
          <c:order val="31"/>
          <c:tx>
            <c:strRef>
              <c:f>AGRO!$A$326</c:f>
              <c:strCache>
                <c:ptCount val="1"/>
                <c:pt idx="0">
                  <c:v>Acetosyringone</c:v>
                </c:pt>
              </c:strCache>
            </c:strRef>
          </c:tx>
          <c:invertIfNegative val="0"/>
          <c:cat>
            <c:strRef>
              <c:f>AGRO!$N$294:$O$294</c:f>
              <c:strCache>
                <c:ptCount val="2"/>
                <c:pt idx="0">
                  <c:v>System</c:v>
                </c:pt>
                <c:pt idx="1">
                  <c:v>Process Operations</c:v>
                </c:pt>
              </c:strCache>
            </c:strRef>
          </c:cat>
          <c:val>
            <c:numRef>
              <c:f>AGRO!$N$326:$O$326</c:f>
              <c:numCache>
                <c:formatCode>General</c:formatCode>
                <c:ptCount val="2"/>
              </c:numCache>
            </c:numRef>
          </c:val>
          <c:extLst>
            <c:ext xmlns:c16="http://schemas.microsoft.com/office/drawing/2014/chart" uri="{C3380CC4-5D6E-409C-BE32-E72D297353CC}">
              <c16:uniqueId val="{0000005E-19C4-40D8-BEF7-BC7E4956FBEC}"/>
            </c:ext>
          </c:extLst>
        </c:ser>
        <c:ser>
          <c:idx val="32"/>
          <c:order val="32"/>
          <c:tx>
            <c:strRef>
              <c:f>AGRO!$A$327</c:f>
              <c:strCache>
                <c:ptCount val="1"/>
                <c:pt idx="0">
                  <c:v>MES</c:v>
                </c:pt>
              </c:strCache>
            </c:strRef>
          </c:tx>
          <c:invertIfNegative val="0"/>
          <c:cat>
            <c:strRef>
              <c:f>AGRO!$N$294:$O$294</c:f>
              <c:strCache>
                <c:ptCount val="2"/>
                <c:pt idx="0">
                  <c:v>System</c:v>
                </c:pt>
                <c:pt idx="1">
                  <c:v>Process Operations</c:v>
                </c:pt>
              </c:strCache>
            </c:strRef>
          </c:cat>
          <c:val>
            <c:numRef>
              <c:f>AGRO!$N$327:$O$327</c:f>
              <c:numCache>
                <c:formatCode>General</c:formatCode>
                <c:ptCount val="2"/>
              </c:numCache>
            </c:numRef>
          </c:val>
          <c:extLst>
            <c:ext xmlns:c16="http://schemas.microsoft.com/office/drawing/2014/chart" uri="{C3380CC4-5D6E-409C-BE32-E72D297353CC}">
              <c16:uniqueId val="{0000005F-19C4-40D8-BEF7-BC7E4956FBEC}"/>
            </c:ext>
          </c:extLst>
        </c:ser>
        <c:ser>
          <c:idx val="33"/>
          <c:order val="33"/>
          <c:tx>
            <c:strRef>
              <c:f>AGRO!$A$328</c:f>
              <c:strCache>
                <c:ptCount val="1"/>
                <c:pt idx="0">
                  <c:v>MgCl2</c:v>
                </c:pt>
              </c:strCache>
            </c:strRef>
          </c:tx>
          <c:invertIfNegative val="0"/>
          <c:cat>
            <c:strRef>
              <c:f>AGRO!$N$294:$O$294</c:f>
              <c:strCache>
                <c:ptCount val="2"/>
                <c:pt idx="0">
                  <c:v>System</c:v>
                </c:pt>
                <c:pt idx="1">
                  <c:v>Process Operations</c:v>
                </c:pt>
              </c:strCache>
            </c:strRef>
          </c:cat>
          <c:val>
            <c:numRef>
              <c:f>AGRO!$N$328:$O$328</c:f>
              <c:numCache>
                <c:formatCode>General</c:formatCode>
                <c:ptCount val="2"/>
              </c:numCache>
            </c:numRef>
          </c:val>
          <c:extLst>
            <c:ext xmlns:c16="http://schemas.microsoft.com/office/drawing/2014/chart" uri="{C3380CC4-5D6E-409C-BE32-E72D297353CC}">
              <c16:uniqueId val="{00000060-19C4-40D8-BEF7-BC7E4956FBEC}"/>
            </c:ext>
          </c:extLst>
        </c:ser>
        <c:ser>
          <c:idx val="34"/>
          <c:order val="34"/>
          <c:tx>
            <c:strRef>
              <c:f>AGRO!$A$329</c:f>
              <c:strCache>
                <c:ptCount val="1"/>
                <c:pt idx="0">
                  <c:v>Silwet L-77</c:v>
                </c:pt>
              </c:strCache>
            </c:strRef>
          </c:tx>
          <c:invertIfNegative val="0"/>
          <c:cat>
            <c:strRef>
              <c:f>AGRO!$N$294:$O$294</c:f>
              <c:strCache>
                <c:ptCount val="2"/>
                <c:pt idx="0">
                  <c:v>System</c:v>
                </c:pt>
                <c:pt idx="1">
                  <c:v>Process Operations</c:v>
                </c:pt>
              </c:strCache>
            </c:strRef>
          </c:cat>
          <c:val>
            <c:numRef>
              <c:f>AGRO!$N$329:$O$329</c:f>
              <c:numCache>
                <c:formatCode>General</c:formatCode>
                <c:ptCount val="2"/>
              </c:numCache>
            </c:numRef>
          </c:val>
          <c:extLst>
            <c:ext xmlns:c16="http://schemas.microsoft.com/office/drawing/2014/chart" uri="{C3380CC4-5D6E-409C-BE32-E72D297353CC}">
              <c16:uniqueId val="{00000061-19C4-40D8-BEF7-BC7E4956FBEC}"/>
            </c:ext>
          </c:extLst>
        </c:ser>
        <c:ser>
          <c:idx val="35"/>
          <c:order val="35"/>
          <c:tx>
            <c:strRef>
              <c:f>AGRO!$A$330</c:f>
              <c:strCache>
                <c:ptCount val="1"/>
                <c:pt idx="0">
                  <c:v>Agro stock tubes</c:v>
                </c:pt>
              </c:strCache>
            </c:strRef>
          </c:tx>
          <c:invertIfNegative val="0"/>
          <c:cat>
            <c:strRef>
              <c:f>AGRO!$N$294:$O$294</c:f>
              <c:strCache>
                <c:ptCount val="2"/>
                <c:pt idx="0">
                  <c:v>System</c:v>
                </c:pt>
                <c:pt idx="1">
                  <c:v>Process Operations</c:v>
                </c:pt>
              </c:strCache>
            </c:strRef>
          </c:cat>
          <c:val>
            <c:numRef>
              <c:f>AGRO!$N$330:$O$330</c:f>
              <c:numCache>
                <c:formatCode>General</c:formatCode>
                <c:ptCount val="2"/>
              </c:numCache>
            </c:numRef>
          </c:val>
          <c:extLst>
            <c:ext xmlns:c16="http://schemas.microsoft.com/office/drawing/2014/chart" uri="{C3380CC4-5D6E-409C-BE32-E72D297353CC}">
              <c16:uniqueId val="{00000062-19C4-40D8-BEF7-BC7E4956FB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0"/>
        <c:overlap val="100"/>
        <c:axId val="312382031"/>
        <c:axId val="312385871"/>
      </c:barChart>
      <c:catAx>
        <c:axId val="3123820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2385871"/>
        <c:crosses val="autoZero"/>
        <c:auto val="1"/>
        <c:lblAlgn val="ctr"/>
        <c:lblOffset val="100"/>
        <c:noMultiLvlLbl val="0"/>
      </c:catAx>
      <c:valAx>
        <c:axId val="312385871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1" i="0" u="none" strike="noStrike" kern="1200" baseline="0">
                    <a:solidFill>
                      <a:sysClr val="windowText" lastClr="000000"/>
                    </a:solidFill>
                  </a:rPr>
                  <a:t>Crew Time (CM-h/CM/Mission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#,##0.0" sourceLinked="0"/>
        <c:majorTickMark val="out"/>
        <c:minorTickMark val="none"/>
        <c:tickLblPos val="nextTo"/>
        <c:spPr>
          <a:noFill/>
          <a:ln w="9525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2382031"/>
        <c:crosses val="autoZero"/>
        <c:crossBetween val="between"/>
      </c:valAx>
      <c:spPr>
        <a:ln>
          <a:solidFill>
            <a:schemeClr val="tx1"/>
          </a:solidFill>
        </a:ln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2"/>
      </a:solidFill>
      <a:round/>
    </a:ln>
    <a:effectLst/>
  </c:spPr>
  <c:txPr>
    <a:bodyPr/>
    <a:lstStyle/>
    <a:p>
      <a:pPr>
        <a:defRPr sz="1000" b="1"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none" strike="noStrike" kern="1200" spc="0" baseline="0">
                <a:solidFill>
                  <a:sysClr val="windowText" lastClr="000000"/>
                </a:solidFill>
              </a:rPr>
              <a:t>VIRAL Mass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VIRAL!$A$187</c:f>
              <c:strCache>
                <c:ptCount val="1"/>
                <c:pt idx="0">
                  <c:v>Harvesting container</c:v>
                </c:pt>
              </c:strCache>
            </c:strRef>
          </c:tx>
          <c:spPr>
            <a:solidFill>
              <a:schemeClr val="accent2">
                <a:lumMod val="20000"/>
                <a:lumOff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VIRAL!$B$186:$E$186</c:f>
              <c:strCache>
                <c:ptCount val="4"/>
                <c:pt idx="0">
                  <c:v>System</c:v>
                </c:pt>
                <c:pt idx="1">
                  <c:v>Input</c:v>
                </c:pt>
                <c:pt idx="2">
                  <c:v>Output</c:v>
                </c:pt>
                <c:pt idx="3">
                  <c:v>Waste</c:v>
                </c:pt>
              </c:strCache>
            </c:strRef>
          </c:cat>
          <c:val>
            <c:numRef>
              <c:f>VIRAL!$B$187:$E$187</c:f>
              <c:numCache>
                <c:formatCode>General</c:formatCode>
                <c:ptCount val="4"/>
                <c:pt idx="0" formatCode="0.00E+00">
                  <c:v>1.3825423199999999E-2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2-EB76-44C4-8BF6-D3E08A767D2A}"/>
            </c:ext>
          </c:extLst>
        </c:ser>
        <c:ser>
          <c:idx val="1"/>
          <c:order val="1"/>
          <c:tx>
            <c:strRef>
              <c:f>VIRAL!$A$188</c:f>
              <c:strCache>
                <c:ptCount val="1"/>
                <c:pt idx="0">
                  <c:v>Harvesting tools</c:v>
                </c:pt>
              </c:strCache>
            </c:strRef>
          </c:tx>
          <c:spPr>
            <a:solidFill>
              <a:schemeClr val="accent2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VIRAL!$B$186:$E$186</c:f>
              <c:strCache>
                <c:ptCount val="4"/>
                <c:pt idx="0">
                  <c:v>System</c:v>
                </c:pt>
                <c:pt idx="1">
                  <c:v>Input</c:v>
                </c:pt>
                <c:pt idx="2">
                  <c:v>Output</c:v>
                </c:pt>
                <c:pt idx="3">
                  <c:v>Waste</c:v>
                </c:pt>
              </c:strCache>
            </c:strRef>
          </c:cat>
          <c:val>
            <c:numRef>
              <c:f>VIRAL!$B$188:$E$188</c:f>
              <c:numCache>
                <c:formatCode>General</c:formatCode>
                <c:ptCount val="4"/>
                <c:pt idx="0" formatCode="0.00E+00">
                  <c:v>3.4018333333333338E-2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EB76-44C4-8BF6-D3E08A767D2A}"/>
            </c:ext>
          </c:extLst>
        </c:ser>
        <c:ser>
          <c:idx val="2"/>
          <c:order val="2"/>
          <c:tx>
            <c:strRef>
              <c:f>VIRAL!$A$189</c:f>
              <c:strCache>
                <c:ptCount val="1"/>
                <c:pt idx="0">
                  <c:v>Refrigerator/Freezer</c:v>
                </c:pt>
              </c:strCache>
            </c:strRef>
          </c:tx>
          <c:spPr>
            <a:solidFill>
              <a:schemeClr val="accent5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VIRAL!$B$186:$E$186</c:f>
              <c:strCache>
                <c:ptCount val="4"/>
                <c:pt idx="0">
                  <c:v>System</c:v>
                </c:pt>
                <c:pt idx="1">
                  <c:v>Input</c:v>
                </c:pt>
                <c:pt idx="2">
                  <c:v>Output</c:v>
                </c:pt>
                <c:pt idx="3">
                  <c:v>Waste</c:v>
                </c:pt>
              </c:strCache>
            </c:strRef>
          </c:cat>
          <c:val>
            <c:numRef>
              <c:f>VIRAL!$B$189:$E$189</c:f>
              <c:numCache>
                <c:formatCode>General</c:formatCode>
                <c:ptCount val="4"/>
                <c:pt idx="0" formatCode="0.00E+00">
                  <c:v>412.01249999999999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EB76-44C4-8BF6-D3E08A767D2A}"/>
            </c:ext>
          </c:extLst>
        </c:ser>
        <c:ser>
          <c:idx val="3"/>
          <c:order val="3"/>
          <c:tx>
            <c:strRef>
              <c:f>VIRAL!$A$190</c:f>
              <c:strCache>
                <c:ptCount val="1"/>
                <c:pt idx="0">
                  <c:v>Lighting panels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VIRAL!$B$186:$E$186</c:f>
              <c:strCache>
                <c:ptCount val="4"/>
                <c:pt idx="0">
                  <c:v>System</c:v>
                </c:pt>
                <c:pt idx="1">
                  <c:v>Input</c:v>
                </c:pt>
                <c:pt idx="2">
                  <c:v>Output</c:v>
                </c:pt>
                <c:pt idx="3">
                  <c:v>Waste</c:v>
                </c:pt>
              </c:strCache>
            </c:strRef>
          </c:cat>
          <c:val>
            <c:numRef>
              <c:f>VIRAL!$B$190:$E$190</c:f>
              <c:numCache>
                <c:formatCode>General</c:formatCode>
                <c:ptCount val="4"/>
                <c:pt idx="0" formatCode="0.00E+00">
                  <c:v>0.24299999999999999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EB76-44C4-8BF6-D3E08A767D2A}"/>
            </c:ext>
          </c:extLst>
        </c:ser>
        <c:ser>
          <c:idx val="4"/>
          <c:order val="4"/>
          <c:tx>
            <c:strRef>
              <c:f>VIRAL!$A$191</c:f>
              <c:strCache>
                <c:ptCount val="1"/>
                <c:pt idx="0">
                  <c:v>Plant growth chamber</c:v>
                </c:pt>
              </c:strCache>
            </c:strRef>
          </c:tx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strRef>
              <c:f>VIRAL!$B$186:$E$186</c:f>
              <c:strCache>
                <c:ptCount val="4"/>
                <c:pt idx="0">
                  <c:v>System</c:v>
                </c:pt>
                <c:pt idx="1">
                  <c:v>Input</c:v>
                </c:pt>
                <c:pt idx="2">
                  <c:v>Output</c:v>
                </c:pt>
                <c:pt idx="3">
                  <c:v>Waste</c:v>
                </c:pt>
              </c:strCache>
            </c:strRef>
          </c:cat>
          <c:val>
            <c:numRef>
              <c:f>VIRAL!$B$191:$E$191</c:f>
              <c:numCache>
                <c:formatCode>General</c:formatCode>
                <c:ptCount val="4"/>
                <c:pt idx="0" formatCode="0.00E+00">
                  <c:v>3.2607899999999987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A-EB76-44C4-8BF6-D3E08A767D2A}"/>
            </c:ext>
          </c:extLst>
        </c:ser>
        <c:ser>
          <c:idx val="5"/>
          <c:order val="5"/>
          <c:tx>
            <c:strRef>
              <c:f>VIRAL!$A$192</c:f>
              <c:strCache>
                <c:ptCount val="1"/>
                <c:pt idx="0">
                  <c:v>N benthamiana seeds</c:v>
                </c:pt>
              </c:strCache>
            </c:strRef>
          </c:tx>
          <c:spPr>
            <a:solidFill>
              <a:schemeClr val="accent4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strRef>
              <c:f>VIRAL!$B$186:$E$186</c:f>
              <c:strCache>
                <c:ptCount val="4"/>
                <c:pt idx="0">
                  <c:v>System</c:v>
                </c:pt>
                <c:pt idx="1">
                  <c:v>Input</c:v>
                </c:pt>
                <c:pt idx="2">
                  <c:v>Output</c:v>
                </c:pt>
                <c:pt idx="3">
                  <c:v>Waste</c:v>
                </c:pt>
              </c:strCache>
            </c:strRef>
          </c:cat>
          <c:val>
            <c:numRef>
              <c:f>VIRAL!$B$192:$E$192</c:f>
              <c:numCache>
                <c:formatCode>0.00E+00</c:formatCode>
                <c:ptCount val="4"/>
                <c:pt idx="1">
                  <c:v>0.1475072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C-EB76-44C4-8BF6-D3E08A767D2A}"/>
            </c:ext>
          </c:extLst>
        </c:ser>
        <c:ser>
          <c:idx val="6"/>
          <c:order val="6"/>
          <c:tx>
            <c:strRef>
              <c:f>VIRAL!$A$193</c:f>
              <c:strCache>
                <c:ptCount val="1"/>
                <c:pt idx="0">
                  <c:v>Water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VIRAL!$B$186:$E$186</c:f>
              <c:strCache>
                <c:ptCount val="4"/>
                <c:pt idx="0">
                  <c:v>System</c:v>
                </c:pt>
                <c:pt idx="1">
                  <c:v>Input</c:v>
                </c:pt>
                <c:pt idx="2">
                  <c:v>Output</c:v>
                </c:pt>
                <c:pt idx="3">
                  <c:v>Waste</c:v>
                </c:pt>
              </c:strCache>
            </c:strRef>
          </c:cat>
          <c:val>
            <c:numRef>
              <c:f>VIRAL!$B$193:$E$193</c:f>
              <c:numCache>
                <c:formatCode>0.00E+00</c:formatCode>
                <c:ptCount val="4"/>
                <c:pt idx="1">
                  <c:v>57.777761342488979</c:v>
                </c:pt>
                <c:pt idx="2">
                  <c:v>48.891485641912503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E-EB76-44C4-8BF6-D3E08A767D2A}"/>
            </c:ext>
          </c:extLst>
        </c:ser>
        <c:ser>
          <c:idx val="7"/>
          <c:order val="7"/>
          <c:tx>
            <c:strRef>
              <c:f>VIRAL!$A$194</c:f>
              <c:strCache>
                <c:ptCount val="1"/>
                <c:pt idx="0">
                  <c:v>Plant growth nutrients</c:v>
                </c:pt>
              </c:strCache>
            </c:strRef>
          </c:tx>
          <c:spPr>
            <a:solidFill>
              <a:schemeClr val="accent4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VIRAL!$B$186:$E$186</c:f>
              <c:strCache>
                <c:ptCount val="4"/>
                <c:pt idx="0">
                  <c:v>System</c:v>
                </c:pt>
                <c:pt idx="1">
                  <c:v>Input</c:v>
                </c:pt>
                <c:pt idx="2">
                  <c:v>Output</c:v>
                </c:pt>
                <c:pt idx="3">
                  <c:v>Waste</c:v>
                </c:pt>
              </c:strCache>
            </c:strRef>
          </c:cat>
          <c:val>
            <c:numRef>
              <c:f>VIRAL!$B$194:$E$194</c:f>
              <c:numCache>
                <c:formatCode>0.00E+00</c:formatCode>
                <c:ptCount val="4"/>
                <c:pt idx="1">
                  <c:v>2.2177415913700971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0-EB76-44C4-8BF6-D3E08A767D2A}"/>
            </c:ext>
          </c:extLst>
        </c:ser>
        <c:ser>
          <c:idx val="8"/>
          <c:order val="8"/>
          <c:tx>
            <c:strRef>
              <c:f>VIRAL!$A$195</c:f>
              <c:strCache>
                <c:ptCount val="1"/>
                <c:pt idx="0">
                  <c:v>Carbon dioxide</c:v>
                </c:pt>
              </c:strCache>
            </c:strRef>
          </c:tx>
          <c:spPr>
            <a:solidFill>
              <a:schemeClr val="accent4">
                <a:lumMod val="20000"/>
                <a:lumOff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VIRAL!$B$186:$E$186</c:f>
              <c:strCache>
                <c:ptCount val="4"/>
                <c:pt idx="0">
                  <c:v>System</c:v>
                </c:pt>
                <c:pt idx="1">
                  <c:v>Input</c:v>
                </c:pt>
                <c:pt idx="2">
                  <c:v>Output</c:v>
                </c:pt>
                <c:pt idx="3">
                  <c:v>Waste</c:v>
                </c:pt>
              </c:strCache>
            </c:strRef>
          </c:cat>
          <c:val>
            <c:numRef>
              <c:f>VIRAL!$B$195:$E$195</c:f>
              <c:numCache>
                <c:formatCode>0.00E+00</c:formatCode>
                <c:ptCount val="4"/>
                <c:pt idx="1">
                  <c:v>0.24908221046117321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2-EB76-44C4-8BF6-D3E08A767D2A}"/>
            </c:ext>
          </c:extLst>
        </c:ser>
        <c:ser>
          <c:idx val="9"/>
          <c:order val="9"/>
          <c:tx>
            <c:strRef>
              <c:f>VIRAL!$A$196</c:f>
              <c:strCache>
                <c:ptCount val="1"/>
                <c:pt idx="0">
                  <c:v>Oxygen</c:v>
                </c:pt>
              </c:strCache>
            </c:strRef>
          </c:tx>
          <c:spPr>
            <a:solidFill>
              <a:srgbClr val="FFC000"/>
            </a:solidFill>
            <a:ln>
              <a:noFill/>
            </a:ln>
            <a:effectLst/>
          </c:spPr>
          <c:invertIfNegative val="0"/>
          <c:cat>
            <c:strRef>
              <c:f>VIRAL!$B$186:$E$186</c:f>
              <c:strCache>
                <c:ptCount val="4"/>
                <c:pt idx="0">
                  <c:v>System</c:v>
                </c:pt>
                <c:pt idx="1">
                  <c:v>Input</c:v>
                </c:pt>
                <c:pt idx="2">
                  <c:v>Output</c:v>
                </c:pt>
                <c:pt idx="3">
                  <c:v>Waste</c:v>
                </c:pt>
              </c:strCache>
            </c:strRef>
          </c:cat>
          <c:val>
            <c:numRef>
              <c:f>VIRAL!$B$196:$E$196</c:f>
              <c:numCache>
                <c:formatCode>0.00E+00</c:formatCode>
                <c:ptCount val="4"/>
                <c:pt idx="2">
                  <c:v>0.18110837358765683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4-EB76-44C4-8BF6-D3E08A767D2A}"/>
            </c:ext>
          </c:extLst>
        </c:ser>
        <c:ser>
          <c:idx val="10"/>
          <c:order val="10"/>
          <c:tx>
            <c:strRef>
              <c:f>VIRAL!$A$197</c:f>
              <c:strCache>
                <c:ptCount val="1"/>
                <c:pt idx="0">
                  <c:v>PTH-Fc</c:v>
                </c:pt>
              </c:strCache>
            </c:strRef>
          </c:tx>
          <c:spPr>
            <a:solidFill>
              <a:schemeClr val="accent6">
                <a:lumMod val="75000"/>
              </a:schemeClr>
            </a:solidFill>
          </c:spPr>
          <c:invertIfNegative val="0"/>
          <c:cat>
            <c:strRef>
              <c:f>VIRAL!$B$186:$E$186</c:f>
              <c:strCache>
                <c:ptCount val="4"/>
                <c:pt idx="0">
                  <c:v>System</c:v>
                </c:pt>
                <c:pt idx="1">
                  <c:v>Input</c:v>
                </c:pt>
                <c:pt idx="2">
                  <c:v>Output</c:v>
                </c:pt>
                <c:pt idx="3">
                  <c:v>Waste</c:v>
                </c:pt>
              </c:strCache>
            </c:strRef>
          </c:cat>
          <c:val>
            <c:numRef>
              <c:f>VIRAL!$B$197:$E$197</c:f>
              <c:numCache>
                <c:formatCode>0.00E+00</c:formatCode>
                <c:ptCount val="4"/>
                <c:pt idx="2">
                  <c:v>4.3000000000000004E-4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6-EB76-44C4-8BF6-D3E08A767D2A}"/>
            </c:ext>
          </c:extLst>
        </c:ser>
        <c:ser>
          <c:idx val="11"/>
          <c:order val="11"/>
          <c:tx>
            <c:strRef>
              <c:f>VIRAL!$A$198</c:f>
              <c:strCache>
                <c:ptCount val="1"/>
                <c:pt idx="0">
                  <c:v>Plant biomass</c:v>
                </c:pt>
              </c:strCache>
            </c:strRef>
          </c:tx>
          <c:spPr>
            <a:solidFill>
              <a:schemeClr val="accent3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VIRAL!$B$186:$E$186</c:f>
              <c:strCache>
                <c:ptCount val="4"/>
                <c:pt idx="0">
                  <c:v>System</c:v>
                </c:pt>
                <c:pt idx="1">
                  <c:v>Input</c:v>
                </c:pt>
                <c:pt idx="2">
                  <c:v>Output</c:v>
                </c:pt>
                <c:pt idx="3">
                  <c:v>Waste</c:v>
                </c:pt>
              </c:strCache>
            </c:strRef>
          </c:cat>
          <c:val>
            <c:numRef>
              <c:f>VIRAL!$B$198:$E$198</c:f>
              <c:numCache>
                <c:formatCode>0.00E+00</c:formatCode>
                <c:ptCount val="4"/>
                <c:pt idx="2">
                  <c:v>1.4333333333333333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8-EB76-44C4-8BF6-D3E08A767D2A}"/>
            </c:ext>
          </c:extLst>
        </c:ser>
        <c:ser>
          <c:idx val="12"/>
          <c:order val="12"/>
          <c:tx>
            <c:strRef>
              <c:f>VIRAL!$A$199</c:f>
              <c:strCache>
                <c:ptCount val="1"/>
                <c:pt idx="0">
                  <c:v>Biomass waste</c:v>
                </c:pt>
              </c:strCache>
            </c:strRef>
          </c:tx>
          <c:spPr>
            <a:solidFill>
              <a:schemeClr val="accent6">
                <a:lumMod val="60000"/>
                <a:lumOff val="40000"/>
              </a:schemeClr>
            </a:solidFill>
          </c:spPr>
          <c:invertIfNegative val="0"/>
          <c:cat>
            <c:strRef>
              <c:f>VIRAL!$B$186:$E$186</c:f>
              <c:strCache>
                <c:ptCount val="4"/>
                <c:pt idx="0">
                  <c:v>System</c:v>
                </c:pt>
                <c:pt idx="1">
                  <c:v>Input</c:v>
                </c:pt>
                <c:pt idx="2">
                  <c:v>Output</c:v>
                </c:pt>
                <c:pt idx="3">
                  <c:v>Waste</c:v>
                </c:pt>
              </c:strCache>
            </c:strRef>
          </c:cat>
          <c:val>
            <c:numRef>
              <c:f>VIRAL!$B$199:$E$199</c:f>
              <c:numCache>
                <c:formatCode>0.00E+00</c:formatCode>
                <c:ptCount val="4"/>
                <c:pt idx="3">
                  <c:v>1.6032679255171245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A-EB76-44C4-8BF6-D3E08A767D2A}"/>
            </c:ext>
          </c:extLst>
        </c:ser>
        <c:ser>
          <c:idx val="13"/>
          <c:order val="13"/>
          <c:tx>
            <c:strRef>
              <c:f>VIRAL!$A$200</c:f>
              <c:strCache>
                <c:ptCount val="1"/>
                <c:pt idx="0">
                  <c:v>Scale</c:v>
                </c:pt>
              </c:strCache>
            </c:strRef>
          </c:tx>
          <c:spPr>
            <a:solidFill>
              <a:schemeClr val="accent6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VIRAL!$B$186:$E$186</c:f>
              <c:strCache>
                <c:ptCount val="4"/>
                <c:pt idx="0">
                  <c:v>System</c:v>
                </c:pt>
                <c:pt idx="1">
                  <c:v>Input</c:v>
                </c:pt>
                <c:pt idx="2">
                  <c:v>Output</c:v>
                </c:pt>
                <c:pt idx="3">
                  <c:v>Waste</c:v>
                </c:pt>
              </c:strCache>
            </c:strRef>
          </c:cat>
          <c:val>
            <c:numRef>
              <c:f>VIRAL!$B$200:$E$200</c:f>
              <c:numCache>
                <c:formatCode>0.00E+00</c:formatCode>
                <c:ptCount val="4"/>
                <c:pt idx="0">
                  <c:v>1.25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C-EB76-44C4-8BF6-D3E08A767D2A}"/>
            </c:ext>
          </c:extLst>
        </c:ser>
        <c:ser>
          <c:idx val="14"/>
          <c:order val="14"/>
          <c:tx>
            <c:strRef>
              <c:f>VIRAL!$A$201</c:f>
              <c:strCache>
                <c:ptCount val="1"/>
                <c:pt idx="0">
                  <c:v>Viral stock</c:v>
                </c:pt>
              </c:strCache>
            </c:strRef>
          </c:tx>
          <c:spPr>
            <a:solidFill>
              <a:schemeClr val="accent6">
                <a:lumMod val="20000"/>
                <a:lumOff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VIRAL!$B$186:$E$186</c:f>
              <c:strCache>
                <c:ptCount val="4"/>
                <c:pt idx="0">
                  <c:v>System</c:v>
                </c:pt>
                <c:pt idx="1">
                  <c:v>Input</c:v>
                </c:pt>
                <c:pt idx="2">
                  <c:v>Output</c:v>
                </c:pt>
                <c:pt idx="3">
                  <c:v>Waste</c:v>
                </c:pt>
              </c:strCache>
            </c:strRef>
          </c:cat>
          <c:val>
            <c:numRef>
              <c:f>VIRAL!$B$201:$E$201</c:f>
              <c:numCache>
                <c:formatCode>0.00E+00</c:formatCode>
                <c:ptCount val="4"/>
                <c:pt idx="1">
                  <c:v>1.8096880000000001E-3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E-EB76-44C4-8BF6-D3E08A767D2A}"/>
            </c:ext>
          </c:extLst>
        </c:ser>
        <c:ser>
          <c:idx val="15"/>
          <c:order val="15"/>
          <c:tx>
            <c:strRef>
              <c:f>VIRAL!$A$202</c:f>
              <c:strCache>
                <c:ptCount val="1"/>
                <c:pt idx="0">
                  <c:v>Carborundum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VIRAL!$B$186:$E$186</c:f>
              <c:strCache>
                <c:ptCount val="4"/>
                <c:pt idx="0">
                  <c:v>System</c:v>
                </c:pt>
                <c:pt idx="1">
                  <c:v>Input</c:v>
                </c:pt>
                <c:pt idx="2">
                  <c:v>Output</c:v>
                </c:pt>
                <c:pt idx="3">
                  <c:v>Waste</c:v>
                </c:pt>
              </c:strCache>
            </c:strRef>
          </c:cat>
          <c:val>
            <c:numRef>
              <c:f>VIRAL!$B$202:$E$202</c:f>
              <c:numCache>
                <c:formatCode>0.00E+00</c:formatCode>
                <c:ptCount val="4"/>
                <c:pt idx="1">
                  <c:v>1.6481000000000003E-2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0-EB76-44C4-8BF6-D3E08A767D2A}"/>
            </c:ext>
          </c:extLst>
        </c:ser>
        <c:ser>
          <c:idx val="16"/>
          <c:order val="16"/>
          <c:tx>
            <c:strRef>
              <c:f>VIRAL!$A$203</c:f>
              <c:strCache>
                <c:ptCount val="1"/>
                <c:pt idx="0">
                  <c:v>Mixing tube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  <a:effectLst/>
          </c:spPr>
          <c:invertIfNegative val="0"/>
          <c:cat>
            <c:strRef>
              <c:f>VIRAL!$B$186:$E$186</c:f>
              <c:strCache>
                <c:ptCount val="4"/>
                <c:pt idx="0">
                  <c:v>System</c:v>
                </c:pt>
                <c:pt idx="1">
                  <c:v>Input</c:v>
                </c:pt>
                <c:pt idx="2">
                  <c:v>Output</c:v>
                </c:pt>
                <c:pt idx="3">
                  <c:v>Waste</c:v>
                </c:pt>
              </c:strCache>
            </c:strRef>
          </c:cat>
          <c:val>
            <c:numRef>
              <c:f>VIRAL!$B$203:$E$203</c:f>
              <c:numCache>
                <c:formatCode>0.00E+00</c:formatCode>
                <c:ptCount val="4"/>
                <c:pt idx="1">
                  <c:v>9.6406000000000006E-2</c:v>
                </c:pt>
                <c:pt idx="3">
                  <c:v>9.6406000000000006E-2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2-EB76-44C4-8BF6-D3E08A767D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0"/>
        <c:overlap val="100"/>
        <c:axId val="312382031"/>
        <c:axId val="312385871"/>
      </c:barChart>
      <c:catAx>
        <c:axId val="3123820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2385871"/>
        <c:crosses val="autoZero"/>
        <c:auto val="1"/>
        <c:lblAlgn val="ctr"/>
        <c:lblOffset val="100"/>
        <c:noMultiLvlLbl val="0"/>
      </c:catAx>
      <c:valAx>
        <c:axId val="312385871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1" i="0" u="none" strike="noStrike" kern="1200" baseline="0">
                    <a:solidFill>
                      <a:sysClr val="windowText" lastClr="000000"/>
                    </a:solidFill>
                  </a:rPr>
                  <a:t>Mass (kg/CM/Mission)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#,##0" sourceLinked="0"/>
        <c:majorTickMark val="out"/>
        <c:minorTickMark val="none"/>
        <c:tickLblPos val="nextTo"/>
        <c:spPr>
          <a:noFill/>
          <a:ln w="9525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2382031"/>
        <c:crosses val="autoZero"/>
        <c:crossBetween val="between"/>
      </c:valAx>
      <c:spPr>
        <a:ln>
          <a:solidFill>
            <a:schemeClr val="tx1"/>
          </a:solidFill>
        </a:ln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2"/>
      </a:solidFill>
      <a:round/>
    </a:ln>
    <a:effectLst/>
  </c:spPr>
  <c:txPr>
    <a:bodyPr/>
    <a:lstStyle/>
    <a:p>
      <a:pPr>
        <a:defRPr sz="1000" b="1"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none" strike="noStrike" kern="1200" spc="0" baseline="0">
                <a:solidFill>
                  <a:sysClr val="windowText" lastClr="000000"/>
                </a:solidFill>
              </a:rPr>
              <a:t>VIRAL Volume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VIRAL!$A$187</c:f>
              <c:strCache>
                <c:ptCount val="1"/>
                <c:pt idx="0">
                  <c:v>Harvesting container</c:v>
                </c:pt>
              </c:strCache>
            </c:strRef>
          </c:tx>
          <c:spPr>
            <a:solidFill>
              <a:schemeClr val="accent2">
                <a:lumMod val="20000"/>
                <a:lumOff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VIRAL!$F$186:$I$186</c:f>
              <c:strCache>
                <c:ptCount val="4"/>
                <c:pt idx="0">
                  <c:v>System</c:v>
                </c:pt>
                <c:pt idx="1">
                  <c:v>Input</c:v>
                </c:pt>
                <c:pt idx="2">
                  <c:v>Output</c:v>
                </c:pt>
                <c:pt idx="3">
                  <c:v>Waste</c:v>
                </c:pt>
              </c:strCache>
            </c:strRef>
          </c:cat>
          <c:val>
            <c:numRef>
              <c:f>VIRAL!$F$187:$I$187</c:f>
              <c:numCache>
                <c:formatCode>General</c:formatCode>
                <c:ptCount val="4"/>
                <c:pt idx="0" formatCode="0.00E+00">
                  <c:v>7.4585973E-6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2-EB76-44C4-8BF6-D3E08A767D2A}"/>
            </c:ext>
          </c:extLst>
        </c:ser>
        <c:ser>
          <c:idx val="1"/>
          <c:order val="1"/>
          <c:tx>
            <c:strRef>
              <c:f>VIRAL!$A$188</c:f>
              <c:strCache>
                <c:ptCount val="1"/>
                <c:pt idx="0">
                  <c:v>Harvesting tools</c:v>
                </c:pt>
              </c:strCache>
            </c:strRef>
          </c:tx>
          <c:spPr>
            <a:solidFill>
              <a:schemeClr val="accent2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VIRAL!$F$186:$I$186</c:f>
              <c:strCache>
                <c:ptCount val="4"/>
                <c:pt idx="0">
                  <c:v>System</c:v>
                </c:pt>
                <c:pt idx="1">
                  <c:v>Input</c:v>
                </c:pt>
                <c:pt idx="2">
                  <c:v>Output</c:v>
                </c:pt>
                <c:pt idx="3">
                  <c:v>Waste</c:v>
                </c:pt>
              </c:strCache>
            </c:strRef>
          </c:cat>
          <c:val>
            <c:numRef>
              <c:f>VIRAL!$F$188:$I$188</c:f>
              <c:numCache>
                <c:formatCode>General</c:formatCode>
                <c:ptCount val="4"/>
                <c:pt idx="0" formatCode="0.00E+00">
                  <c:v>1.0735999999999999E-4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EB76-44C4-8BF6-D3E08A767D2A}"/>
            </c:ext>
          </c:extLst>
        </c:ser>
        <c:ser>
          <c:idx val="2"/>
          <c:order val="2"/>
          <c:tx>
            <c:strRef>
              <c:f>VIRAL!$A$189</c:f>
              <c:strCache>
                <c:ptCount val="1"/>
                <c:pt idx="0">
                  <c:v>Refrigerator/Freezer</c:v>
                </c:pt>
              </c:strCache>
            </c:strRef>
          </c:tx>
          <c:spPr>
            <a:solidFill>
              <a:schemeClr val="accent5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VIRAL!$F$186:$I$186</c:f>
              <c:strCache>
                <c:ptCount val="4"/>
                <c:pt idx="0">
                  <c:v>System</c:v>
                </c:pt>
                <c:pt idx="1">
                  <c:v>Input</c:v>
                </c:pt>
                <c:pt idx="2">
                  <c:v>Output</c:v>
                </c:pt>
                <c:pt idx="3">
                  <c:v>Waste</c:v>
                </c:pt>
              </c:strCache>
            </c:strRef>
          </c:cat>
          <c:val>
            <c:numRef>
              <c:f>VIRAL!$F$189:$I$189</c:f>
              <c:numCache>
                <c:formatCode>General</c:formatCode>
                <c:ptCount val="4"/>
                <c:pt idx="0" formatCode="0.00E+00">
                  <c:v>2.0000654999999998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EB76-44C4-8BF6-D3E08A767D2A}"/>
            </c:ext>
          </c:extLst>
        </c:ser>
        <c:ser>
          <c:idx val="3"/>
          <c:order val="3"/>
          <c:tx>
            <c:strRef>
              <c:f>VIRAL!$A$190</c:f>
              <c:strCache>
                <c:ptCount val="1"/>
                <c:pt idx="0">
                  <c:v>Lighting panels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VIRAL!$F$186:$I$186</c:f>
              <c:strCache>
                <c:ptCount val="4"/>
                <c:pt idx="0">
                  <c:v>System</c:v>
                </c:pt>
                <c:pt idx="1">
                  <c:v>Input</c:v>
                </c:pt>
                <c:pt idx="2">
                  <c:v>Output</c:v>
                </c:pt>
                <c:pt idx="3">
                  <c:v>Waste</c:v>
                </c:pt>
              </c:strCache>
            </c:strRef>
          </c:cat>
          <c:val>
            <c:numRef>
              <c:f>VIRAL!$F$190:$I$190</c:f>
              <c:numCache>
                <c:formatCode>General</c:formatCode>
                <c:ptCount val="4"/>
                <c:pt idx="0" formatCode="0.00E+00">
                  <c:v>8.9999999999999992E-5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EB76-44C4-8BF6-D3E08A767D2A}"/>
            </c:ext>
          </c:extLst>
        </c:ser>
        <c:ser>
          <c:idx val="4"/>
          <c:order val="4"/>
          <c:tx>
            <c:strRef>
              <c:f>VIRAL!$A$191</c:f>
              <c:strCache>
                <c:ptCount val="1"/>
                <c:pt idx="0">
                  <c:v>Plant growth chamber</c:v>
                </c:pt>
              </c:strCache>
            </c:strRef>
          </c:tx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strRef>
              <c:f>VIRAL!$F$186:$I$186</c:f>
              <c:strCache>
                <c:ptCount val="4"/>
                <c:pt idx="0">
                  <c:v>System</c:v>
                </c:pt>
                <c:pt idx="1">
                  <c:v>Input</c:v>
                </c:pt>
                <c:pt idx="2">
                  <c:v>Output</c:v>
                </c:pt>
                <c:pt idx="3">
                  <c:v>Waste</c:v>
                </c:pt>
              </c:strCache>
            </c:strRef>
          </c:cat>
          <c:val>
            <c:numRef>
              <c:f>VIRAL!$F$191:$I$191</c:f>
              <c:numCache>
                <c:formatCode>General</c:formatCode>
                <c:ptCount val="4"/>
                <c:pt idx="0" formatCode="0.00E+00">
                  <c:v>3.6230999999999992E-2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A-EB76-44C4-8BF6-D3E08A767D2A}"/>
            </c:ext>
          </c:extLst>
        </c:ser>
        <c:ser>
          <c:idx val="5"/>
          <c:order val="5"/>
          <c:tx>
            <c:strRef>
              <c:f>VIRAL!$A$192</c:f>
              <c:strCache>
                <c:ptCount val="1"/>
                <c:pt idx="0">
                  <c:v>N benthamiana seeds</c:v>
                </c:pt>
              </c:strCache>
            </c:strRef>
          </c:tx>
          <c:spPr>
            <a:solidFill>
              <a:schemeClr val="accent4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strRef>
              <c:f>VIRAL!$F$186:$I$186</c:f>
              <c:strCache>
                <c:ptCount val="4"/>
                <c:pt idx="0">
                  <c:v>System</c:v>
                </c:pt>
                <c:pt idx="1">
                  <c:v>Input</c:v>
                </c:pt>
                <c:pt idx="2">
                  <c:v>Output</c:v>
                </c:pt>
                <c:pt idx="3">
                  <c:v>Waste</c:v>
                </c:pt>
              </c:strCache>
            </c:strRef>
          </c:cat>
          <c:val>
            <c:numRef>
              <c:f>VIRAL!$F$192:$I$192</c:f>
              <c:numCache>
                <c:formatCode>0.00E+00</c:formatCode>
                <c:ptCount val="4"/>
                <c:pt idx="1">
                  <c:v>4.1033127046699689E-9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C-EB76-44C4-8BF6-D3E08A767D2A}"/>
            </c:ext>
          </c:extLst>
        </c:ser>
        <c:ser>
          <c:idx val="6"/>
          <c:order val="6"/>
          <c:tx>
            <c:strRef>
              <c:f>VIRAL!$A$193</c:f>
              <c:strCache>
                <c:ptCount val="1"/>
                <c:pt idx="0">
                  <c:v>Water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VIRAL!$F$186:$I$186</c:f>
              <c:strCache>
                <c:ptCount val="4"/>
                <c:pt idx="0">
                  <c:v>System</c:v>
                </c:pt>
                <c:pt idx="1">
                  <c:v>Input</c:v>
                </c:pt>
                <c:pt idx="2">
                  <c:v>Output</c:v>
                </c:pt>
                <c:pt idx="3">
                  <c:v>Waste</c:v>
                </c:pt>
              </c:strCache>
            </c:strRef>
          </c:cat>
          <c:val>
            <c:numRef>
              <c:f>VIRAL!$F$193:$I$193</c:f>
              <c:numCache>
                <c:formatCode>0.00E+00</c:formatCode>
                <c:ptCount val="4"/>
                <c:pt idx="1">
                  <c:v>5.7783953342488981E-2</c:v>
                </c:pt>
                <c:pt idx="2">
                  <c:v>4.8885293641912506E-2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E-EB76-44C4-8BF6-D3E08A767D2A}"/>
            </c:ext>
          </c:extLst>
        </c:ser>
        <c:ser>
          <c:idx val="7"/>
          <c:order val="7"/>
          <c:tx>
            <c:strRef>
              <c:f>VIRAL!$A$194</c:f>
              <c:strCache>
                <c:ptCount val="1"/>
                <c:pt idx="0">
                  <c:v>Plant growth nutrients</c:v>
                </c:pt>
              </c:strCache>
            </c:strRef>
          </c:tx>
          <c:spPr>
            <a:solidFill>
              <a:schemeClr val="accent4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VIRAL!$F$186:$I$186</c:f>
              <c:strCache>
                <c:ptCount val="4"/>
                <c:pt idx="0">
                  <c:v>System</c:v>
                </c:pt>
                <c:pt idx="1">
                  <c:v>Input</c:v>
                </c:pt>
                <c:pt idx="2">
                  <c:v>Output</c:v>
                </c:pt>
                <c:pt idx="3">
                  <c:v>Waste</c:v>
                </c:pt>
              </c:strCache>
            </c:strRef>
          </c:cat>
          <c:val>
            <c:numRef>
              <c:f>VIRAL!$F$194:$I$194</c:f>
              <c:numCache>
                <c:formatCode>0.00E+00</c:formatCode>
                <c:ptCount val="4"/>
              </c:numCache>
            </c:numRef>
          </c:val>
          <c:extLst>
            <c:ext xmlns:c16="http://schemas.microsoft.com/office/drawing/2014/chart" uri="{C3380CC4-5D6E-409C-BE32-E72D297353CC}">
              <c16:uniqueId val="{00000020-EB76-44C4-8BF6-D3E08A767D2A}"/>
            </c:ext>
          </c:extLst>
        </c:ser>
        <c:ser>
          <c:idx val="8"/>
          <c:order val="8"/>
          <c:tx>
            <c:strRef>
              <c:f>VIRAL!$A$195</c:f>
              <c:strCache>
                <c:ptCount val="1"/>
                <c:pt idx="0">
                  <c:v>Carbon dioxide</c:v>
                </c:pt>
              </c:strCache>
            </c:strRef>
          </c:tx>
          <c:spPr>
            <a:solidFill>
              <a:schemeClr val="accent4">
                <a:lumMod val="20000"/>
                <a:lumOff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VIRAL!$F$186:$I$186</c:f>
              <c:strCache>
                <c:ptCount val="4"/>
                <c:pt idx="0">
                  <c:v>System</c:v>
                </c:pt>
                <c:pt idx="1">
                  <c:v>Input</c:v>
                </c:pt>
                <c:pt idx="2">
                  <c:v>Output</c:v>
                </c:pt>
                <c:pt idx="3">
                  <c:v>Waste</c:v>
                </c:pt>
              </c:strCache>
            </c:strRef>
          </c:cat>
          <c:val>
            <c:numRef>
              <c:f>VIRAL!$F$195:$I$195</c:f>
              <c:numCache>
                <c:formatCode>0.00E+00</c:formatCode>
                <c:ptCount val="4"/>
                <c:pt idx="1">
                  <c:v>0.13685835739624902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2-EB76-44C4-8BF6-D3E08A767D2A}"/>
            </c:ext>
          </c:extLst>
        </c:ser>
        <c:ser>
          <c:idx val="9"/>
          <c:order val="9"/>
          <c:tx>
            <c:strRef>
              <c:f>VIRAL!$A$196</c:f>
              <c:strCache>
                <c:ptCount val="1"/>
                <c:pt idx="0">
                  <c:v>Oxygen</c:v>
                </c:pt>
              </c:strCache>
            </c:strRef>
          </c:tx>
          <c:spPr>
            <a:solidFill>
              <a:srgbClr val="FFC000"/>
            </a:solidFill>
            <a:ln>
              <a:noFill/>
            </a:ln>
            <a:effectLst/>
          </c:spPr>
          <c:invertIfNegative val="0"/>
          <c:cat>
            <c:strRef>
              <c:f>VIRAL!$F$186:$I$186</c:f>
              <c:strCache>
                <c:ptCount val="4"/>
                <c:pt idx="0">
                  <c:v>System</c:v>
                </c:pt>
                <c:pt idx="1">
                  <c:v>Input</c:v>
                </c:pt>
                <c:pt idx="2">
                  <c:v>Output</c:v>
                </c:pt>
                <c:pt idx="3">
                  <c:v>Waste</c:v>
                </c:pt>
              </c:strCache>
            </c:strRef>
          </c:cat>
          <c:val>
            <c:numRef>
              <c:f>VIRAL!$F$196:$I$196</c:f>
              <c:numCache>
                <c:formatCode>0.00E+00</c:formatCode>
                <c:ptCount val="4"/>
                <c:pt idx="2">
                  <c:v>0.13931413352896679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4-EB76-44C4-8BF6-D3E08A767D2A}"/>
            </c:ext>
          </c:extLst>
        </c:ser>
        <c:ser>
          <c:idx val="10"/>
          <c:order val="10"/>
          <c:tx>
            <c:strRef>
              <c:f>VIRAL!$A$197</c:f>
              <c:strCache>
                <c:ptCount val="1"/>
                <c:pt idx="0">
                  <c:v>PTH-Fc</c:v>
                </c:pt>
              </c:strCache>
            </c:strRef>
          </c:tx>
          <c:spPr>
            <a:solidFill>
              <a:schemeClr val="accent6">
                <a:lumMod val="75000"/>
              </a:schemeClr>
            </a:solidFill>
          </c:spPr>
          <c:invertIfNegative val="0"/>
          <c:cat>
            <c:strRef>
              <c:f>VIRAL!$F$186:$I$186</c:f>
              <c:strCache>
                <c:ptCount val="4"/>
                <c:pt idx="0">
                  <c:v>System</c:v>
                </c:pt>
                <c:pt idx="1">
                  <c:v>Input</c:v>
                </c:pt>
                <c:pt idx="2">
                  <c:v>Output</c:v>
                </c:pt>
                <c:pt idx="3">
                  <c:v>Waste</c:v>
                </c:pt>
              </c:strCache>
            </c:strRef>
          </c:cat>
          <c:val>
            <c:numRef>
              <c:f>VIRAL!$F$197:$I$197</c:f>
              <c:numCache>
                <c:formatCode>0.00E+00</c:formatCode>
                <c:ptCount val="4"/>
              </c:numCache>
            </c:numRef>
          </c:val>
          <c:extLst>
            <c:ext xmlns:c16="http://schemas.microsoft.com/office/drawing/2014/chart" uri="{C3380CC4-5D6E-409C-BE32-E72D297353CC}">
              <c16:uniqueId val="{00000026-EB76-44C4-8BF6-D3E08A767D2A}"/>
            </c:ext>
          </c:extLst>
        </c:ser>
        <c:ser>
          <c:idx val="11"/>
          <c:order val="11"/>
          <c:tx>
            <c:strRef>
              <c:f>VIRAL!$A$198</c:f>
              <c:strCache>
                <c:ptCount val="1"/>
                <c:pt idx="0">
                  <c:v>Plant biomass</c:v>
                </c:pt>
              </c:strCache>
            </c:strRef>
          </c:tx>
          <c:spPr>
            <a:solidFill>
              <a:schemeClr val="accent3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VIRAL!$F$186:$I$186</c:f>
              <c:strCache>
                <c:ptCount val="4"/>
                <c:pt idx="0">
                  <c:v>System</c:v>
                </c:pt>
                <c:pt idx="1">
                  <c:v>Input</c:v>
                </c:pt>
                <c:pt idx="2">
                  <c:v>Output</c:v>
                </c:pt>
                <c:pt idx="3">
                  <c:v>Waste</c:v>
                </c:pt>
              </c:strCache>
            </c:strRef>
          </c:cat>
          <c:val>
            <c:numRef>
              <c:f>VIRAL!$F$198:$I$198</c:f>
              <c:numCache>
                <c:formatCode>0.00E+00</c:formatCode>
                <c:ptCount val="4"/>
                <c:pt idx="2">
                  <c:v>2.388888888888889E-2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8-EB76-44C4-8BF6-D3E08A767D2A}"/>
            </c:ext>
          </c:extLst>
        </c:ser>
        <c:ser>
          <c:idx val="12"/>
          <c:order val="12"/>
          <c:tx>
            <c:strRef>
              <c:f>VIRAL!$A$199</c:f>
              <c:strCache>
                <c:ptCount val="1"/>
                <c:pt idx="0">
                  <c:v>Biomass waste</c:v>
                </c:pt>
              </c:strCache>
            </c:strRef>
          </c:tx>
          <c:spPr>
            <a:solidFill>
              <a:schemeClr val="accent6">
                <a:lumMod val="60000"/>
                <a:lumOff val="40000"/>
              </a:schemeClr>
            </a:solidFill>
          </c:spPr>
          <c:invertIfNegative val="0"/>
          <c:cat>
            <c:strRef>
              <c:f>VIRAL!$F$186:$I$186</c:f>
              <c:strCache>
                <c:ptCount val="4"/>
                <c:pt idx="0">
                  <c:v>System</c:v>
                </c:pt>
                <c:pt idx="1">
                  <c:v>Input</c:v>
                </c:pt>
                <c:pt idx="2">
                  <c:v>Output</c:v>
                </c:pt>
                <c:pt idx="3">
                  <c:v>Waste</c:v>
                </c:pt>
              </c:strCache>
            </c:strRef>
          </c:cat>
          <c:val>
            <c:numRef>
              <c:f>VIRAL!$F$199:$I$199</c:f>
              <c:numCache>
                <c:formatCode>0.00E+00</c:formatCode>
                <c:ptCount val="4"/>
                <c:pt idx="3">
                  <c:v>2.6721132091952073E-2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A-EB76-44C4-8BF6-D3E08A767D2A}"/>
            </c:ext>
          </c:extLst>
        </c:ser>
        <c:ser>
          <c:idx val="13"/>
          <c:order val="13"/>
          <c:tx>
            <c:strRef>
              <c:f>VIRAL!$A$200</c:f>
              <c:strCache>
                <c:ptCount val="1"/>
                <c:pt idx="0">
                  <c:v>Scale</c:v>
                </c:pt>
              </c:strCache>
            </c:strRef>
          </c:tx>
          <c:spPr>
            <a:solidFill>
              <a:schemeClr val="accent6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VIRAL!$F$186:$I$186</c:f>
              <c:strCache>
                <c:ptCount val="4"/>
                <c:pt idx="0">
                  <c:v>System</c:v>
                </c:pt>
                <c:pt idx="1">
                  <c:v>Input</c:v>
                </c:pt>
                <c:pt idx="2">
                  <c:v>Output</c:v>
                </c:pt>
                <c:pt idx="3">
                  <c:v>Waste</c:v>
                </c:pt>
              </c:strCache>
            </c:strRef>
          </c:cat>
          <c:val>
            <c:numRef>
              <c:f>VIRAL!$F$200:$I$200</c:f>
              <c:numCache>
                <c:formatCode>0.00E+00</c:formatCode>
                <c:ptCount val="4"/>
                <c:pt idx="0">
                  <c:v>4.9501190000000002E-3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C-EB76-44C4-8BF6-D3E08A767D2A}"/>
            </c:ext>
          </c:extLst>
        </c:ser>
        <c:ser>
          <c:idx val="14"/>
          <c:order val="14"/>
          <c:tx>
            <c:strRef>
              <c:f>VIRAL!$A$201</c:f>
              <c:strCache>
                <c:ptCount val="1"/>
                <c:pt idx="0">
                  <c:v>Viral stock</c:v>
                </c:pt>
              </c:strCache>
            </c:strRef>
          </c:tx>
          <c:spPr>
            <a:solidFill>
              <a:schemeClr val="accent6">
                <a:lumMod val="20000"/>
                <a:lumOff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VIRAL!$F$186:$I$186</c:f>
              <c:strCache>
                <c:ptCount val="4"/>
                <c:pt idx="0">
                  <c:v>System</c:v>
                </c:pt>
                <c:pt idx="1">
                  <c:v>Input</c:v>
                </c:pt>
                <c:pt idx="2">
                  <c:v>Output</c:v>
                </c:pt>
                <c:pt idx="3">
                  <c:v>Waste</c:v>
                </c:pt>
              </c:strCache>
            </c:strRef>
          </c:cat>
          <c:val>
            <c:numRef>
              <c:f>VIRAL!$F$201:$I$201</c:f>
              <c:numCache>
                <c:formatCode>0.00E+00</c:formatCode>
                <c:ptCount val="4"/>
                <c:pt idx="1">
                  <c:v>4.7500880922277672E-6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E-EB76-44C4-8BF6-D3E08A767D2A}"/>
            </c:ext>
          </c:extLst>
        </c:ser>
        <c:ser>
          <c:idx val="15"/>
          <c:order val="15"/>
          <c:tx>
            <c:strRef>
              <c:f>VIRAL!$A$202</c:f>
              <c:strCache>
                <c:ptCount val="1"/>
                <c:pt idx="0">
                  <c:v>Carborundum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VIRAL!$F$186:$I$186</c:f>
              <c:strCache>
                <c:ptCount val="4"/>
                <c:pt idx="0">
                  <c:v>System</c:v>
                </c:pt>
                <c:pt idx="1">
                  <c:v>Input</c:v>
                </c:pt>
                <c:pt idx="2">
                  <c:v>Output</c:v>
                </c:pt>
                <c:pt idx="3">
                  <c:v>Waste</c:v>
                </c:pt>
              </c:strCache>
            </c:strRef>
          </c:cat>
          <c:val>
            <c:numRef>
              <c:f>VIRAL!$F$202:$I$202</c:f>
              <c:numCache>
                <c:formatCode>0.00E+00</c:formatCode>
                <c:ptCount val="4"/>
                <c:pt idx="1">
                  <c:v>1.0531875211894423E-4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0-EB76-44C4-8BF6-D3E08A767D2A}"/>
            </c:ext>
          </c:extLst>
        </c:ser>
        <c:ser>
          <c:idx val="16"/>
          <c:order val="16"/>
          <c:tx>
            <c:strRef>
              <c:f>VIRAL!$A$203</c:f>
              <c:strCache>
                <c:ptCount val="1"/>
                <c:pt idx="0">
                  <c:v>Mixing tube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  <a:effectLst/>
          </c:spPr>
          <c:invertIfNegative val="0"/>
          <c:cat>
            <c:strRef>
              <c:f>VIRAL!$F$186:$I$186</c:f>
              <c:strCache>
                <c:ptCount val="4"/>
                <c:pt idx="0">
                  <c:v>System</c:v>
                </c:pt>
                <c:pt idx="1">
                  <c:v>Input</c:v>
                </c:pt>
                <c:pt idx="2">
                  <c:v>Output</c:v>
                </c:pt>
                <c:pt idx="3">
                  <c:v>Waste</c:v>
                </c:pt>
              </c:strCache>
            </c:strRef>
          </c:cat>
          <c:val>
            <c:numRef>
              <c:f>VIRAL!$F$203:$I$203</c:f>
              <c:numCache>
                <c:formatCode>0.00E+00</c:formatCode>
                <c:ptCount val="4"/>
                <c:pt idx="1">
                  <c:v>4.0850757593158797E-4</c:v>
                </c:pt>
                <c:pt idx="3">
                  <c:v>4.0850757593158797E-4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2-EB76-44C4-8BF6-D3E08A767D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0"/>
        <c:overlap val="100"/>
        <c:axId val="312382031"/>
        <c:axId val="312385871"/>
      </c:barChart>
      <c:catAx>
        <c:axId val="3123820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2385871"/>
        <c:crosses val="autoZero"/>
        <c:auto val="1"/>
        <c:lblAlgn val="ctr"/>
        <c:lblOffset val="100"/>
        <c:noMultiLvlLbl val="0"/>
      </c:catAx>
      <c:valAx>
        <c:axId val="312385871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 marL="0" marR="0" lvl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0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1" i="0" u="none" strike="noStrike" kern="1200" baseline="0">
                    <a:solidFill>
                      <a:schemeClr val="tx1"/>
                    </a:solidFill>
                  </a:rPr>
                  <a:t>Volume (m</a:t>
                </a:r>
                <a:r>
                  <a:rPr lang="en-US" sz="1000" b="1" i="0" u="none" strike="noStrike" kern="1200" baseline="30000">
                    <a:solidFill>
                      <a:schemeClr val="tx1"/>
                    </a:solidFill>
                  </a:rPr>
                  <a:t>3</a:t>
                </a:r>
                <a:r>
                  <a:rPr lang="en-US" sz="1000" b="1" i="0" u="none" strike="noStrike" kern="1200" baseline="0">
                    <a:solidFill>
                      <a:schemeClr val="tx1"/>
                    </a:solidFill>
                  </a:rPr>
                  <a:t>/CM/Mission)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#,##0.0" sourceLinked="0"/>
        <c:majorTickMark val="out"/>
        <c:minorTickMark val="none"/>
        <c:tickLblPos val="nextTo"/>
        <c:spPr>
          <a:noFill/>
          <a:ln w="9525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2382031"/>
        <c:crosses val="autoZero"/>
        <c:crossBetween val="between"/>
      </c:valAx>
      <c:spPr>
        <a:ln>
          <a:solidFill>
            <a:schemeClr val="tx1"/>
          </a:solidFill>
        </a:ln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2"/>
      </a:solidFill>
      <a:round/>
    </a:ln>
    <a:effectLst/>
  </c:spPr>
  <c:txPr>
    <a:bodyPr/>
    <a:lstStyle/>
    <a:p>
      <a:pPr>
        <a:defRPr sz="1000" b="1"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none" strike="noStrike" kern="1200" spc="0" baseline="0">
                <a:solidFill>
                  <a:sysClr val="windowText" lastClr="000000"/>
                </a:solidFill>
              </a:rPr>
              <a:t>VIRAL Power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VIRAL!$A$187</c:f>
              <c:strCache>
                <c:ptCount val="1"/>
                <c:pt idx="0">
                  <c:v>Harvesting container</c:v>
                </c:pt>
              </c:strCache>
            </c:strRef>
          </c:tx>
          <c:spPr>
            <a:solidFill>
              <a:schemeClr val="accent2">
                <a:lumMod val="20000"/>
                <a:lumOff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VIRAL!$J$186:$M$186</c:f>
              <c:strCache>
                <c:ptCount val="4"/>
                <c:pt idx="0">
                  <c:v>System</c:v>
                </c:pt>
                <c:pt idx="1">
                  <c:v>Input</c:v>
                </c:pt>
                <c:pt idx="2">
                  <c:v>Output</c:v>
                </c:pt>
                <c:pt idx="3">
                  <c:v>Waste</c:v>
                </c:pt>
              </c:strCache>
            </c:strRef>
          </c:cat>
          <c:val>
            <c:numRef>
              <c:f>VIRAL!$J$187:$M$187</c:f>
              <c:numCache>
                <c:formatCode>General</c:formatCode>
                <c:ptCount val="4"/>
              </c:numCache>
            </c:numRef>
          </c:val>
          <c:extLst>
            <c:ext xmlns:c16="http://schemas.microsoft.com/office/drawing/2014/chart" uri="{C3380CC4-5D6E-409C-BE32-E72D297353CC}">
              <c16:uniqueId val="{00000012-EB76-44C4-8BF6-D3E08A767D2A}"/>
            </c:ext>
          </c:extLst>
        </c:ser>
        <c:ser>
          <c:idx val="1"/>
          <c:order val="1"/>
          <c:tx>
            <c:strRef>
              <c:f>VIRAL!$A$188</c:f>
              <c:strCache>
                <c:ptCount val="1"/>
                <c:pt idx="0">
                  <c:v>Harvesting tools</c:v>
                </c:pt>
              </c:strCache>
            </c:strRef>
          </c:tx>
          <c:spPr>
            <a:solidFill>
              <a:schemeClr val="accent2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VIRAL!$J$186:$M$186</c:f>
              <c:strCache>
                <c:ptCount val="4"/>
                <c:pt idx="0">
                  <c:v>System</c:v>
                </c:pt>
                <c:pt idx="1">
                  <c:v>Input</c:v>
                </c:pt>
                <c:pt idx="2">
                  <c:v>Output</c:v>
                </c:pt>
                <c:pt idx="3">
                  <c:v>Waste</c:v>
                </c:pt>
              </c:strCache>
            </c:strRef>
          </c:cat>
          <c:val>
            <c:numRef>
              <c:f>VIRAL!$J$188:$M$188</c:f>
              <c:numCache>
                <c:formatCode>General</c:formatCode>
                <c:ptCount val="4"/>
              </c:numCache>
            </c:numRef>
          </c:val>
          <c:extLst>
            <c:ext xmlns:c16="http://schemas.microsoft.com/office/drawing/2014/chart" uri="{C3380CC4-5D6E-409C-BE32-E72D297353CC}">
              <c16:uniqueId val="{00000014-EB76-44C4-8BF6-D3E08A767D2A}"/>
            </c:ext>
          </c:extLst>
        </c:ser>
        <c:ser>
          <c:idx val="2"/>
          <c:order val="2"/>
          <c:tx>
            <c:strRef>
              <c:f>VIRAL!$A$189</c:f>
              <c:strCache>
                <c:ptCount val="1"/>
                <c:pt idx="0">
                  <c:v>Refrigerator/Freezer</c:v>
                </c:pt>
              </c:strCache>
            </c:strRef>
          </c:tx>
          <c:spPr>
            <a:solidFill>
              <a:schemeClr val="accent5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VIRAL!$J$186:$M$186</c:f>
              <c:strCache>
                <c:ptCount val="4"/>
                <c:pt idx="0">
                  <c:v>System</c:v>
                </c:pt>
                <c:pt idx="1">
                  <c:v>Input</c:v>
                </c:pt>
                <c:pt idx="2">
                  <c:v>Output</c:v>
                </c:pt>
                <c:pt idx="3">
                  <c:v>Waste</c:v>
                </c:pt>
              </c:strCache>
            </c:strRef>
          </c:cat>
          <c:val>
            <c:numRef>
              <c:f>VIRAL!$J$189:$M$189</c:f>
              <c:numCache>
                <c:formatCode>General</c:formatCode>
                <c:ptCount val="4"/>
                <c:pt idx="0" formatCode="0.00E+00">
                  <c:v>0.20500549999999998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EB76-44C4-8BF6-D3E08A767D2A}"/>
            </c:ext>
          </c:extLst>
        </c:ser>
        <c:ser>
          <c:idx val="3"/>
          <c:order val="3"/>
          <c:tx>
            <c:strRef>
              <c:f>VIRAL!$A$190</c:f>
              <c:strCache>
                <c:ptCount val="1"/>
                <c:pt idx="0">
                  <c:v>Lighting panels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VIRAL!$J$186:$M$186</c:f>
              <c:strCache>
                <c:ptCount val="4"/>
                <c:pt idx="0">
                  <c:v>System</c:v>
                </c:pt>
                <c:pt idx="1">
                  <c:v>Input</c:v>
                </c:pt>
                <c:pt idx="2">
                  <c:v>Output</c:v>
                </c:pt>
                <c:pt idx="3">
                  <c:v>Waste</c:v>
                </c:pt>
              </c:strCache>
            </c:strRef>
          </c:cat>
          <c:val>
            <c:numRef>
              <c:f>VIRAL!$J$190:$M$190</c:f>
              <c:numCache>
                <c:formatCode>General</c:formatCode>
                <c:ptCount val="4"/>
                <c:pt idx="0" formatCode="0.00E+00">
                  <c:v>5.0700000000000002E-2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EB76-44C4-8BF6-D3E08A767D2A}"/>
            </c:ext>
          </c:extLst>
        </c:ser>
        <c:ser>
          <c:idx val="4"/>
          <c:order val="4"/>
          <c:tx>
            <c:strRef>
              <c:f>VIRAL!$A$191</c:f>
              <c:strCache>
                <c:ptCount val="1"/>
                <c:pt idx="0">
                  <c:v>Plant growth chamber</c:v>
                </c:pt>
              </c:strCache>
            </c:strRef>
          </c:tx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strRef>
              <c:f>VIRAL!$J$186:$M$186</c:f>
              <c:strCache>
                <c:ptCount val="4"/>
                <c:pt idx="0">
                  <c:v>System</c:v>
                </c:pt>
                <c:pt idx="1">
                  <c:v>Input</c:v>
                </c:pt>
                <c:pt idx="2">
                  <c:v>Output</c:v>
                </c:pt>
                <c:pt idx="3">
                  <c:v>Waste</c:v>
                </c:pt>
              </c:strCache>
            </c:strRef>
          </c:cat>
          <c:val>
            <c:numRef>
              <c:f>VIRAL!$J$191:$M$191</c:f>
              <c:numCache>
                <c:formatCode>General</c:formatCode>
                <c:ptCount val="4"/>
                <c:pt idx="0" formatCode="0.00E+00">
                  <c:v>1.9741249999999995E-2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A-EB76-44C4-8BF6-D3E08A767D2A}"/>
            </c:ext>
          </c:extLst>
        </c:ser>
        <c:ser>
          <c:idx val="5"/>
          <c:order val="5"/>
          <c:tx>
            <c:strRef>
              <c:f>VIRAL!$A$192</c:f>
              <c:strCache>
                <c:ptCount val="1"/>
                <c:pt idx="0">
                  <c:v>N benthamiana seeds</c:v>
                </c:pt>
              </c:strCache>
            </c:strRef>
          </c:tx>
          <c:spPr>
            <a:solidFill>
              <a:schemeClr val="accent4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strRef>
              <c:f>VIRAL!$J$186:$M$186</c:f>
              <c:strCache>
                <c:ptCount val="4"/>
                <c:pt idx="0">
                  <c:v>System</c:v>
                </c:pt>
                <c:pt idx="1">
                  <c:v>Input</c:v>
                </c:pt>
                <c:pt idx="2">
                  <c:v>Output</c:v>
                </c:pt>
                <c:pt idx="3">
                  <c:v>Waste</c:v>
                </c:pt>
              </c:strCache>
            </c:strRef>
          </c:cat>
          <c:val>
            <c:numRef>
              <c:f>VIRAL!$J$192:$M$192</c:f>
              <c:numCache>
                <c:formatCode>General</c:formatCode>
                <c:ptCount val="4"/>
              </c:numCache>
            </c:numRef>
          </c:val>
          <c:extLst>
            <c:ext xmlns:c16="http://schemas.microsoft.com/office/drawing/2014/chart" uri="{C3380CC4-5D6E-409C-BE32-E72D297353CC}">
              <c16:uniqueId val="{0000001C-EB76-44C4-8BF6-D3E08A767D2A}"/>
            </c:ext>
          </c:extLst>
        </c:ser>
        <c:ser>
          <c:idx val="6"/>
          <c:order val="6"/>
          <c:tx>
            <c:strRef>
              <c:f>VIRAL!$A$193</c:f>
              <c:strCache>
                <c:ptCount val="1"/>
                <c:pt idx="0">
                  <c:v>Water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VIRAL!$J$186:$M$186</c:f>
              <c:strCache>
                <c:ptCount val="4"/>
                <c:pt idx="0">
                  <c:v>System</c:v>
                </c:pt>
                <c:pt idx="1">
                  <c:v>Input</c:v>
                </c:pt>
                <c:pt idx="2">
                  <c:v>Output</c:v>
                </c:pt>
                <c:pt idx="3">
                  <c:v>Waste</c:v>
                </c:pt>
              </c:strCache>
            </c:strRef>
          </c:cat>
          <c:val>
            <c:numRef>
              <c:f>VIRAL!$J$193:$M$193</c:f>
              <c:numCache>
                <c:formatCode>0.00E+00</c:formatCode>
                <c:ptCount val="4"/>
              </c:numCache>
            </c:numRef>
          </c:val>
          <c:extLst>
            <c:ext xmlns:c16="http://schemas.microsoft.com/office/drawing/2014/chart" uri="{C3380CC4-5D6E-409C-BE32-E72D297353CC}">
              <c16:uniqueId val="{0000001E-EB76-44C4-8BF6-D3E08A767D2A}"/>
            </c:ext>
          </c:extLst>
        </c:ser>
        <c:ser>
          <c:idx val="7"/>
          <c:order val="7"/>
          <c:tx>
            <c:strRef>
              <c:f>VIRAL!$A$194</c:f>
              <c:strCache>
                <c:ptCount val="1"/>
                <c:pt idx="0">
                  <c:v>Plant growth nutrients</c:v>
                </c:pt>
              </c:strCache>
            </c:strRef>
          </c:tx>
          <c:spPr>
            <a:solidFill>
              <a:schemeClr val="accent4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VIRAL!$J$186:$M$186</c:f>
              <c:strCache>
                <c:ptCount val="4"/>
                <c:pt idx="0">
                  <c:v>System</c:v>
                </c:pt>
                <c:pt idx="1">
                  <c:v>Input</c:v>
                </c:pt>
                <c:pt idx="2">
                  <c:v>Output</c:v>
                </c:pt>
                <c:pt idx="3">
                  <c:v>Waste</c:v>
                </c:pt>
              </c:strCache>
            </c:strRef>
          </c:cat>
          <c:val>
            <c:numRef>
              <c:f>VIRAL!$J$194:$M$194</c:f>
              <c:numCache>
                <c:formatCode>0.00E+00</c:formatCode>
                <c:ptCount val="4"/>
              </c:numCache>
            </c:numRef>
          </c:val>
          <c:extLst>
            <c:ext xmlns:c16="http://schemas.microsoft.com/office/drawing/2014/chart" uri="{C3380CC4-5D6E-409C-BE32-E72D297353CC}">
              <c16:uniqueId val="{00000020-EB76-44C4-8BF6-D3E08A767D2A}"/>
            </c:ext>
          </c:extLst>
        </c:ser>
        <c:ser>
          <c:idx val="8"/>
          <c:order val="8"/>
          <c:tx>
            <c:strRef>
              <c:f>VIRAL!$A$195</c:f>
              <c:strCache>
                <c:ptCount val="1"/>
                <c:pt idx="0">
                  <c:v>Carbon dioxide</c:v>
                </c:pt>
              </c:strCache>
            </c:strRef>
          </c:tx>
          <c:spPr>
            <a:solidFill>
              <a:schemeClr val="accent4">
                <a:lumMod val="20000"/>
                <a:lumOff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VIRAL!$J$186:$M$186</c:f>
              <c:strCache>
                <c:ptCount val="4"/>
                <c:pt idx="0">
                  <c:v>System</c:v>
                </c:pt>
                <c:pt idx="1">
                  <c:v>Input</c:v>
                </c:pt>
                <c:pt idx="2">
                  <c:v>Output</c:v>
                </c:pt>
                <c:pt idx="3">
                  <c:v>Waste</c:v>
                </c:pt>
              </c:strCache>
            </c:strRef>
          </c:cat>
          <c:val>
            <c:numRef>
              <c:f>VIRAL!$J$195:$M$195</c:f>
              <c:numCache>
                <c:formatCode>0.00E+00</c:formatCode>
                <c:ptCount val="4"/>
              </c:numCache>
            </c:numRef>
          </c:val>
          <c:extLst>
            <c:ext xmlns:c16="http://schemas.microsoft.com/office/drawing/2014/chart" uri="{C3380CC4-5D6E-409C-BE32-E72D297353CC}">
              <c16:uniqueId val="{00000022-EB76-44C4-8BF6-D3E08A767D2A}"/>
            </c:ext>
          </c:extLst>
        </c:ser>
        <c:ser>
          <c:idx val="9"/>
          <c:order val="9"/>
          <c:tx>
            <c:strRef>
              <c:f>VIRAL!$A$196</c:f>
              <c:strCache>
                <c:ptCount val="1"/>
                <c:pt idx="0">
                  <c:v>Oxygen</c:v>
                </c:pt>
              </c:strCache>
            </c:strRef>
          </c:tx>
          <c:spPr>
            <a:solidFill>
              <a:srgbClr val="FFC000"/>
            </a:solidFill>
            <a:ln>
              <a:noFill/>
            </a:ln>
            <a:effectLst/>
          </c:spPr>
          <c:invertIfNegative val="0"/>
          <c:cat>
            <c:strRef>
              <c:f>VIRAL!$J$186:$M$186</c:f>
              <c:strCache>
                <c:ptCount val="4"/>
                <c:pt idx="0">
                  <c:v>System</c:v>
                </c:pt>
                <c:pt idx="1">
                  <c:v>Input</c:v>
                </c:pt>
                <c:pt idx="2">
                  <c:v>Output</c:v>
                </c:pt>
                <c:pt idx="3">
                  <c:v>Waste</c:v>
                </c:pt>
              </c:strCache>
            </c:strRef>
          </c:cat>
          <c:val>
            <c:numRef>
              <c:f>VIRAL!$J$196:$M$196</c:f>
              <c:numCache>
                <c:formatCode>0.00E+00</c:formatCode>
                <c:ptCount val="4"/>
              </c:numCache>
            </c:numRef>
          </c:val>
          <c:extLst>
            <c:ext xmlns:c16="http://schemas.microsoft.com/office/drawing/2014/chart" uri="{C3380CC4-5D6E-409C-BE32-E72D297353CC}">
              <c16:uniqueId val="{00000024-EB76-44C4-8BF6-D3E08A767D2A}"/>
            </c:ext>
          </c:extLst>
        </c:ser>
        <c:ser>
          <c:idx val="10"/>
          <c:order val="10"/>
          <c:tx>
            <c:strRef>
              <c:f>VIRAL!$A$197</c:f>
              <c:strCache>
                <c:ptCount val="1"/>
                <c:pt idx="0">
                  <c:v>PTH-Fc</c:v>
                </c:pt>
              </c:strCache>
            </c:strRef>
          </c:tx>
          <c:spPr>
            <a:solidFill>
              <a:schemeClr val="accent6">
                <a:lumMod val="75000"/>
              </a:schemeClr>
            </a:solidFill>
          </c:spPr>
          <c:invertIfNegative val="0"/>
          <c:cat>
            <c:strRef>
              <c:f>VIRAL!$J$186:$M$186</c:f>
              <c:strCache>
                <c:ptCount val="4"/>
                <c:pt idx="0">
                  <c:v>System</c:v>
                </c:pt>
                <c:pt idx="1">
                  <c:v>Input</c:v>
                </c:pt>
                <c:pt idx="2">
                  <c:v>Output</c:v>
                </c:pt>
                <c:pt idx="3">
                  <c:v>Waste</c:v>
                </c:pt>
              </c:strCache>
            </c:strRef>
          </c:cat>
          <c:val>
            <c:numRef>
              <c:f>VIRAL!$J$197:$M$197</c:f>
              <c:numCache>
                <c:formatCode>0.00E+00</c:formatCode>
                <c:ptCount val="4"/>
              </c:numCache>
            </c:numRef>
          </c:val>
          <c:extLst>
            <c:ext xmlns:c16="http://schemas.microsoft.com/office/drawing/2014/chart" uri="{C3380CC4-5D6E-409C-BE32-E72D297353CC}">
              <c16:uniqueId val="{00000026-EB76-44C4-8BF6-D3E08A767D2A}"/>
            </c:ext>
          </c:extLst>
        </c:ser>
        <c:ser>
          <c:idx val="11"/>
          <c:order val="11"/>
          <c:tx>
            <c:strRef>
              <c:f>VIRAL!$A$198</c:f>
              <c:strCache>
                <c:ptCount val="1"/>
                <c:pt idx="0">
                  <c:v>Plant biomass</c:v>
                </c:pt>
              </c:strCache>
            </c:strRef>
          </c:tx>
          <c:spPr>
            <a:solidFill>
              <a:schemeClr val="accent3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VIRAL!$J$186:$M$186</c:f>
              <c:strCache>
                <c:ptCount val="4"/>
                <c:pt idx="0">
                  <c:v>System</c:v>
                </c:pt>
                <c:pt idx="1">
                  <c:v>Input</c:v>
                </c:pt>
                <c:pt idx="2">
                  <c:v>Output</c:v>
                </c:pt>
                <c:pt idx="3">
                  <c:v>Waste</c:v>
                </c:pt>
              </c:strCache>
            </c:strRef>
          </c:cat>
          <c:val>
            <c:numRef>
              <c:f>VIRAL!$J$198:$M$198</c:f>
              <c:numCache>
                <c:formatCode>0.00E+00</c:formatCode>
                <c:ptCount val="4"/>
              </c:numCache>
            </c:numRef>
          </c:val>
          <c:extLst>
            <c:ext xmlns:c16="http://schemas.microsoft.com/office/drawing/2014/chart" uri="{C3380CC4-5D6E-409C-BE32-E72D297353CC}">
              <c16:uniqueId val="{00000028-EB76-44C4-8BF6-D3E08A767D2A}"/>
            </c:ext>
          </c:extLst>
        </c:ser>
        <c:ser>
          <c:idx val="12"/>
          <c:order val="12"/>
          <c:tx>
            <c:strRef>
              <c:f>VIRAL!$A$199</c:f>
              <c:strCache>
                <c:ptCount val="1"/>
                <c:pt idx="0">
                  <c:v>Biomass waste</c:v>
                </c:pt>
              </c:strCache>
            </c:strRef>
          </c:tx>
          <c:spPr>
            <a:solidFill>
              <a:schemeClr val="accent6">
                <a:lumMod val="60000"/>
                <a:lumOff val="40000"/>
              </a:schemeClr>
            </a:solidFill>
          </c:spPr>
          <c:invertIfNegative val="0"/>
          <c:cat>
            <c:strRef>
              <c:f>VIRAL!$J$186:$M$186</c:f>
              <c:strCache>
                <c:ptCount val="4"/>
                <c:pt idx="0">
                  <c:v>System</c:v>
                </c:pt>
                <c:pt idx="1">
                  <c:v>Input</c:v>
                </c:pt>
                <c:pt idx="2">
                  <c:v>Output</c:v>
                </c:pt>
                <c:pt idx="3">
                  <c:v>Waste</c:v>
                </c:pt>
              </c:strCache>
            </c:strRef>
          </c:cat>
          <c:val>
            <c:numRef>
              <c:f>VIRAL!$J$199:$M$199</c:f>
              <c:numCache>
                <c:formatCode>0.00E+00</c:formatCode>
                <c:ptCount val="4"/>
              </c:numCache>
            </c:numRef>
          </c:val>
          <c:extLst>
            <c:ext xmlns:c16="http://schemas.microsoft.com/office/drawing/2014/chart" uri="{C3380CC4-5D6E-409C-BE32-E72D297353CC}">
              <c16:uniqueId val="{0000002A-EB76-44C4-8BF6-D3E08A767D2A}"/>
            </c:ext>
          </c:extLst>
        </c:ser>
        <c:ser>
          <c:idx val="13"/>
          <c:order val="13"/>
          <c:tx>
            <c:strRef>
              <c:f>VIRAL!$A$200</c:f>
              <c:strCache>
                <c:ptCount val="1"/>
                <c:pt idx="0">
                  <c:v>Scale</c:v>
                </c:pt>
              </c:strCache>
            </c:strRef>
          </c:tx>
          <c:spPr>
            <a:solidFill>
              <a:schemeClr val="accent6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VIRAL!$J$186:$M$186</c:f>
              <c:strCache>
                <c:ptCount val="4"/>
                <c:pt idx="0">
                  <c:v>System</c:v>
                </c:pt>
                <c:pt idx="1">
                  <c:v>Input</c:v>
                </c:pt>
                <c:pt idx="2">
                  <c:v>Output</c:v>
                </c:pt>
                <c:pt idx="3">
                  <c:v>Waste</c:v>
                </c:pt>
              </c:strCache>
            </c:strRef>
          </c:cat>
          <c:val>
            <c:numRef>
              <c:f>VIRAL!$J$200:$M$200</c:f>
              <c:numCache>
                <c:formatCode>0.00E+00</c:formatCode>
                <c:ptCount val="4"/>
                <c:pt idx="0">
                  <c:v>3.6666666666666667E-4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C-EB76-44C4-8BF6-D3E08A767D2A}"/>
            </c:ext>
          </c:extLst>
        </c:ser>
        <c:ser>
          <c:idx val="14"/>
          <c:order val="14"/>
          <c:tx>
            <c:strRef>
              <c:f>VIRAL!$A$201</c:f>
              <c:strCache>
                <c:ptCount val="1"/>
                <c:pt idx="0">
                  <c:v>Viral stock</c:v>
                </c:pt>
              </c:strCache>
            </c:strRef>
          </c:tx>
          <c:spPr>
            <a:solidFill>
              <a:schemeClr val="accent6">
                <a:lumMod val="20000"/>
                <a:lumOff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VIRAL!$J$186:$M$186</c:f>
              <c:strCache>
                <c:ptCount val="4"/>
                <c:pt idx="0">
                  <c:v>System</c:v>
                </c:pt>
                <c:pt idx="1">
                  <c:v>Input</c:v>
                </c:pt>
                <c:pt idx="2">
                  <c:v>Output</c:v>
                </c:pt>
                <c:pt idx="3">
                  <c:v>Waste</c:v>
                </c:pt>
              </c:strCache>
            </c:strRef>
          </c:cat>
          <c:val>
            <c:numRef>
              <c:f>VIRAL!$J$201:$M$201</c:f>
              <c:numCache>
                <c:formatCode>0.00E+00</c:formatCode>
                <c:ptCount val="4"/>
              </c:numCache>
            </c:numRef>
          </c:val>
          <c:extLst>
            <c:ext xmlns:c16="http://schemas.microsoft.com/office/drawing/2014/chart" uri="{C3380CC4-5D6E-409C-BE32-E72D297353CC}">
              <c16:uniqueId val="{0000002E-EB76-44C4-8BF6-D3E08A767D2A}"/>
            </c:ext>
          </c:extLst>
        </c:ser>
        <c:ser>
          <c:idx val="15"/>
          <c:order val="15"/>
          <c:tx>
            <c:strRef>
              <c:f>VIRAL!$A$202</c:f>
              <c:strCache>
                <c:ptCount val="1"/>
                <c:pt idx="0">
                  <c:v>Carborundum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VIRAL!$J$186:$M$186</c:f>
              <c:strCache>
                <c:ptCount val="4"/>
                <c:pt idx="0">
                  <c:v>System</c:v>
                </c:pt>
                <c:pt idx="1">
                  <c:v>Input</c:v>
                </c:pt>
                <c:pt idx="2">
                  <c:v>Output</c:v>
                </c:pt>
                <c:pt idx="3">
                  <c:v>Waste</c:v>
                </c:pt>
              </c:strCache>
            </c:strRef>
          </c:cat>
          <c:val>
            <c:numRef>
              <c:f>VIRAL!$J$202:$M$202</c:f>
              <c:numCache>
                <c:formatCode>0.00E+00</c:formatCode>
                <c:ptCount val="4"/>
              </c:numCache>
            </c:numRef>
          </c:val>
          <c:extLst>
            <c:ext xmlns:c16="http://schemas.microsoft.com/office/drawing/2014/chart" uri="{C3380CC4-5D6E-409C-BE32-E72D297353CC}">
              <c16:uniqueId val="{00000030-EB76-44C4-8BF6-D3E08A767D2A}"/>
            </c:ext>
          </c:extLst>
        </c:ser>
        <c:ser>
          <c:idx val="16"/>
          <c:order val="16"/>
          <c:tx>
            <c:strRef>
              <c:f>VIRAL!$A$203</c:f>
              <c:strCache>
                <c:ptCount val="1"/>
                <c:pt idx="0">
                  <c:v>Mixing tube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  <a:effectLst/>
          </c:spPr>
          <c:invertIfNegative val="0"/>
          <c:cat>
            <c:strRef>
              <c:f>VIRAL!$J$186:$M$186</c:f>
              <c:strCache>
                <c:ptCount val="4"/>
                <c:pt idx="0">
                  <c:v>System</c:v>
                </c:pt>
                <c:pt idx="1">
                  <c:v>Input</c:v>
                </c:pt>
                <c:pt idx="2">
                  <c:v>Output</c:v>
                </c:pt>
                <c:pt idx="3">
                  <c:v>Waste</c:v>
                </c:pt>
              </c:strCache>
            </c:strRef>
          </c:cat>
          <c:val>
            <c:numRef>
              <c:f>VIRAL!$J$203:$M$203</c:f>
              <c:numCache>
                <c:formatCode>0.00E+00</c:formatCode>
                <c:ptCount val="4"/>
              </c:numCache>
            </c:numRef>
          </c:val>
          <c:extLst>
            <c:ext xmlns:c16="http://schemas.microsoft.com/office/drawing/2014/chart" uri="{C3380CC4-5D6E-409C-BE32-E72D297353CC}">
              <c16:uniqueId val="{00000032-EB76-44C4-8BF6-D3E08A767D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0"/>
        <c:overlap val="100"/>
        <c:axId val="312382031"/>
        <c:axId val="312385871"/>
      </c:barChart>
      <c:catAx>
        <c:axId val="3123820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2385871"/>
        <c:crosses val="autoZero"/>
        <c:auto val="1"/>
        <c:lblAlgn val="ctr"/>
        <c:lblOffset val="100"/>
        <c:noMultiLvlLbl val="0"/>
      </c:catAx>
      <c:valAx>
        <c:axId val="312385871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1" i="0" u="none" strike="noStrike" kern="1200" baseline="0">
                    <a:solidFill>
                      <a:schemeClr val="tx1"/>
                    </a:solidFill>
                  </a:rPr>
                  <a:t>Power (kW/CM/Mission) 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#,##0.00" sourceLinked="0"/>
        <c:majorTickMark val="out"/>
        <c:minorTickMark val="none"/>
        <c:tickLblPos val="nextTo"/>
        <c:spPr>
          <a:noFill/>
          <a:ln w="9525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2382031"/>
        <c:crosses val="autoZero"/>
        <c:crossBetween val="between"/>
      </c:valAx>
      <c:spPr>
        <a:ln>
          <a:solidFill>
            <a:schemeClr val="tx1"/>
          </a:solidFill>
        </a:ln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2"/>
      </a:solidFill>
      <a:round/>
    </a:ln>
    <a:effectLst/>
  </c:spPr>
  <c:txPr>
    <a:bodyPr/>
    <a:lstStyle/>
    <a:p>
      <a:pPr>
        <a:defRPr sz="1000" b="1"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none" strike="noStrike" kern="1200" spc="0" baseline="0">
                <a:solidFill>
                  <a:sysClr val="windowText" lastClr="000000"/>
                </a:solidFill>
              </a:rPr>
              <a:t>VIRAL Crew Time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VIRAL!$A$187</c:f>
              <c:strCache>
                <c:ptCount val="1"/>
                <c:pt idx="0">
                  <c:v>Harvesting container</c:v>
                </c:pt>
              </c:strCache>
            </c:strRef>
          </c:tx>
          <c:spPr>
            <a:solidFill>
              <a:schemeClr val="accent2">
                <a:lumMod val="20000"/>
                <a:lumOff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VIRAL!$N$186:$O$186</c:f>
              <c:strCache>
                <c:ptCount val="2"/>
                <c:pt idx="0">
                  <c:v>System</c:v>
                </c:pt>
                <c:pt idx="1">
                  <c:v>Process Operations</c:v>
                </c:pt>
              </c:strCache>
            </c:strRef>
          </c:cat>
          <c:val>
            <c:numRef>
              <c:f>VIRAL!$N$187:$O$187</c:f>
              <c:numCache>
                <c:formatCode>General</c:formatCode>
                <c:ptCount val="2"/>
              </c:numCache>
            </c:numRef>
          </c:val>
          <c:extLst>
            <c:ext xmlns:c16="http://schemas.microsoft.com/office/drawing/2014/chart" uri="{C3380CC4-5D6E-409C-BE32-E72D297353CC}">
              <c16:uniqueId val="{00000012-EB76-44C4-8BF6-D3E08A767D2A}"/>
            </c:ext>
          </c:extLst>
        </c:ser>
        <c:ser>
          <c:idx val="1"/>
          <c:order val="1"/>
          <c:tx>
            <c:strRef>
              <c:f>VIRAL!$A$188</c:f>
              <c:strCache>
                <c:ptCount val="1"/>
                <c:pt idx="0">
                  <c:v>Harvesting tools</c:v>
                </c:pt>
              </c:strCache>
            </c:strRef>
          </c:tx>
          <c:spPr>
            <a:solidFill>
              <a:schemeClr val="accent2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VIRAL!$N$186:$O$186</c:f>
              <c:strCache>
                <c:ptCount val="2"/>
                <c:pt idx="0">
                  <c:v>System</c:v>
                </c:pt>
                <c:pt idx="1">
                  <c:v>Process Operations</c:v>
                </c:pt>
              </c:strCache>
            </c:strRef>
          </c:cat>
          <c:val>
            <c:numRef>
              <c:f>VIRAL!$N$188:$O$188</c:f>
              <c:numCache>
                <c:formatCode>General</c:formatCode>
                <c:ptCount val="2"/>
              </c:numCache>
            </c:numRef>
          </c:val>
          <c:extLst>
            <c:ext xmlns:c16="http://schemas.microsoft.com/office/drawing/2014/chart" uri="{C3380CC4-5D6E-409C-BE32-E72D297353CC}">
              <c16:uniqueId val="{00000014-EB76-44C4-8BF6-D3E08A767D2A}"/>
            </c:ext>
          </c:extLst>
        </c:ser>
        <c:ser>
          <c:idx val="2"/>
          <c:order val="2"/>
          <c:tx>
            <c:strRef>
              <c:f>VIRAL!$A$189</c:f>
              <c:strCache>
                <c:ptCount val="1"/>
                <c:pt idx="0">
                  <c:v>Refrigerator/Freezer</c:v>
                </c:pt>
              </c:strCache>
            </c:strRef>
          </c:tx>
          <c:spPr>
            <a:solidFill>
              <a:schemeClr val="accent5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VIRAL!$N$186:$O$186</c:f>
              <c:strCache>
                <c:ptCount val="2"/>
                <c:pt idx="0">
                  <c:v>System</c:v>
                </c:pt>
                <c:pt idx="1">
                  <c:v>Process Operations</c:v>
                </c:pt>
              </c:strCache>
            </c:strRef>
          </c:cat>
          <c:val>
            <c:numRef>
              <c:f>VIRAL!$N$189:$O$189</c:f>
              <c:numCache>
                <c:formatCode>General</c:formatCode>
                <c:ptCount val="2"/>
              </c:numCache>
            </c:numRef>
          </c:val>
          <c:extLst>
            <c:ext xmlns:c16="http://schemas.microsoft.com/office/drawing/2014/chart" uri="{C3380CC4-5D6E-409C-BE32-E72D297353CC}">
              <c16:uniqueId val="{00000016-EB76-44C4-8BF6-D3E08A767D2A}"/>
            </c:ext>
          </c:extLst>
        </c:ser>
        <c:ser>
          <c:idx val="3"/>
          <c:order val="3"/>
          <c:tx>
            <c:strRef>
              <c:f>VIRAL!$A$190</c:f>
              <c:strCache>
                <c:ptCount val="1"/>
                <c:pt idx="0">
                  <c:v>Lighting panels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VIRAL!$N$186:$O$186</c:f>
              <c:strCache>
                <c:ptCount val="2"/>
                <c:pt idx="0">
                  <c:v>System</c:v>
                </c:pt>
                <c:pt idx="1">
                  <c:v>Process Operations</c:v>
                </c:pt>
              </c:strCache>
            </c:strRef>
          </c:cat>
          <c:val>
            <c:numRef>
              <c:f>VIRAL!$N$190:$O$190</c:f>
              <c:numCache>
                <c:formatCode>General</c:formatCode>
                <c:ptCount val="2"/>
              </c:numCache>
            </c:numRef>
          </c:val>
          <c:extLst>
            <c:ext xmlns:c16="http://schemas.microsoft.com/office/drawing/2014/chart" uri="{C3380CC4-5D6E-409C-BE32-E72D297353CC}">
              <c16:uniqueId val="{00000018-EB76-44C4-8BF6-D3E08A767D2A}"/>
            </c:ext>
          </c:extLst>
        </c:ser>
        <c:ser>
          <c:idx val="4"/>
          <c:order val="4"/>
          <c:tx>
            <c:strRef>
              <c:f>VIRAL!$A$191</c:f>
              <c:strCache>
                <c:ptCount val="1"/>
                <c:pt idx="0">
                  <c:v>Plant growth chamber</c:v>
                </c:pt>
              </c:strCache>
            </c:strRef>
          </c:tx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strRef>
              <c:f>VIRAL!$N$186:$O$186</c:f>
              <c:strCache>
                <c:ptCount val="2"/>
                <c:pt idx="0">
                  <c:v>System</c:v>
                </c:pt>
                <c:pt idx="1">
                  <c:v>Process Operations</c:v>
                </c:pt>
              </c:strCache>
            </c:strRef>
          </c:cat>
          <c:val>
            <c:numRef>
              <c:f>VIRAL!$N$191:$O$191</c:f>
              <c:numCache>
                <c:formatCode>General</c:formatCode>
                <c:ptCount val="2"/>
              </c:numCache>
            </c:numRef>
          </c:val>
          <c:extLst>
            <c:ext xmlns:c16="http://schemas.microsoft.com/office/drawing/2014/chart" uri="{C3380CC4-5D6E-409C-BE32-E72D297353CC}">
              <c16:uniqueId val="{0000001A-EB76-44C4-8BF6-D3E08A767D2A}"/>
            </c:ext>
          </c:extLst>
        </c:ser>
        <c:ser>
          <c:idx val="5"/>
          <c:order val="5"/>
          <c:tx>
            <c:strRef>
              <c:f>VIRAL!$A$192</c:f>
              <c:strCache>
                <c:ptCount val="1"/>
                <c:pt idx="0">
                  <c:v>N benthamiana seeds</c:v>
                </c:pt>
              </c:strCache>
            </c:strRef>
          </c:tx>
          <c:spPr>
            <a:solidFill>
              <a:schemeClr val="accent4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strRef>
              <c:f>VIRAL!$N$186:$O$186</c:f>
              <c:strCache>
                <c:ptCount val="2"/>
                <c:pt idx="0">
                  <c:v>System</c:v>
                </c:pt>
                <c:pt idx="1">
                  <c:v>Process Operations</c:v>
                </c:pt>
              </c:strCache>
            </c:strRef>
          </c:cat>
          <c:val>
            <c:numRef>
              <c:f>VIRAL!$N$192:$O$192</c:f>
              <c:numCache>
                <c:formatCode>0.00E+00</c:formatCode>
                <c:ptCount val="2"/>
                <c:pt idx="1">
                  <c:v>2.2400000000000002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C-EB76-44C4-8BF6-D3E08A767D2A}"/>
            </c:ext>
          </c:extLst>
        </c:ser>
        <c:ser>
          <c:idx val="6"/>
          <c:order val="6"/>
          <c:tx>
            <c:strRef>
              <c:f>VIRAL!$A$193</c:f>
              <c:strCache>
                <c:ptCount val="1"/>
                <c:pt idx="0">
                  <c:v>Water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VIRAL!$N$186:$O$186</c:f>
              <c:strCache>
                <c:ptCount val="2"/>
                <c:pt idx="0">
                  <c:v>System</c:v>
                </c:pt>
                <c:pt idx="1">
                  <c:v>Process Operations</c:v>
                </c:pt>
              </c:strCache>
            </c:strRef>
          </c:cat>
          <c:val>
            <c:numRef>
              <c:f>VIRAL!$N$193:$O$193</c:f>
              <c:numCache>
                <c:formatCode>0.00E+00</c:formatCode>
                <c:ptCount val="2"/>
                <c:pt idx="1">
                  <c:v>4.5919649604927594E-2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E-EB76-44C4-8BF6-D3E08A767D2A}"/>
            </c:ext>
          </c:extLst>
        </c:ser>
        <c:ser>
          <c:idx val="7"/>
          <c:order val="7"/>
          <c:tx>
            <c:strRef>
              <c:f>VIRAL!$A$194</c:f>
              <c:strCache>
                <c:ptCount val="1"/>
                <c:pt idx="0">
                  <c:v>Plant growth nutrients</c:v>
                </c:pt>
              </c:strCache>
            </c:strRef>
          </c:tx>
          <c:spPr>
            <a:solidFill>
              <a:schemeClr val="accent4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VIRAL!$N$186:$O$186</c:f>
              <c:strCache>
                <c:ptCount val="2"/>
                <c:pt idx="0">
                  <c:v>System</c:v>
                </c:pt>
                <c:pt idx="1">
                  <c:v>Process Operations</c:v>
                </c:pt>
              </c:strCache>
            </c:strRef>
          </c:cat>
          <c:val>
            <c:numRef>
              <c:f>VIRAL!$N$194:$O$194</c:f>
              <c:numCache>
                <c:formatCode>0.00E+00</c:formatCode>
                <c:ptCount val="2"/>
                <c:pt idx="1">
                  <c:v>9.3906321214988112E-2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0-EB76-44C4-8BF6-D3E08A767D2A}"/>
            </c:ext>
          </c:extLst>
        </c:ser>
        <c:ser>
          <c:idx val="8"/>
          <c:order val="8"/>
          <c:tx>
            <c:strRef>
              <c:f>VIRAL!$A$195</c:f>
              <c:strCache>
                <c:ptCount val="1"/>
                <c:pt idx="0">
                  <c:v>Carbon dioxide</c:v>
                </c:pt>
              </c:strCache>
            </c:strRef>
          </c:tx>
          <c:spPr>
            <a:solidFill>
              <a:schemeClr val="accent4">
                <a:lumMod val="20000"/>
                <a:lumOff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VIRAL!$N$186:$O$186</c:f>
              <c:strCache>
                <c:ptCount val="2"/>
                <c:pt idx="0">
                  <c:v>System</c:v>
                </c:pt>
                <c:pt idx="1">
                  <c:v>Process Operations</c:v>
                </c:pt>
              </c:strCache>
            </c:strRef>
          </c:cat>
          <c:val>
            <c:numRef>
              <c:f>VIRAL!$N$195:$O$195</c:f>
              <c:numCache>
                <c:formatCode>0.00E+00</c:formatCode>
                <c:ptCount val="2"/>
                <c:pt idx="1">
                  <c:v>32.0565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2-EB76-44C4-8BF6-D3E08A767D2A}"/>
            </c:ext>
          </c:extLst>
        </c:ser>
        <c:ser>
          <c:idx val="9"/>
          <c:order val="9"/>
          <c:tx>
            <c:strRef>
              <c:f>VIRAL!$A$196</c:f>
              <c:strCache>
                <c:ptCount val="1"/>
                <c:pt idx="0">
                  <c:v>Oxygen</c:v>
                </c:pt>
              </c:strCache>
            </c:strRef>
          </c:tx>
          <c:spPr>
            <a:solidFill>
              <a:srgbClr val="FFC000"/>
            </a:solidFill>
            <a:ln>
              <a:noFill/>
            </a:ln>
            <a:effectLst/>
          </c:spPr>
          <c:invertIfNegative val="0"/>
          <c:cat>
            <c:strRef>
              <c:f>VIRAL!$N$186:$O$186</c:f>
              <c:strCache>
                <c:ptCount val="2"/>
                <c:pt idx="0">
                  <c:v>System</c:v>
                </c:pt>
                <c:pt idx="1">
                  <c:v>Process Operations</c:v>
                </c:pt>
              </c:strCache>
            </c:strRef>
          </c:cat>
          <c:val>
            <c:numRef>
              <c:f>VIRAL!$N$196:$O$196</c:f>
              <c:numCache>
                <c:formatCode>0.00E+00</c:formatCode>
                <c:ptCount val="2"/>
              </c:numCache>
            </c:numRef>
          </c:val>
          <c:extLst>
            <c:ext xmlns:c16="http://schemas.microsoft.com/office/drawing/2014/chart" uri="{C3380CC4-5D6E-409C-BE32-E72D297353CC}">
              <c16:uniqueId val="{00000024-EB76-44C4-8BF6-D3E08A767D2A}"/>
            </c:ext>
          </c:extLst>
        </c:ser>
        <c:ser>
          <c:idx val="10"/>
          <c:order val="10"/>
          <c:tx>
            <c:strRef>
              <c:f>VIRAL!$A$197</c:f>
              <c:strCache>
                <c:ptCount val="1"/>
                <c:pt idx="0">
                  <c:v>PTH-Fc</c:v>
                </c:pt>
              </c:strCache>
            </c:strRef>
          </c:tx>
          <c:spPr>
            <a:solidFill>
              <a:schemeClr val="accent6">
                <a:lumMod val="75000"/>
              </a:schemeClr>
            </a:solidFill>
          </c:spPr>
          <c:invertIfNegative val="0"/>
          <c:cat>
            <c:strRef>
              <c:f>VIRAL!$N$186:$O$186</c:f>
              <c:strCache>
                <c:ptCount val="2"/>
                <c:pt idx="0">
                  <c:v>System</c:v>
                </c:pt>
                <c:pt idx="1">
                  <c:v>Process Operations</c:v>
                </c:pt>
              </c:strCache>
            </c:strRef>
          </c:cat>
          <c:val>
            <c:numRef>
              <c:f>VIRAL!$N$197:$O$197</c:f>
              <c:numCache>
                <c:formatCode>0.00E+00</c:formatCode>
                <c:ptCount val="2"/>
              </c:numCache>
            </c:numRef>
          </c:val>
          <c:extLst>
            <c:ext xmlns:c16="http://schemas.microsoft.com/office/drawing/2014/chart" uri="{C3380CC4-5D6E-409C-BE32-E72D297353CC}">
              <c16:uniqueId val="{00000026-EB76-44C4-8BF6-D3E08A767D2A}"/>
            </c:ext>
          </c:extLst>
        </c:ser>
        <c:ser>
          <c:idx val="11"/>
          <c:order val="11"/>
          <c:tx>
            <c:strRef>
              <c:f>VIRAL!$A$198</c:f>
              <c:strCache>
                <c:ptCount val="1"/>
                <c:pt idx="0">
                  <c:v>Plant biomass</c:v>
                </c:pt>
              </c:strCache>
            </c:strRef>
          </c:tx>
          <c:spPr>
            <a:solidFill>
              <a:schemeClr val="accent3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VIRAL!$N$186:$O$186</c:f>
              <c:strCache>
                <c:ptCount val="2"/>
                <c:pt idx="0">
                  <c:v>System</c:v>
                </c:pt>
                <c:pt idx="1">
                  <c:v>Process Operations</c:v>
                </c:pt>
              </c:strCache>
            </c:strRef>
          </c:cat>
          <c:val>
            <c:numRef>
              <c:f>VIRAL!$N$198:$O$198</c:f>
              <c:numCache>
                <c:formatCode>0.00E+00</c:formatCode>
                <c:ptCount val="2"/>
                <c:pt idx="1">
                  <c:v>6.6011774067480489E-2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8-EB76-44C4-8BF6-D3E08A767D2A}"/>
            </c:ext>
          </c:extLst>
        </c:ser>
        <c:ser>
          <c:idx val="12"/>
          <c:order val="12"/>
          <c:tx>
            <c:strRef>
              <c:f>VIRAL!$A$199</c:f>
              <c:strCache>
                <c:ptCount val="1"/>
                <c:pt idx="0">
                  <c:v>Biomass waste</c:v>
                </c:pt>
              </c:strCache>
            </c:strRef>
          </c:tx>
          <c:spPr>
            <a:solidFill>
              <a:schemeClr val="accent6">
                <a:lumMod val="60000"/>
                <a:lumOff val="40000"/>
              </a:schemeClr>
            </a:solidFill>
          </c:spPr>
          <c:invertIfNegative val="0"/>
          <c:cat>
            <c:strRef>
              <c:f>VIRAL!$N$186:$O$186</c:f>
              <c:strCache>
                <c:ptCount val="2"/>
                <c:pt idx="0">
                  <c:v>System</c:v>
                </c:pt>
                <c:pt idx="1">
                  <c:v>Process Operations</c:v>
                </c:pt>
              </c:strCache>
            </c:strRef>
          </c:cat>
          <c:val>
            <c:numRef>
              <c:f>VIRAL!$N$199:$O$199</c:f>
              <c:numCache>
                <c:formatCode>0.00E+00</c:formatCode>
                <c:ptCount val="2"/>
              </c:numCache>
            </c:numRef>
          </c:val>
          <c:extLst>
            <c:ext xmlns:c16="http://schemas.microsoft.com/office/drawing/2014/chart" uri="{C3380CC4-5D6E-409C-BE32-E72D297353CC}">
              <c16:uniqueId val="{0000002A-EB76-44C4-8BF6-D3E08A767D2A}"/>
            </c:ext>
          </c:extLst>
        </c:ser>
        <c:ser>
          <c:idx val="13"/>
          <c:order val="13"/>
          <c:tx>
            <c:strRef>
              <c:f>VIRAL!$A$200</c:f>
              <c:strCache>
                <c:ptCount val="1"/>
                <c:pt idx="0">
                  <c:v>Scale</c:v>
                </c:pt>
              </c:strCache>
            </c:strRef>
          </c:tx>
          <c:spPr>
            <a:solidFill>
              <a:schemeClr val="accent6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VIRAL!$N$186:$O$186</c:f>
              <c:strCache>
                <c:ptCount val="2"/>
                <c:pt idx="0">
                  <c:v>System</c:v>
                </c:pt>
                <c:pt idx="1">
                  <c:v>Process Operations</c:v>
                </c:pt>
              </c:strCache>
            </c:strRef>
          </c:cat>
          <c:val>
            <c:numRef>
              <c:f>VIRAL!$N$200:$O$200</c:f>
              <c:numCache>
                <c:formatCode>0.00E+00</c:formatCode>
                <c:ptCount val="2"/>
              </c:numCache>
            </c:numRef>
          </c:val>
          <c:extLst>
            <c:ext xmlns:c16="http://schemas.microsoft.com/office/drawing/2014/chart" uri="{C3380CC4-5D6E-409C-BE32-E72D297353CC}">
              <c16:uniqueId val="{0000002C-EB76-44C4-8BF6-D3E08A767D2A}"/>
            </c:ext>
          </c:extLst>
        </c:ser>
        <c:ser>
          <c:idx val="14"/>
          <c:order val="14"/>
          <c:tx>
            <c:strRef>
              <c:f>VIRAL!$A$201</c:f>
              <c:strCache>
                <c:ptCount val="1"/>
                <c:pt idx="0">
                  <c:v>Viral stock</c:v>
                </c:pt>
              </c:strCache>
            </c:strRef>
          </c:tx>
          <c:spPr>
            <a:solidFill>
              <a:schemeClr val="accent6">
                <a:lumMod val="20000"/>
                <a:lumOff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VIRAL!$N$186:$O$186</c:f>
              <c:strCache>
                <c:ptCount val="2"/>
                <c:pt idx="0">
                  <c:v>System</c:v>
                </c:pt>
                <c:pt idx="1">
                  <c:v>Process Operations</c:v>
                </c:pt>
              </c:strCache>
            </c:strRef>
          </c:cat>
          <c:val>
            <c:numRef>
              <c:f>VIRAL!$N$201:$O$201</c:f>
              <c:numCache>
                <c:formatCode>0.00E+00</c:formatCode>
                <c:ptCount val="2"/>
                <c:pt idx="1">
                  <c:v>8.6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E-EB76-44C4-8BF6-D3E08A767D2A}"/>
            </c:ext>
          </c:extLst>
        </c:ser>
        <c:ser>
          <c:idx val="15"/>
          <c:order val="15"/>
          <c:tx>
            <c:strRef>
              <c:f>VIRAL!$A$202</c:f>
              <c:strCache>
                <c:ptCount val="1"/>
                <c:pt idx="0">
                  <c:v>Carborundum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VIRAL!$N$186:$O$186</c:f>
              <c:strCache>
                <c:ptCount val="2"/>
                <c:pt idx="0">
                  <c:v>System</c:v>
                </c:pt>
                <c:pt idx="1">
                  <c:v>Process Operations</c:v>
                </c:pt>
              </c:strCache>
            </c:strRef>
          </c:cat>
          <c:val>
            <c:numRef>
              <c:f>VIRAL!$N$202:$O$202</c:f>
              <c:numCache>
                <c:formatCode>0.00E+00</c:formatCode>
                <c:ptCount val="2"/>
              </c:numCache>
            </c:numRef>
          </c:val>
          <c:extLst>
            <c:ext xmlns:c16="http://schemas.microsoft.com/office/drawing/2014/chart" uri="{C3380CC4-5D6E-409C-BE32-E72D297353CC}">
              <c16:uniqueId val="{00000030-EB76-44C4-8BF6-D3E08A767D2A}"/>
            </c:ext>
          </c:extLst>
        </c:ser>
        <c:ser>
          <c:idx val="16"/>
          <c:order val="16"/>
          <c:tx>
            <c:strRef>
              <c:f>VIRAL!$A$203</c:f>
              <c:strCache>
                <c:ptCount val="1"/>
                <c:pt idx="0">
                  <c:v>Mixing tube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  <a:effectLst/>
          </c:spPr>
          <c:invertIfNegative val="0"/>
          <c:cat>
            <c:strRef>
              <c:f>VIRAL!$N$186:$O$186</c:f>
              <c:strCache>
                <c:ptCount val="2"/>
                <c:pt idx="0">
                  <c:v>System</c:v>
                </c:pt>
                <c:pt idx="1">
                  <c:v>Process Operations</c:v>
                </c:pt>
              </c:strCache>
            </c:strRef>
          </c:cat>
          <c:val>
            <c:numRef>
              <c:f>VIRAL!$N$203:$O$203</c:f>
              <c:numCache>
                <c:formatCode>0.00E+00</c:formatCode>
                <c:ptCount val="2"/>
              </c:numCache>
            </c:numRef>
          </c:val>
          <c:extLst>
            <c:ext xmlns:c16="http://schemas.microsoft.com/office/drawing/2014/chart" uri="{C3380CC4-5D6E-409C-BE32-E72D297353CC}">
              <c16:uniqueId val="{00000032-EB76-44C4-8BF6-D3E08A767D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0"/>
        <c:overlap val="100"/>
        <c:axId val="312382031"/>
        <c:axId val="312385871"/>
      </c:barChart>
      <c:catAx>
        <c:axId val="3123820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2385871"/>
        <c:crosses val="autoZero"/>
        <c:auto val="1"/>
        <c:lblAlgn val="ctr"/>
        <c:lblOffset val="100"/>
        <c:noMultiLvlLbl val="0"/>
      </c:catAx>
      <c:valAx>
        <c:axId val="312385871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1" i="0" u="none" strike="noStrike" kern="1200" baseline="0">
                    <a:solidFill>
                      <a:schemeClr val="tx1"/>
                    </a:solidFill>
                  </a:rPr>
                  <a:t>Crewtime (CM-hr/CM/Mission) 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#,##0" sourceLinked="0"/>
        <c:majorTickMark val="out"/>
        <c:minorTickMark val="none"/>
        <c:tickLblPos val="nextTo"/>
        <c:spPr>
          <a:noFill/>
          <a:ln w="9525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2382031"/>
        <c:crosses val="autoZero"/>
        <c:crossBetween val="between"/>
      </c:valAx>
      <c:spPr>
        <a:ln>
          <a:solidFill>
            <a:schemeClr val="tx1"/>
          </a:solidFill>
        </a:ln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2"/>
      </a:solidFill>
      <a:round/>
    </a:ln>
    <a:effectLst/>
  </c:spPr>
  <c:txPr>
    <a:bodyPr/>
    <a:lstStyle/>
    <a:p>
      <a:pPr>
        <a:defRPr sz="1000" b="1"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Relationship Id="rId4" Type="http://schemas.openxmlformats.org/officeDocument/2006/relationships/chart" Target="../charts/chart7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0.xml"/><Relationship Id="rId2" Type="http://schemas.openxmlformats.org/officeDocument/2006/relationships/chart" Target="../charts/chart9.xml"/><Relationship Id="rId1" Type="http://schemas.openxmlformats.org/officeDocument/2006/relationships/chart" Target="../charts/chart8.xml"/><Relationship Id="rId4" Type="http://schemas.openxmlformats.org/officeDocument/2006/relationships/chart" Target="../charts/chart11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4.xml"/><Relationship Id="rId2" Type="http://schemas.openxmlformats.org/officeDocument/2006/relationships/chart" Target="../charts/chart13.xml"/><Relationship Id="rId1" Type="http://schemas.openxmlformats.org/officeDocument/2006/relationships/chart" Target="../charts/chart12.xml"/><Relationship Id="rId4" Type="http://schemas.openxmlformats.org/officeDocument/2006/relationships/chart" Target="../charts/chart15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8.xml"/><Relationship Id="rId2" Type="http://schemas.openxmlformats.org/officeDocument/2006/relationships/chart" Target="../charts/chart17.xml"/><Relationship Id="rId1" Type="http://schemas.openxmlformats.org/officeDocument/2006/relationships/chart" Target="../charts/chart16.xml"/><Relationship Id="rId4" Type="http://schemas.openxmlformats.org/officeDocument/2006/relationships/chart" Target="../charts/chart19.xml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2.xml"/><Relationship Id="rId2" Type="http://schemas.openxmlformats.org/officeDocument/2006/relationships/chart" Target="../charts/chart21.xml"/><Relationship Id="rId1" Type="http://schemas.openxmlformats.org/officeDocument/2006/relationships/chart" Target="../charts/chart20.xml"/><Relationship Id="rId4" Type="http://schemas.openxmlformats.org/officeDocument/2006/relationships/chart" Target="../charts/chart2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11906</xdr:colOff>
      <xdr:row>66</xdr:row>
      <xdr:rowOff>127007</xdr:rowOff>
    </xdr:from>
    <xdr:to>
      <xdr:col>3</xdr:col>
      <xdr:colOff>932656</xdr:colOff>
      <xdr:row>81</xdr:row>
      <xdr:rowOff>131770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18030B4-FF2E-E22B-193D-26557F65E82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283368</xdr:colOff>
      <xdr:row>66</xdr:row>
      <xdr:rowOff>136532</xdr:rowOff>
    </xdr:from>
    <xdr:to>
      <xdr:col>6</xdr:col>
      <xdr:colOff>148431</xdr:colOff>
      <xdr:row>81</xdr:row>
      <xdr:rowOff>141295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C013FEBA-C5C0-4275-863C-E9D7A27B05F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1443831</xdr:colOff>
      <xdr:row>66</xdr:row>
      <xdr:rowOff>153995</xdr:rowOff>
    </xdr:from>
    <xdr:to>
      <xdr:col>12</xdr:col>
      <xdr:colOff>54768</xdr:colOff>
      <xdr:row>81</xdr:row>
      <xdr:rowOff>158758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60CBEBFD-3518-256F-7EC3-4FFD64CFCCE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2460984</xdr:colOff>
      <xdr:row>101</xdr:row>
      <xdr:rowOff>160698</xdr:rowOff>
    </xdr:from>
    <xdr:to>
      <xdr:col>3</xdr:col>
      <xdr:colOff>423575</xdr:colOff>
      <xdr:row>116</xdr:row>
      <xdr:rowOff>165460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DBCF0BA-601B-613D-3AFB-F42F32BBDCC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662060</xdr:colOff>
      <xdr:row>101</xdr:row>
      <xdr:rowOff>144822</xdr:rowOff>
    </xdr:from>
    <xdr:to>
      <xdr:col>6</xdr:col>
      <xdr:colOff>566810</xdr:colOff>
      <xdr:row>116</xdr:row>
      <xdr:rowOff>149584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BB1D7CB-C3E4-ABEE-8953-3DE37C4E0A3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800605</xdr:colOff>
      <xdr:row>101</xdr:row>
      <xdr:rowOff>122454</xdr:rowOff>
    </xdr:from>
    <xdr:to>
      <xdr:col>11</xdr:col>
      <xdr:colOff>594951</xdr:colOff>
      <xdr:row>116</xdr:row>
      <xdr:rowOff>129381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794D7496-4B71-02E3-0680-9BF7E996D97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12</xdr:col>
      <xdr:colOff>148432</xdr:colOff>
      <xdr:row>101</xdr:row>
      <xdr:rowOff>104558</xdr:rowOff>
    </xdr:from>
    <xdr:to>
      <xdr:col>17</xdr:col>
      <xdr:colOff>254001</xdr:colOff>
      <xdr:row>116</xdr:row>
      <xdr:rowOff>109320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EA818E59-9119-A965-BB3D-A307019F291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1035050</xdr:colOff>
      <xdr:row>92</xdr:row>
      <xdr:rowOff>38100</xdr:rowOff>
    </xdr:from>
    <xdr:to>
      <xdr:col>4</xdr:col>
      <xdr:colOff>101600</xdr:colOff>
      <xdr:row>107</xdr:row>
      <xdr:rowOff>19050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1489D4E0-2AD8-9239-B52A-AA24D449432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482600</xdr:colOff>
      <xdr:row>92</xdr:row>
      <xdr:rowOff>82550</xdr:rowOff>
    </xdr:from>
    <xdr:to>
      <xdr:col>7</xdr:col>
      <xdr:colOff>374650</xdr:colOff>
      <xdr:row>107</xdr:row>
      <xdr:rowOff>63500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10A838DD-DC6D-66B4-C116-254C7D9F653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558800</xdr:colOff>
      <xdr:row>92</xdr:row>
      <xdr:rowOff>58737</xdr:rowOff>
    </xdr:from>
    <xdr:to>
      <xdr:col>14</xdr:col>
      <xdr:colOff>158750</xdr:colOff>
      <xdr:row>107</xdr:row>
      <xdr:rowOff>39687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D687AB35-52A8-7D8A-AA16-0CC5FA148C0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14</xdr:col>
      <xdr:colOff>360830</xdr:colOff>
      <xdr:row>92</xdr:row>
      <xdr:rowOff>77321</xdr:rowOff>
    </xdr:from>
    <xdr:to>
      <xdr:col>19</xdr:col>
      <xdr:colOff>269876</xdr:colOff>
      <xdr:row>107</xdr:row>
      <xdr:rowOff>58271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FF93A955-C24A-B2A7-E8D3-3F01622327E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1114425</xdr:colOff>
      <xdr:row>241</xdr:row>
      <xdr:rowOff>96309</xdr:rowOff>
    </xdr:from>
    <xdr:to>
      <xdr:col>4</xdr:col>
      <xdr:colOff>1055158</xdr:colOff>
      <xdr:row>256</xdr:row>
      <xdr:rowOff>169334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9EE82FF-E230-B800-E1A4-3D7563274E4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109714</xdr:colOff>
      <xdr:row>241</xdr:row>
      <xdr:rowOff>129117</xdr:rowOff>
    </xdr:from>
    <xdr:to>
      <xdr:col>8</xdr:col>
      <xdr:colOff>279048</xdr:colOff>
      <xdr:row>257</xdr:row>
      <xdr:rowOff>1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3409A260-8B16-A688-61D5-200502887EA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456848</xdr:colOff>
      <xdr:row>241</xdr:row>
      <xdr:rowOff>154517</xdr:rowOff>
    </xdr:from>
    <xdr:to>
      <xdr:col>15</xdr:col>
      <xdr:colOff>156281</xdr:colOff>
      <xdr:row>257</xdr:row>
      <xdr:rowOff>25401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9F024B4B-1E20-F38A-F6BB-FA67E04DA1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15</xdr:col>
      <xdr:colOff>287868</xdr:colOff>
      <xdr:row>241</xdr:row>
      <xdr:rowOff>112889</xdr:rowOff>
    </xdr:from>
    <xdr:to>
      <xdr:col>20</xdr:col>
      <xdr:colOff>56444</xdr:colOff>
      <xdr:row>256</xdr:row>
      <xdr:rowOff>167217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9BC1439B-2456-CBDC-DC74-2D097B3A64C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844177</xdr:colOff>
      <xdr:row>331</xdr:row>
      <xdr:rowOff>17929</xdr:rowOff>
    </xdr:from>
    <xdr:to>
      <xdr:col>3</xdr:col>
      <xdr:colOff>1553883</xdr:colOff>
      <xdr:row>345</xdr:row>
      <xdr:rowOff>146423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B64701C-A5FD-E363-1207-9DE0614919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129989</xdr:colOff>
      <xdr:row>331</xdr:row>
      <xdr:rowOff>13447</xdr:rowOff>
    </xdr:from>
    <xdr:to>
      <xdr:col>8</xdr:col>
      <xdr:colOff>309283</xdr:colOff>
      <xdr:row>345</xdr:row>
      <xdr:rowOff>141941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5236A60-AFFC-46CB-F6B3-1026E2B5431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939800</xdr:colOff>
      <xdr:row>330</xdr:row>
      <xdr:rowOff>68730</xdr:rowOff>
    </xdr:from>
    <xdr:to>
      <xdr:col>13</xdr:col>
      <xdr:colOff>566270</xdr:colOff>
      <xdr:row>345</xdr:row>
      <xdr:rowOff>10459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CDA3F677-BBB3-93FC-0DDA-3776A23A9BE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14</xdr:col>
      <xdr:colOff>8964</xdr:colOff>
      <xdr:row>330</xdr:row>
      <xdr:rowOff>56777</xdr:rowOff>
    </xdr:from>
    <xdr:to>
      <xdr:col>18</xdr:col>
      <xdr:colOff>29883</xdr:colOff>
      <xdr:row>344</xdr:row>
      <xdr:rowOff>185271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67DA52B0-52BF-6C2B-13F5-E8005B837AE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594178</xdr:colOff>
      <xdr:row>204</xdr:row>
      <xdr:rowOff>20865</xdr:rowOff>
    </xdr:from>
    <xdr:to>
      <xdr:col>3</xdr:col>
      <xdr:colOff>1310821</xdr:colOff>
      <xdr:row>219</xdr:row>
      <xdr:rowOff>42637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060F71F-4773-3B54-34D7-E15D7F512A5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1553936</xdr:colOff>
      <xdr:row>204</xdr:row>
      <xdr:rowOff>19051</xdr:rowOff>
    </xdr:from>
    <xdr:to>
      <xdr:col>7</xdr:col>
      <xdr:colOff>66221</xdr:colOff>
      <xdr:row>219</xdr:row>
      <xdr:rowOff>40823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833ECCE-96FB-E96D-C2ED-3DFE738F3E6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173264</xdr:colOff>
      <xdr:row>204</xdr:row>
      <xdr:rowOff>8165</xdr:rowOff>
    </xdr:from>
    <xdr:to>
      <xdr:col>13</xdr:col>
      <xdr:colOff>390979</xdr:colOff>
      <xdr:row>219</xdr:row>
      <xdr:rowOff>29937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D4BEF7D-8250-6478-4DAF-771B7247B9A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13</xdr:col>
      <xdr:colOff>461736</xdr:colOff>
      <xdr:row>203</xdr:row>
      <xdr:rowOff>178708</xdr:rowOff>
    </xdr:from>
    <xdr:to>
      <xdr:col>17</xdr:col>
      <xdr:colOff>281215</xdr:colOff>
      <xdr:row>219</xdr:row>
      <xdr:rowOff>19051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4C745F73-5111-E900-064C-0C00EDFA239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5.vml"/><Relationship Id="rId2" Type="http://schemas.openxmlformats.org/officeDocument/2006/relationships/drawing" Target="../drawings/drawing4.xml"/><Relationship Id="rId1" Type="http://schemas.openxmlformats.org/officeDocument/2006/relationships/hyperlink" Target="https://support.bargainballoons.ca/support/solutions/articles/27000057500-what-are-helium-cylinder-tanks-made-of-and-what-do-they-weigh-" TargetMode="External"/><Relationship Id="rId4" Type="http://schemas.openxmlformats.org/officeDocument/2006/relationships/comments" Target="../comments5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5.xml"/><Relationship Id="rId2" Type="http://schemas.openxmlformats.org/officeDocument/2006/relationships/hyperlink" Target="https://www.sigmaaldrich.com/US/en/product/sigma/l3522?srsltid=AfmBOooNC06sQjPUu9pC2R68NoyMs_pVFAV9gRbRPE7OU2YJkNW2QGMn" TargetMode="External"/><Relationship Id="rId1" Type="http://schemas.openxmlformats.org/officeDocument/2006/relationships/hyperlink" Target="https://doi.org/10.1128/jb.148.1.58-63.1981" TargetMode="External"/><Relationship Id="rId5" Type="http://schemas.openxmlformats.org/officeDocument/2006/relationships/comments" Target="../comments6.xml"/><Relationship Id="rId4" Type="http://schemas.openxmlformats.org/officeDocument/2006/relationships/vmlDrawing" Target="../drawings/vmlDrawing6.v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7.vml"/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7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1"/>
  <sheetViews>
    <sheetView workbookViewId="0">
      <selection activeCell="B5" sqref="B5"/>
    </sheetView>
  </sheetViews>
  <sheetFormatPr defaultRowHeight="14.5" x14ac:dyDescent="0.35"/>
  <cols>
    <col min="1" max="1" width="40.08984375" bestFit="1" customWidth="1"/>
    <col min="2" max="2" width="26" bestFit="1" customWidth="1"/>
    <col min="3" max="3" width="29.453125" bestFit="1" customWidth="1"/>
    <col min="4" max="4" width="24.6328125" customWidth="1"/>
    <col min="5" max="5" width="22.36328125" customWidth="1"/>
    <col min="6" max="6" width="22.54296875" customWidth="1"/>
    <col min="7" max="7" width="23.6328125" customWidth="1"/>
    <col min="8" max="8" width="20" customWidth="1"/>
  </cols>
  <sheetData>
    <row r="1" spans="1:8" ht="26" customHeight="1" x14ac:dyDescent="0.6">
      <c r="A1" s="358" t="s">
        <v>84</v>
      </c>
      <c r="B1" s="359"/>
      <c r="C1" s="359"/>
      <c r="D1" s="359"/>
      <c r="E1" s="359"/>
      <c r="F1" s="359"/>
      <c r="G1" s="359"/>
      <c r="H1" s="359"/>
    </row>
    <row r="3" spans="1:8" ht="15" thickBot="1" x14ac:dyDescent="0.4">
      <c r="A3" s="90" t="s">
        <v>85</v>
      </c>
    </row>
    <row r="4" spans="1:8" ht="15" thickBot="1" x14ac:dyDescent="0.4">
      <c r="A4" s="195" t="s">
        <v>69</v>
      </c>
      <c r="B4" s="196" t="s">
        <v>86</v>
      </c>
      <c r="C4" s="197" t="s">
        <v>3</v>
      </c>
      <c r="E4" s="144" t="s">
        <v>4</v>
      </c>
    </row>
    <row r="5" spans="1:8" x14ac:dyDescent="0.35">
      <c r="A5" s="82" t="s">
        <v>87</v>
      </c>
      <c r="B5" s="194">
        <v>6</v>
      </c>
      <c r="C5" s="3" t="s">
        <v>88</v>
      </c>
      <c r="E5" s="4" t="s">
        <v>6</v>
      </c>
    </row>
    <row r="6" spans="1:8" ht="15" thickBot="1" x14ac:dyDescent="0.4">
      <c r="A6" s="82" t="s">
        <v>89</v>
      </c>
      <c r="B6" s="210">
        <f>+B7*7</f>
        <v>602</v>
      </c>
      <c r="C6" s="3" t="s">
        <v>90</v>
      </c>
      <c r="E6" s="8" t="s">
        <v>7</v>
      </c>
    </row>
    <row r="7" spans="1:8" x14ac:dyDescent="0.35">
      <c r="A7" s="82" t="s">
        <v>91</v>
      </c>
      <c r="B7" s="14">
        <v>86</v>
      </c>
      <c r="C7" s="3" t="s">
        <v>92</v>
      </c>
    </row>
    <row r="8" spans="1:8" x14ac:dyDescent="0.35">
      <c r="A8" s="82" t="s">
        <v>93</v>
      </c>
      <c r="B8" s="14">
        <v>5</v>
      </c>
      <c r="C8" s="3" t="s">
        <v>577</v>
      </c>
    </row>
    <row r="9" spans="1:8" ht="15" thickBot="1" x14ac:dyDescent="0.4">
      <c r="A9" s="107" t="s">
        <v>94</v>
      </c>
      <c r="B9" s="69">
        <f>B7*B8</f>
        <v>430</v>
      </c>
      <c r="C9" s="7" t="s">
        <v>581</v>
      </c>
    </row>
    <row r="11" spans="1:8" ht="15" customHeight="1" thickBot="1" x14ac:dyDescent="0.4">
      <c r="A11" s="90" t="s">
        <v>68</v>
      </c>
    </row>
    <row r="12" spans="1:8" ht="15" customHeight="1" x14ac:dyDescent="0.45">
      <c r="A12" s="198" t="s">
        <v>69</v>
      </c>
      <c r="B12" s="199" t="s">
        <v>486</v>
      </c>
      <c r="C12" s="199" t="s">
        <v>487</v>
      </c>
      <c r="D12" s="199" t="s">
        <v>488</v>
      </c>
      <c r="E12" s="199" t="s">
        <v>489</v>
      </c>
      <c r="F12" s="199" t="s">
        <v>490</v>
      </c>
      <c r="G12" s="199" t="s">
        <v>491</v>
      </c>
      <c r="H12" s="200" t="s">
        <v>492</v>
      </c>
    </row>
    <row r="13" spans="1:8" ht="15" customHeight="1" thickBot="1" x14ac:dyDescent="0.4">
      <c r="A13" s="108" t="s">
        <v>484</v>
      </c>
      <c r="B13" s="109">
        <v>79.3</v>
      </c>
      <c r="C13" s="109">
        <v>162</v>
      </c>
      <c r="D13" s="109">
        <v>96</v>
      </c>
      <c r="E13" s="110">
        <v>0.21</v>
      </c>
      <c r="F13" s="110">
        <v>0.93</v>
      </c>
      <c r="G13" s="109">
        <v>0.3</v>
      </c>
      <c r="H13" s="111">
        <v>0.94</v>
      </c>
    </row>
    <row r="15" spans="1:8" ht="15" customHeight="1" thickBot="1" x14ac:dyDescent="0.4">
      <c r="A15" s="90" t="s">
        <v>95</v>
      </c>
    </row>
    <row r="16" spans="1:8" ht="30.75" customHeight="1" thickBot="1" x14ac:dyDescent="0.4">
      <c r="A16" s="201" t="s">
        <v>96</v>
      </c>
      <c r="B16" s="202" t="s">
        <v>97</v>
      </c>
      <c r="C16" s="203" t="s">
        <v>98</v>
      </c>
      <c r="D16" s="202" t="s">
        <v>99</v>
      </c>
      <c r="E16" s="209" t="s">
        <v>485</v>
      </c>
    </row>
    <row r="17" spans="1:5" x14ac:dyDescent="0.35">
      <c r="A17" s="74" t="s">
        <v>0</v>
      </c>
      <c r="B17" s="112" t="s">
        <v>100</v>
      </c>
      <c r="C17" s="15">
        <v>7.1</v>
      </c>
      <c r="D17" s="15">
        <v>28</v>
      </c>
      <c r="E17" s="105">
        <f>+D17/7</f>
        <v>4</v>
      </c>
    </row>
    <row r="18" spans="1:5" x14ac:dyDescent="0.35">
      <c r="A18" s="74" t="s">
        <v>101</v>
      </c>
      <c r="B18" s="112" t="s">
        <v>102</v>
      </c>
      <c r="C18" s="15">
        <v>28.6</v>
      </c>
      <c r="D18" s="15">
        <v>35</v>
      </c>
      <c r="E18" s="105">
        <f t="shared" ref="E18:E21" si="0">+D18/7</f>
        <v>5</v>
      </c>
    </row>
    <row r="19" spans="1:5" x14ac:dyDescent="0.35">
      <c r="A19" s="74" t="s">
        <v>103</v>
      </c>
      <c r="B19" s="112" t="s">
        <v>100</v>
      </c>
      <c r="C19" s="15">
        <v>2.5</v>
      </c>
      <c r="D19" s="15">
        <v>28</v>
      </c>
      <c r="E19" s="105">
        <f t="shared" si="0"/>
        <v>4</v>
      </c>
    </row>
    <row r="20" spans="1:5" x14ac:dyDescent="0.35">
      <c r="A20" s="74" t="s">
        <v>104</v>
      </c>
      <c r="B20" s="112" t="s">
        <v>102</v>
      </c>
      <c r="C20" s="15">
        <v>373</v>
      </c>
      <c r="D20" s="15">
        <v>35</v>
      </c>
      <c r="E20" s="105">
        <f t="shared" si="0"/>
        <v>5</v>
      </c>
    </row>
    <row r="21" spans="1:5" ht="15" customHeight="1" thickBot="1" x14ac:dyDescent="0.4">
      <c r="A21" s="204" t="s">
        <v>105</v>
      </c>
      <c r="B21" s="113" t="s">
        <v>102</v>
      </c>
      <c r="C21" s="69">
        <v>300</v>
      </c>
      <c r="D21" s="69">
        <v>35</v>
      </c>
      <c r="E21" s="73">
        <f t="shared" si="0"/>
        <v>5</v>
      </c>
    </row>
  </sheetData>
  <mergeCells count="1">
    <mergeCell ref="A1:H1"/>
  </mergeCells>
  <pageMargins left="0.75" right="0.75" top="1" bottom="1" header="0.5" footer="0.5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66"/>
  <sheetViews>
    <sheetView tabSelected="1" topLeftCell="A11" zoomScale="80" zoomScaleNormal="80" workbookViewId="0">
      <selection activeCell="B14" sqref="B14"/>
    </sheetView>
  </sheetViews>
  <sheetFormatPr defaultRowHeight="14.5" x14ac:dyDescent="0.35"/>
  <cols>
    <col min="1" max="1" width="44.36328125" customWidth="1"/>
    <col min="2" max="2" width="20.26953125" bestFit="1" customWidth="1"/>
    <col min="3" max="3" width="32" customWidth="1"/>
    <col min="4" max="4" width="31.7265625" customWidth="1"/>
    <col min="5" max="5" width="31.54296875" customWidth="1"/>
    <col min="6" max="6" width="35.81640625" customWidth="1"/>
    <col min="7" max="7" width="24.1796875" bestFit="1" customWidth="1"/>
    <col min="8" max="8" width="18.81640625" bestFit="1" customWidth="1"/>
    <col min="9" max="9" width="16" customWidth="1"/>
    <col min="15" max="15" width="17.6328125" bestFit="1" customWidth="1"/>
  </cols>
  <sheetData>
    <row r="1" spans="1:8" ht="26" customHeight="1" x14ac:dyDescent="0.6">
      <c r="A1" s="358" t="s">
        <v>106</v>
      </c>
      <c r="B1" s="359"/>
      <c r="C1" s="359"/>
      <c r="D1" s="359"/>
      <c r="E1" s="359"/>
      <c r="F1" s="359"/>
      <c r="G1" s="359"/>
      <c r="H1" s="359"/>
    </row>
    <row r="2" spans="1:8" ht="15" customHeight="1" thickBot="1" x14ac:dyDescent="0.4">
      <c r="A2" s="99"/>
      <c r="B2" s="99"/>
      <c r="C2" s="99"/>
      <c r="D2" s="99"/>
      <c r="E2" s="99"/>
    </row>
    <row r="3" spans="1:8" ht="15" customHeight="1" thickBot="1" x14ac:dyDescent="0.4">
      <c r="A3" s="100" t="s">
        <v>107</v>
      </c>
      <c r="B3" s="101"/>
      <c r="C3" s="101"/>
      <c r="D3" s="101"/>
      <c r="E3" s="102"/>
    </row>
    <row r="4" spans="1:8" x14ac:dyDescent="0.35">
      <c r="A4" s="99" t="s">
        <v>574</v>
      </c>
      <c r="B4" s="99"/>
      <c r="C4" s="99"/>
      <c r="D4" s="99"/>
      <c r="E4" s="99"/>
    </row>
    <row r="5" spans="1:8" x14ac:dyDescent="0.35">
      <c r="A5" s="99" t="s">
        <v>108</v>
      </c>
      <c r="B5" s="99"/>
      <c r="C5" s="99"/>
      <c r="D5" s="99"/>
      <c r="E5" s="99"/>
    </row>
    <row r="6" spans="1:8" x14ac:dyDescent="0.35">
      <c r="A6" s="99" t="s">
        <v>109</v>
      </c>
      <c r="B6" s="99"/>
      <c r="C6" s="99"/>
      <c r="D6" s="99"/>
      <c r="E6" s="99"/>
    </row>
    <row r="7" spans="1:8" x14ac:dyDescent="0.35">
      <c r="A7" s="99" t="s">
        <v>575</v>
      </c>
      <c r="B7" s="99"/>
      <c r="C7" s="99"/>
      <c r="D7" s="99"/>
      <c r="E7" s="99"/>
    </row>
    <row r="8" spans="1:8" x14ac:dyDescent="0.35">
      <c r="A8" s="99" t="s">
        <v>576</v>
      </c>
      <c r="B8" s="99"/>
      <c r="C8" s="99"/>
      <c r="D8" s="99"/>
      <c r="E8" s="99"/>
    </row>
    <row r="9" spans="1:8" x14ac:dyDescent="0.35">
      <c r="A9" s="99" t="s">
        <v>110</v>
      </c>
      <c r="B9" s="99"/>
      <c r="C9" s="99"/>
      <c r="D9" s="99"/>
      <c r="E9" s="99"/>
    </row>
    <row r="10" spans="1:8" x14ac:dyDescent="0.35">
      <c r="B10" s="99"/>
      <c r="C10" s="99"/>
      <c r="D10" s="99"/>
      <c r="E10" s="99"/>
    </row>
    <row r="11" spans="1:8" ht="15" customHeight="1" thickBot="1" x14ac:dyDescent="0.4">
      <c r="A11" s="99"/>
      <c r="B11" s="99"/>
      <c r="C11" s="99"/>
      <c r="D11" s="99"/>
      <c r="E11" s="99"/>
    </row>
    <row r="12" spans="1:8" ht="15" customHeight="1" thickBot="1" x14ac:dyDescent="0.4">
      <c r="A12" s="312" t="s">
        <v>111</v>
      </c>
      <c r="B12" s="313" t="s">
        <v>86</v>
      </c>
      <c r="C12" s="314" t="s">
        <v>112</v>
      </c>
      <c r="D12" s="315" t="s">
        <v>113</v>
      </c>
      <c r="E12" s="103"/>
      <c r="F12" s="94" t="s">
        <v>4</v>
      </c>
    </row>
    <row r="13" spans="1:8" x14ac:dyDescent="0.35">
      <c r="A13" s="99" t="s">
        <v>114</v>
      </c>
      <c r="B13" s="14">
        <f>Assumptions!B8</f>
        <v>5</v>
      </c>
      <c r="C13" s="99" t="s">
        <v>577</v>
      </c>
      <c r="D13" s="99"/>
      <c r="F13" s="4" t="s">
        <v>6</v>
      </c>
    </row>
    <row r="14" spans="1:8" ht="15" customHeight="1" thickBot="1" x14ac:dyDescent="0.4">
      <c r="A14" s="99" t="s">
        <v>115</v>
      </c>
      <c r="B14" s="205">
        <f>ROUNDUP(+$B$13*Assumptions!B7/(28*0.02),0)</f>
        <v>768</v>
      </c>
      <c r="C14" s="99" t="s">
        <v>116</v>
      </c>
      <c r="D14" s="99" t="s">
        <v>125</v>
      </c>
      <c r="E14" s="99"/>
      <c r="F14" s="8" t="s">
        <v>7</v>
      </c>
    </row>
    <row r="15" spans="1:8" x14ac:dyDescent="0.35">
      <c r="A15" t="s">
        <v>117</v>
      </c>
      <c r="B15" s="15">
        <v>87</v>
      </c>
      <c r="C15" t="s">
        <v>118</v>
      </c>
      <c r="D15" t="s">
        <v>119</v>
      </c>
    </row>
    <row r="16" spans="1:8" ht="16.5" x14ac:dyDescent="0.35">
      <c r="A16" t="s">
        <v>120</v>
      </c>
      <c r="B16" s="15">
        <v>30</v>
      </c>
      <c r="C16" t="s">
        <v>493</v>
      </c>
      <c r="D16" t="s">
        <v>119</v>
      </c>
    </row>
    <row r="17" spans="1:7" x14ac:dyDescent="0.35">
      <c r="A17" t="s">
        <v>121</v>
      </c>
      <c r="B17" s="15">
        <v>52</v>
      </c>
      <c r="C17" t="s">
        <v>118</v>
      </c>
      <c r="D17" t="s">
        <v>119</v>
      </c>
    </row>
    <row r="18" spans="1:7" x14ac:dyDescent="0.35">
      <c r="A18" t="s">
        <v>122</v>
      </c>
      <c r="B18" s="15">
        <v>35</v>
      </c>
      <c r="C18" t="s">
        <v>118</v>
      </c>
      <c r="D18" t="s">
        <v>119</v>
      </c>
    </row>
    <row r="19" spans="1:7" ht="16.5" x14ac:dyDescent="0.35">
      <c r="A19" t="s">
        <v>123</v>
      </c>
      <c r="B19" s="15">
        <v>1.6</v>
      </c>
      <c r="C19" t="s">
        <v>493</v>
      </c>
      <c r="D19" t="s">
        <v>119</v>
      </c>
    </row>
    <row r="20" spans="1:7" x14ac:dyDescent="0.35">
      <c r="A20" t="s">
        <v>124</v>
      </c>
      <c r="B20" s="22">
        <v>32.76</v>
      </c>
      <c r="C20" t="s">
        <v>118</v>
      </c>
      <c r="D20" t="s">
        <v>125</v>
      </c>
    </row>
    <row r="21" spans="1:7" ht="16.5" x14ac:dyDescent="0.35">
      <c r="A21" t="s">
        <v>126</v>
      </c>
      <c r="B21" s="15">
        <v>9</v>
      </c>
      <c r="C21" t="s">
        <v>493</v>
      </c>
      <c r="D21" t="s">
        <v>127</v>
      </c>
    </row>
    <row r="22" spans="1:7" ht="16.5" x14ac:dyDescent="0.35">
      <c r="A22" t="s">
        <v>128</v>
      </c>
      <c r="B22" s="13">
        <f>B16*B14*0.0254^3</f>
        <v>0.37755795455999996</v>
      </c>
      <c r="C22" t="s">
        <v>494</v>
      </c>
      <c r="D22" t="s">
        <v>125</v>
      </c>
    </row>
    <row r="23" spans="1:7" ht="15" thickBot="1" x14ac:dyDescent="0.4"/>
    <row r="24" spans="1:7" ht="15" customHeight="1" x14ac:dyDescent="0.35">
      <c r="A24" s="272" t="s">
        <v>29</v>
      </c>
      <c r="B24" s="263"/>
      <c r="C24" s="317"/>
      <c r="D24" s="263"/>
      <c r="E24" s="263"/>
      <c r="F24" s="263"/>
      <c r="G24" s="264"/>
    </row>
    <row r="25" spans="1:7" s="15" customFormat="1" ht="17" customHeight="1" thickBot="1" x14ac:dyDescent="0.5">
      <c r="A25" s="273" t="s">
        <v>30</v>
      </c>
      <c r="B25" s="281" t="s">
        <v>31</v>
      </c>
      <c r="C25" s="281" t="s">
        <v>32</v>
      </c>
      <c r="D25" s="281" t="s">
        <v>33</v>
      </c>
      <c r="E25" s="282" t="s">
        <v>495</v>
      </c>
      <c r="F25" s="282" t="s">
        <v>497</v>
      </c>
      <c r="G25" s="302" t="s">
        <v>496</v>
      </c>
    </row>
    <row r="26" spans="1:7" s="15" customFormat="1" ht="15" customHeight="1" thickBot="1" x14ac:dyDescent="0.4">
      <c r="A26" s="316" t="s">
        <v>130</v>
      </c>
      <c r="B26" s="69" t="s">
        <v>546</v>
      </c>
      <c r="C26" s="69">
        <f>+ROUNDUP(B22/0.614,0)</f>
        <v>1</v>
      </c>
      <c r="D26" s="69">
        <f>(321+91)*C26</f>
        <v>412</v>
      </c>
      <c r="E26" s="69">
        <f>2*C26</f>
        <v>2</v>
      </c>
      <c r="F26" s="69">
        <f>0.205*C26</f>
        <v>0.20499999999999999</v>
      </c>
      <c r="G26" s="206">
        <v>0</v>
      </c>
    </row>
    <row r="27" spans="1:7" ht="15" thickBot="1" x14ac:dyDescent="0.4"/>
    <row r="28" spans="1:7" ht="15" customHeight="1" x14ac:dyDescent="0.35">
      <c r="A28" s="299" t="s">
        <v>538</v>
      </c>
      <c r="B28" s="263"/>
      <c r="C28" s="263"/>
      <c r="D28" s="263"/>
      <c r="E28" s="317"/>
      <c r="F28" s="263"/>
      <c r="G28" s="264"/>
    </row>
    <row r="29" spans="1:7" ht="17" customHeight="1" thickBot="1" x14ac:dyDescent="0.5">
      <c r="A29" s="280" t="s">
        <v>30</v>
      </c>
      <c r="B29" s="274" t="s">
        <v>79</v>
      </c>
      <c r="C29" s="281" t="s">
        <v>32</v>
      </c>
      <c r="D29" s="281" t="s">
        <v>33</v>
      </c>
      <c r="E29" s="282" t="s">
        <v>495</v>
      </c>
      <c r="F29" s="282" t="s">
        <v>496</v>
      </c>
      <c r="G29" s="302" t="s">
        <v>497</v>
      </c>
    </row>
    <row r="30" spans="1:7" ht="15" thickBot="1" x14ac:dyDescent="0.4">
      <c r="A30" s="363" t="s">
        <v>131</v>
      </c>
      <c r="B30" s="15" t="s">
        <v>42</v>
      </c>
      <c r="C30" s="15">
        <f>B14</f>
        <v>768</v>
      </c>
      <c r="D30" s="13">
        <f>(B15*B14)/1000</f>
        <v>66.816000000000003</v>
      </c>
      <c r="E30" s="318">
        <f>+C30*B16*0.000016387</f>
        <v>0.37755648000000003</v>
      </c>
      <c r="F30" s="15">
        <v>0</v>
      </c>
      <c r="G30" s="105">
        <v>0</v>
      </c>
    </row>
    <row r="31" spans="1:7" x14ac:dyDescent="0.35">
      <c r="A31" s="364"/>
      <c r="B31" s="15" t="s">
        <v>47</v>
      </c>
      <c r="C31" s="15">
        <v>0</v>
      </c>
      <c r="D31" s="13">
        <v>0</v>
      </c>
      <c r="E31" s="13">
        <v>0</v>
      </c>
      <c r="F31" s="15">
        <v>0</v>
      </c>
      <c r="G31" s="105">
        <v>0</v>
      </c>
    </row>
    <row r="32" spans="1:7" x14ac:dyDescent="0.35">
      <c r="A32" s="364"/>
      <c r="B32" s="15" t="s">
        <v>132</v>
      </c>
      <c r="C32" s="15">
        <f>+B14</f>
        <v>768</v>
      </c>
      <c r="D32" s="13">
        <f>+C32*B18/1000</f>
        <v>26.88</v>
      </c>
      <c r="E32" s="13">
        <f>(B19*0.0254^3)*C32</f>
        <v>2.0136424243200002E-2</v>
      </c>
      <c r="F32" s="49"/>
      <c r="G32" s="61"/>
    </row>
    <row r="33" spans="1:8" ht="15" customHeight="1" thickBot="1" x14ac:dyDescent="0.4">
      <c r="A33" s="365"/>
      <c r="B33" s="69" t="s">
        <v>133</v>
      </c>
      <c r="C33" s="69">
        <f>+B14</f>
        <v>768</v>
      </c>
      <c r="D33" s="23">
        <f>(B17*C33)/1000</f>
        <v>39.936</v>
      </c>
      <c r="E33" s="23">
        <f>(B21*0.0254^3)*C33</f>
        <v>0.11326738636799999</v>
      </c>
      <c r="F33" s="55"/>
      <c r="G33" s="106"/>
    </row>
    <row r="34" spans="1:8" ht="15" thickBot="1" x14ac:dyDescent="0.4">
      <c r="A34" s="98"/>
      <c r="B34" s="98"/>
      <c r="C34" s="98"/>
      <c r="D34" s="98"/>
      <c r="E34" s="15"/>
      <c r="F34" s="98"/>
    </row>
    <row r="35" spans="1:8" ht="15" customHeight="1" x14ac:dyDescent="0.35">
      <c r="A35" s="299" t="s">
        <v>524</v>
      </c>
      <c r="B35" s="263"/>
      <c r="C35" s="263"/>
      <c r="D35" s="263"/>
      <c r="E35" s="263"/>
      <c r="F35" s="264"/>
    </row>
    <row r="36" spans="1:8" ht="15" customHeight="1" thickBot="1" x14ac:dyDescent="0.4">
      <c r="A36" s="319" t="s">
        <v>59</v>
      </c>
      <c r="B36" s="281" t="s">
        <v>60</v>
      </c>
      <c r="C36" s="282" t="s">
        <v>481</v>
      </c>
      <c r="D36" s="282" t="s">
        <v>482</v>
      </c>
      <c r="E36" s="302" t="s">
        <v>483</v>
      </c>
      <c r="F36" s="320" t="s">
        <v>514</v>
      </c>
    </row>
    <row r="37" spans="1:8" x14ac:dyDescent="0.35">
      <c r="A37" s="70" t="s">
        <v>33</v>
      </c>
      <c r="B37" s="104">
        <f>D26</f>
        <v>412</v>
      </c>
      <c r="C37" s="137">
        <f>+D30</f>
        <v>66.816000000000003</v>
      </c>
      <c r="D37" s="49"/>
      <c r="E37" s="104">
        <v>0</v>
      </c>
      <c r="F37" s="211"/>
    </row>
    <row r="38" spans="1:8" ht="16.5" x14ac:dyDescent="0.35">
      <c r="A38" s="116" t="s">
        <v>498</v>
      </c>
      <c r="B38" s="15">
        <f>E26</f>
        <v>2</v>
      </c>
      <c r="C38" s="22">
        <f>E30</f>
        <v>0.37755648000000003</v>
      </c>
      <c r="D38" s="138"/>
      <c r="E38" s="15">
        <v>0</v>
      </c>
      <c r="F38" s="54"/>
    </row>
    <row r="39" spans="1:8" ht="16.5" x14ac:dyDescent="0.45">
      <c r="A39" s="116" t="s">
        <v>499</v>
      </c>
      <c r="B39" s="15">
        <f>F26</f>
        <v>0.20499999999999999</v>
      </c>
      <c r="C39" s="49"/>
      <c r="D39" s="138"/>
      <c r="E39" s="15">
        <v>0</v>
      </c>
      <c r="F39" s="54"/>
    </row>
    <row r="40" spans="1:8" ht="16.5" x14ac:dyDescent="0.45">
      <c r="A40" s="116" t="s">
        <v>500</v>
      </c>
      <c r="B40" s="15">
        <f>F26</f>
        <v>0.20499999999999999</v>
      </c>
      <c r="C40" s="49"/>
      <c r="D40" s="138"/>
      <c r="E40" s="49"/>
      <c r="F40" s="54"/>
    </row>
    <row r="41" spans="1:8" x14ac:dyDescent="0.35">
      <c r="A41" s="117" t="s">
        <v>65</v>
      </c>
      <c r="B41" s="49"/>
      <c r="C41" s="15">
        <v>0</v>
      </c>
      <c r="D41" s="138"/>
      <c r="E41" s="15">
        <v>0</v>
      </c>
      <c r="F41" s="54"/>
    </row>
    <row r="42" spans="1:8" x14ac:dyDescent="0.35">
      <c r="A42" s="116" t="s">
        <v>64</v>
      </c>
      <c r="B42" s="22">
        <f>G26</f>
        <v>0</v>
      </c>
      <c r="C42" s="49"/>
      <c r="D42" s="138"/>
      <c r="E42" s="49"/>
      <c r="F42" s="105">
        <v>0</v>
      </c>
    </row>
    <row r="43" spans="1:8" x14ac:dyDescent="0.35">
      <c r="A43" s="116" t="s">
        <v>66</v>
      </c>
      <c r="B43" s="15">
        <v>0</v>
      </c>
      <c r="C43" s="15">
        <v>0</v>
      </c>
      <c r="D43" s="138"/>
      <c r="E43" s="15">
        <v>0</v>
      </c>
      <c r="F43" s="54"/>
    </row>
    <row r="44" spans="1:8" ht="15" customHeight="1" thickBot="1" x14ac:dyDescent="0.4">
      <c r="A44" s="72" t="s">
        <v>67</v>
      </c>
      <c r="B44" s="55"/>
      <c r="C44" s="55"/>
      <c r="D44" s="139">
        <f>SUM(D32:D33)</f>
        <v>66.816000000000003</v>
      </c>
      <c r="E44" s="55"/>
      <c r="F44" s="212"/>
    </row>
    <row r="45" spans="1:8" ht="15" thickBot="1" x14ac:dyDescent="0.4">
      <c r="A45" s="98"/>
      <c r="B45" s="98"/>
      <c r="C45" s="98"/>
      <c r="D45" s="98"/>
      <c r="E45" s="98"/>
      <c r="F45" s="98"/>
    </row>
    <row r="46" spans="1:8" ht="15" customHeight="1" x14ac:dyDescent="0.35">
      <c r="A46" s="321" t="s">
        <v>68</v>
      </c>
      <c r="B46" s="322"/>
      <c r="C46" s="322"/>
      <c r="D46" s="322"/>
      <c r="E46" s="322"/>
      <c r="F46" s="322"/>
      <c r="G46" s="263"/>
      <c r="H46" s="264"/>
    </row>
    <row r="47" spans="1:8" ht="18" customHeight="1" thickBot="1" x14ac:dyDescent="0.5">
      <c r="A47" s="323" t="s">
        <v>69</v>
      </c>
      <c r="B47" s="324" t="s">
        <v>502</v>
      </c>
      <c r="C47" s="325" t="s">
        <v>503</v>
      </c>
      <c r="D47" s="325" t="s">
        <v>504</v>
      </c>
      <c r="E47" s="325" t="s">
        <v>505</v>
      </c>
      <c r="F47" s="326" t="s">
        <v>506</v>
      </c>
      <c r="G47" s="325" t="s">
        <v>507</v>
      </c>
      <c r="H47" s="327" t="s">
        <v>76</v>
      </c>
    </row>
    <row r="48" spans="1:8" ht="15" customHeight="1" thickBot="1" x14ac:dyDescent="0.4">
      <c r="A48" s="68" t="s">
        <v>484</v>
      </c>
      <c r="B48" s="69">
        <f>Assumptions!B13</f>
        <v>79.3</v>
      </c>
      <c r="C48" s="69">
        <f>Assumptions!C13</f>
        <v>162</v>
      </c>
      <c r="D48" s="69">
        <f>Assumptions!D13</f>
        <v>96</v>
      </c>
      <c r="E48" s="69">
        <f>Assumptions!E13</f>
        <v>0.21</v>
      </c>
      <c r="F48" s="69">
        <f>Assumptions!F13</f>
        <v>0.93</v>
      </c>
      <c r="G48" s="69">
        <f>Assumptions!G13</f>
        <v>0.3</v>
      </c>
      <c r="H48" s="73">
        <f>Assumptions!H13</f>
        <v>0.94</v>
      </c>
    </row>
    <row r="49" spans="1:18" ht="15" customHeight="1" thickBot="1" x14ac:dyDescent="0.4"/>
    <row r="50" spans="1:18" ht="17" customHeight="1" thickBot="1" x14ac:dyDescent="0.5">
      <c r="A50" s="288" t="s">
        <v>79</v>
      </c>
      <c r="B50" s="289" t="s">
        <v>501</v>
      </c>
    </row>
    <row r="51" spans="1:18" x14ac:dyDescent="0.35">
      <c r="A51" s="74" t="s">
        <v>60</v>
      </c>
      <c r="B51" s="231">
        <f>B37+(B38*B48)+(B39*C48)+(B40*D48)+(B42*H48)</f>
        <v>623.49</v>
      </c>
    </row>
    <row r="52" spans="1:18" x14ac:dyDescent="0.35">
      <c r="A52" s="74" t="s">
        <v>515</v>
      </c>
      <c r="B52" s="231">
        <f>+F42</f>
        <v>0</v>
      </c>
    </row>
    <row r="53" spans="1:18" x14ac:dyDescent="0.35">
      <c r="A53" s="74" t="s">
        <v>81</v>
      </c>
      <c r="B53" s="232">
        <f>C37+(C38*B48)+(C41*E48)</f>
        <v>96.756228864000008</v>
      </c>
    </row>
    <row r="54" spans="1:18" x14ac:dyDescent="0.35">
      <c r="A54" s="74" t="s">
        <v>134</v>
      </c>
      <c r="B54" s="232">
        <f>(D44*F48)</f>
        <v>62.138880000000007</v>
      </c>
    </row>
    <row r="55" spans="1:18" x14ac:dyDescent="0.35">
      <c r="A55" s="75" t="s">
        <v>83</v>
      </c>
      <c r="B55" s="233">
        <f>0</f>
        <v>0</v>
      </c>
    </row>
    <row r="56" spans="1:18" ht="17" customHeight="1" thickBot="1" x14ac:dyDescent="0.5">
      <c r="A56" s="76" t="s">
        <v>527</v>
      </c>
      <c r="B56" s="234">
        <f>B51+B52+B53+B54-B55</f>
        <v>782.38510886400002</v>
      </c>
    </row>
    <row r="58" spans="1:18" x14ac:dyDescent="0.35">
      <c r="A58" s="366"/>
      <c r="B58" s="359"/>
      <c r="C58" s="359"/>
      <c r="D58" s="359"/>
      <c r="E58" s="359"/>
      <c r="F58" s="359"/>
      <c r="G58" s="359"/>
      <c r="H58" s="359"/>
    </row>
    <row r="59" spans="1:18" ht="15" customHeight="1" thickBot="1" x14ac:dyDescent="0.4"/>
    <row r="60" spans="1:18" x14ac:dyDescent="0.35">
      <c r="A60" s="308" t="s">
        <v>545</v>
      </c>
      <c r="B60" s="309"/>
      <c r="C60" s="309"/>
      <c r="D60" s="309"/>
      <c r="E60" s="309"/>
      <c r="F60" s="309"/>
      <c r="G60" s="309"/>
      <c r="H60" s="309"/>
      <c r="I60" s="309"/>
      <c r="J60" s="309"/>
      <c r="K60" s="309"/>
      <c r="L60" s="309"/>
      <c r="M60" s="309"/>
      <c r="N60" s="309"/>
      <c r="O60" s="309"/>
      <c r="P60" s="309"/>
      <c r="Q60" s="309"/>
      <c r="R60" s="291"/>
    </row>
    <row r="61" spans="1:18" x14ac:dyDescent="0.35">
      <c r="A61" s="310"/>
      <c r="B61" s="361" t="s">
        <v>343</v>
      </c>
      <c r="C61" s="361"/>
      <c r="D61" s="361"/>
      <c r="E61" s="367"/>
      <c r="F61" s="360" t="s">
        <v>542</v>
      </c>
      <c r="G61" s="361"/>
      <c r="H61" s="361"/>
      <c r="I61" s="361"/>
      <c r="J61" s="360" t="s">
        <v>543</v>
      </c>
      <c r="K61" s="361"/>
      <c r="L61" s="361"/>
      <c r="M61" s="361"/>
      <c r="N61" s="360" t="s">
        <v>544</v>
      </c>
      <c r="O61" s="361"/>
      <c r="P61" s="361"/>
      <c r="Q61" s="361"/>
      <c r="R61" s="362"/>
    </row>
    <row r="62" spans="1:18" ht="15" thickBot="1" x14ac:dyDescent="0.4">
      <c r="A62" s="311"/>
      <c r="B62" s="242" t="s">
        <v>60</v>
      </c>
      <c r="C62" s="239" t="s">
        <v>42</v>
      </c>
      <c r="D62" s="239" t="s">
        <v>47</v>
      </c>
      <c r="E62" s="239" t="s">
        <v>56</v>
      </c>
      <c r="F62" s="238" t="s">
        <v>60</v>
      </c>
      <c r="G62" s="239" t="s">
        <v>42</v>
      </c>
      <c r="H62" s="239" t="s">
        <v>47</v>
      </c>
      <c r="I62" s="239" t="s">
        <v>56</v>
      </c>
      <c r="J62" s="238" t="s">
        <v>60</v>
      </c>
      <c r="K62" s="239" t="s">
        <v>42</v>
      </c>
      <c r="L62" s="239" t="s">
        <v>47</v>
      </c>
      <c r="M62" s="239" t="s">
        <v>56</v>
      </c>
      <c r="N62" s="238" t="s">
        <v>60</v>
      </c>
      <c r="O62" s="242" t="s">
        <v>515</v>
      </c>
      <c r="P62" s="239" t="s">
        <v>42</v>
      </c>
      <c r="Q62" s="239" t="s">
        <v>47</v>
      </c>
      <c r="R62" s="240" t="s">
        <v>56</v>
      </c>
    </row>
    <row r="63" spans="1:18" x14ac:dyDescent="0.35">
      <c r="A63" s="70" t="s">
        <v>546</v>
      </c>
      <c r="B63">
        <f>D26</f>
        <v>412</v>
      </c>
      <c r="E63" s="334"/>
      <c r="F63">
        <f>E26</f>
        <v>2</v>
      </c>
      <c r="I63" s="334"/>
      <c r="J63">
        <f>F26</f>
        <v>0.20499999999999999</v>
      </c>
      <c r="M63" s="334"/>
      <c r="R63" s="3"/>
    </row>
    <row r="64" spans="1:18" x14ac:dyDescent="0.35">
      <c r="A64" s="116" t="s">
        <v>571</v>
      </c>
      <c r="C64" s="356">
        <f>D30</f>
        <v>66.816000000000003</v>
      </c>
      <c r="E64" s="223"/>
      <c r="G64" s="356">
        <f>E30</f>
        <v>0.37755648000000003</v>
      </c>
      <c r="I64" s="223"/>
      <c r="M64" s="223"/>
      <c r="R64" s="3"/>
    </row>
    <row r="65" spans="1:18" x14ac:dyDescent="0.35">
      <c r="A65" s="116" t="s">
        <v>572</v>
      </c>
      <c r="B65" s="356"/>
      <c r="E65" s="355">
        <f>D32</f>
        <v>26.88</v>
      </c>
      <c r="I65" s="355">
        <f>E32</f>
        <v>2.0136424243200002E-2</v>
      </c>
      <c r="M65" s="223"/>
      <c r="R65" s="3"/>
    </row>
    <row r="66" spans="1:18" ht="15" thickBot="1" x14ac:dyDescent="0.4">
      <c r="A66" s="72" t="s">
        <v>573</v>
      </c>
      <c r="B66" s="48"/>
      <c r="C66" s="48"/>
      <c r="D66" s="48"/>
      <c r="E66" s="357">
        <f>D33</f>
        <v>39.936</v>
      </c>
      <c r="F66" s="48"/>
      <c r="G66" s="48"/>
      <c r="H66" s="48"/>
      <c r="I66" s="357">
        <f>E33</f>
        <v>0.11326738636799999</v>
      </c>
      <c r="J66" s="48"/>
      <c r="K66" s="48"/>
      <c r="L66" s="48"/>
      <c r="M66" s="343"/>
      <c r="N66" s="48"/>
      <c r="O66" s="48"/>
      <c r="P66" s="48"/>
      <c r="Q66" s="48"/>
      <c r="R66" s="7"/>
    </row>
  </sheetData>
  <mergeCells count="7">
    <mergeCell ref="J61:M61"/>
    <mergeCell ref="N61:R61"/>
    <mergeCell ref="A30:A33"/>
    <mergeCell ref="A1:H1"/>
    <mergeCell ref="A58:H58"/>
    <mergeCell ref="B61:E61"/>
    <mergeCell ref="F61:I61"/>
  </mergeCells>
  <pageMargins left="0.7" right="0.7" top="0.75" bottom="0.75" header="0.3" footer="0.3"/>
  <drawing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R101"/>
  <sheetViews>
    <sheetView topLeftCell="A65" zoomScale="85" zoomScaleNormal="85" workbookViewId="0">
      <selection activeCell="A71" sqref="A71"/>
    </sheetView>
  </sheetViews>
  <sheetFormatPr defaultRowHeight="14.5" x14ac:dyDescent="0.35"/>
  <cols>
    <col min="1" max="1" width="41.81640625" customWidth="1"/>
    <col min="2" max="2" width="29.90625" bestFit="1" customWidth="1"/>
    <col min="3" max="3" width="25.36328125" bestFit="1" customWidth="1"/>
    <col min="4" max="4" width="23.54296875" bestFit="1" customWidth="1"/>
    <col min="5" max="5" width="23.90625" bestFit="1" customWidth="1"/>
    <col min="6" max="6" width="22" bestFit="1" customWidth="1"/>
    <col min="7" max="7" width="23.36328125" bestFit="1" customWidth="1"/>
    <col min="8" max="8" width="18.81640625" bestFit="1" customWidth="1"/>
    <col min="9" max="9" width="9.54296875" bestFit="1" customWidth="1"/>
    <col min="10" max="10" width="9.81640625" bestFit="1" customWidth="1"/>
    <col min="12" max="12" width="9.54296875" bestFit="1" customWidth="1"/>
    <col min="15" max="15" width="20" customWidth="1"/>
  </cols>
  <sheetData>
    <row r="1" spans="1:8" ht="26" customHeight="1" x14ac:dyDescent="0.6">
      <c r="A1" s="375" t="s">
        <v>0</v>
      </c>
      <c r="B1" s="359"/>
      <c r="C1" s="359"/>
      <c r="D1" s="359"/>
      <c r="E1" s="359"/>
      <c r="F1" s="359"/>
      <c r="G1" s="359"/>
      <c r="H1" s="359"/>
    </row>
    <row r="2" spans="1:8" x14ac:dyDescent="0.35">
      <c r="A2" s="91"/>
    </row>
    <row r="3" spans="1:8" ht="15" customHeight="1" thickBot="1" x14ac:dyDescent="0.4">
      <c r="A3" s="372" t="s">
        <v>1</v>
      </c>
      <c r="B3" s="359"/>
      <c r="C3" s="359"/>
    </row>
    <row r="4" spans="1:8" ht="15" customHeight="1" thickBot="1" x14ac:dyDescent="0.4">
      <c r="A4" s="293"/>
      <c r="B4" s="92" t="s">
        <v>2</v>
      </c>
      <c r="C4" s="93" t="s">
        <v>3</v>
      </c>
      <c r="E4" s="94" t="s">
        <v>4</v>
      </c>
    </row>
    <row r="5" spans="1:8" x14ac:dyDescent="0.35">
      <c r="A5" s="1" t="s">
        <v>5</v>
      </c>
      <c r="B5" s="2">
        <f>Assumptions!B8</f>
        <v>5</v>
      </c>
      <c r="C5" s="3" t="s">
        <v>578</v>
      </c>
      <c r="E5" s="4" t="s">
        <v>6</v>
      </c>
    </row>
    <row r="6" spans="1:8" ht="15" customHeight="1" thickBot="1" x14ac:dyDescent="0.4">
      <c r="A6" s="5" t="s">
        <v>8</v>
      </c>
      <c r="B6" s="6">
        <f>Assumptions!C17</f>
        <v>7.1</v>
      </c>
      <c r="C6" s="7" t="s">
        <v>580</v>
      </c>
      <c r="E6" s="8" t="s">
        <v>7</v>
      </c>
    </row>
    <row r="8" spans="1:8" s="88" customFormat="1" ht="15" customHeight="1" thickBot="1" x14ac:dyDescent="0.4"/>
    <row r="9" spans="1:8" ht="19" customHeight="1" thickBot="1" x14ac:dyDescent="0.5">
      <c r="A9" s="150" t="s">
        <v>9</v>
      </c>
      <c r="B9" s="151"/>
      <c r="C9" s="151"/>
      <c r="D9" s="151"/>
      <c r="E9" s="151"/>
      <c r="F9" s="151"/>
      <c r="G9" s="152"/>
    </row>
    <row r="10" spans="1:8" ht="15" customHeight="1" thickBot="1" x14ac:dyDescent="0.4">
      <c r="A10" s="47"/>
    </row>
    <row r="11" spans="1:8" ht="15" customHeight="1" x14ac:dyDescent="0.35">
      <c r="A11" s="376" t="s">
        <v>10</v>
      </c>
      <c r="B11" s="377"/>
      <c r="C11" s="378"/>
    </row>
    <row r="12" spans="1:8" ht="15" customHeight="1" x14ac:dyDescent="0.35">
      <c r="A12" s="379" t="s">
        <v>11</v>
      </c>
      <c r="B12" s="380"/>
      <c r="C12" s="381"/>
      <c r="D12" s="9"/>
    </row>
    <row r="13" spans="1:8" ht="15" customHeight="1" thickBot="1" x14ac:dyDescent="0.4">
      <c r="A13" s="153"/>
      <c r="B13" s="147" t="s">
        <v>2</v>
      </c>
      <c r="C13" s="148" t="s">
        <v>3</v>
      </c>
      <c r="D13" s="9"/>
    </row>
    <row r="14" spans="1:8" x14ac:dyDescent="0.35">
      <c r="A14" s="10" t="s">
        <v>12</v>
      </c>
      <c r="B14" s="146">
        <f>Assumptions!E17</f>
        <v>4</v>
      </c>
      <c r="C14" s="11" t="s">
        <v>13</v>
      </c>
      <c r="D14" s="9"/>
    </row>
    <row r="15" spans="1:8" ht="16.5" customHeight="1" x14ac:dyDescent="0.35">
      <c r="A15" s="12" t="s">
        <v>14</v>
      </c>
      <c r="B15" s="22">
        <f>(131.35*28)/1000</f>
        <v>3.6777999999999995</v>
      </c>
      <c r="C15" s="11" t="s">
        <v>508</v>
      </c>
      <c r="D15" s="9"/>
    </row>
    <row r="16" spans="1:8" ht="16.5" customHeight="1" x14ac:dyDescent="0.35">
      <c r="A16" s="12" t="s">
        <v>15</v>
      </c>
      <c r="B16" s="14">
        <v>19.2</v>
      </c>
      <c r="C16" s="11" t="s">
        <v>509</v>
      </c>
      <c r="D16" s="9"/>
    </row>
    <row r="17" spans="1:8" x14ac:dyDescent="0.35">
      <c r="A17" s="12" t="s">
        <v>16</v>
      </c>
      <c r="B17" s="13">
        <f>B15/B16</f>
        <v>0.19155208333333332</v>
      </c>
      <c r="C17" s="11" t="s">
        <v>17</v>
      </c>
      <c r="D17" s="9"/>
    </row>
    <row r="18" spans="1:8" x14ac:dyDescent="0.35">
      <c r="A18" s="12" t="s">
        <v>18</v>
      </c>
      <c r="B18" s="13">
        <f>B5*(1/B6)</f>
        <v>0.70422535211267612</v>
      </c>
      <c r="C18" s="11" t="s">
        <v>19</v>
      </c>
      <c r="D18" s="9"/>
    </row>
    <row r="19" spans="1:8" x14ac:dyDescent="0.35">
      <c r="A19" s="12" t="s">
        <v>20</v>
      </c>
      <c r="B19" s="15">
        <f>ROUNDUP(B18/B17,0)</f>
        <v>4</v>
      </c>
      <c r="C19" s="11" t="s">
        <v>21</v>
      </c>
      <c r="D19" s="9"/>
    </row>
    <row r="20" spans="1:8" ht="29" customHeight="1" x14ac:dyDescent="0.35">
      <c r="A20" s="16" t="s">
        <v>22</v>
      </c>
      <c r="B20" s="17">
        <f>B17*B19</f>
        <v>0.76620833333333327</v>
      </c>
      <c r="C20" s="18" t="s">
        <v>19</v>
      </c>
      <c r="D20" s="19"/>
      <c r="E20" s="20"/>
      <c r="F20" s="20"/>
    </row>
    <row r="21" spans="1:8" ht="17" customHeight="1" thickBot="1" x14ac:dyDescent="0.4">
      <c r="A21" s="12" t="s">
        <v>23</v>
      </c>
      <c r="B21" s="13">
        <f>B20/B15</f>
        <v>0.20833333333333334</v>
      </c>
      <c r="C21" s="11" t="s">
        <v>510</v>
      </c>
      <c r="D21" s="19"/>
      <c r="E21" s="20"/>
      <c r="F21" s="20"/>
    </row>
    <row r="22" spans="1:8" ht="15" customHeight="1" x14ac:dyDescent="0.35">
      <c r="A22" s="382" t="s">
        <v>24</v>
      </c>
      <c r="B22" s="383"/>
      <c r="C22" s="384"/>
      <c r="D22" s="9"/>
    </row>
    <row r="23" spans="1:8" ht="15" customHeight="1" thickBot="1" x14ac:dyDescent="0.4">
      <c r="A23" s="171"/>
      <c r="B23" s="147" t="s">
        <v>2</v>
      </c>
      <c r="C23" s="148" t="s">
        <v>3</v>
      </c>
      <c r="D23" s="9"/>
      <c r="G23" s="20"/>
      <c r="H23" s="20"/>
    </row>
    <row r="24" spans="1:8" x14ac:dyDescent="0.35">
      <c r="A24" s="12" t="s">
        <v>25</v>
      </c>
      <c r="B24" s="21">
        <f>B19*B14</f>
        <v>16</v>
      </c>
      <c r="C24" s="11" t="s">
        <v>26</v>
      </c>
      <c r="D24" s="9"/>
      <c r="G24" s="20"/>
      <c r="H24" s="20"/>
    </row>
    <row r="25" spans="1:8" x14ac:dyDescent="0.35">
      <c r="A25" s="12" t="s">
        <v>27</v>
      </c>
      <c r="B25" s="22">
        <f>B17*B24</f>
        <v>3.0648333333333331</v>
      </c>
      <c r="C25" s="11" t="s">
        <v>28</v>
      </c>
      <c r="D25" s="9"/>
      <c r="G25" s="20"/>
      <c r="H25" s="20"/>
    </row>
    <row r="26" spans="1:8" ht="17" customHeight="1" thickBot="1" x14ac:dyDescent="0.4">
      <c r="A26" s="5" t="s">
        <v>23</v>
      </c>
      <c r="B26" s="23">
        <f>B25/B15</f>
        <v>0.83333333333333337</v>
      </c>
      <c r="C26" s="24" t="s">
        <v>510</v>
      </c>
      <c r="D26" s="9"/>
      <c r="G26" s="20"/>
      <c r="H26" s="20"/>
    </row>
    <row r="27" spans="1:8" ht="15" customHeight="1" thickBot="1" x14ac:dyDescent="0.4">
      <c r="B27" s="15"/>
      <c r="C27" s="15"/>
    </row>
    <row r="28" spans="1:8" ht="15" customHeight="1" x14ac:dyDescent="0.35">
      <c r="A28" s="155" t="s">
        <v>29</v>
      </c>
      <c r="B28" s="156"/>
      <c r="C28" s="156"/>
      <c r="D28" s="156"/>
      <c r="E28" s="156"/>
      <c r="F28" s="156"/>
      <c r="G28" s="157"/>
    </row>
    <row r="29" spans="1:8" ht="17" customHeight="1" thickBot="1" x14ac:dyDescent="0.5">
      <c r="A29" s="154" t="s">
        <v>30</v>
      </c>
      <c r="B29" s="147" t="s">
        <v>31</v>
      </c>
      <c r="C29" s="147" t="s">
        <v>32</v>
      </c>
      <c r="D29" s="147" t="s">
        <v>33</v>
      </c>
      <c r="E29" s="147" t="s">
        <v>498</v>
      </c>
      <c r="F29" s="147" t="s">
        <v>499</v>
      </c>
      <c r="G29" s="148" t="s">
        <v>34</v>
      </c>
    </row>
    <row r="30" spans="1:8" x14ac:dyDescent="0.35">
      <c r="A30" s="373" t="s">
        <v>512</v>
      </c>
      <c r="B30" t="s">
        <v>36</v>
      </c>
      <c r="C30" s="15">
        <v>1</v>
      </c>
      <c r="D30" s="25">
        <f>(101.5-22.9-8.4)*B26</f>
        <v>58.499999999999993</v>
      </c>
      <c r="E30" s="25">
        <f>(1.03-0.25)*B26</f>
        <v>0.65</v>
      </c>
      <c r="F30" s="26">
        <f>(2.6-2.1-0.075)*B26</f>
        <v>0.35416666666666669</v>
      </c>
      <c r="G30" s="27"/>
    </row>
    <row r="31" spans="1:8" x14ac:dyDescent="0.35">
      <c r="A31" s="374"/>
      <c r="B31" s="28" t="s">
        <v>37</v>
      </c>
      <c r="C31" s="29">
        <f>ROUNDUP(B26*9,0)</f>
        <v>8</v>
      </c>
      <c r="D31" s="30">
        <f>0.243*C31</f>
        <v>1.944</v>
      </c>
      <c r="E31" s="31">
        <f>(0.3*0.3*0.001)*C31</f>
        <v>7.1999999999999994E-4</v>
      </c>
      <c r="F31" s="31">
        <f>50.7*C31*(1/1000)</f>
        <v>0.40560000000000002</v>
      </c>
      <c r="G31" s="32"/>
    </row>
    <row r="32" spans="1:8" ht="15" customHeight="1" thickBot="1" x14ac:dyDescent="0.4">
      <c r="A32" s="385" t="s">
        <v>513</v>
      </c>
      <c r="B32" s="38" t="s">
        <v>546</v>
      </c>
      <c r="C32" s="34">
        <f>IF((0.003785*C34*2) &lt;= 0.0187, 1, CEILING((0.003785*C34*2)/0.0187, 1))</f>
        <v>2</v>
      </c>
      <c r="D32" s="35">
        <f>0.75*B20*C32</f>
        <v>1.1493125</v>
      </c>
      <c r="E32" s="36">
        <f>0.00393*B20*C32</f>
        <v>6.0223975000000003E-3</v>
      </c>
      <c r="F32" s="35">
        <f>0.00033*B20*C32</f>
        <v>5.056975E-4</v>
      </c>
      <c r="G32" s="37"/>
    </row>
    <row r="33" spans="1:8" x14ac:dyDescent="0.35">
      <c r="A33" s="386"/>
      <c r="B33" s="328" t="s">
        <v>39</v>
      </c>
      <c r="C33" s="39">
        <f>IF(F46 &lt;= 2, 1, CEILING(F46 / 2, 1))</f>
        <v>1</v>
      </c>
      <c r="D33" s="26">
        <f>0.20411*C33/Assumptions!$B$5</f>
        <v>3.4018333333333338E-2</v>
      </c>
      <c r="E33" s="26">
        <f>0.00064416*C33/Assumptions!$B$5</f>
        <v>1.0735999999999999E-4</v>
      </c>
      <c r="F33" s="40"/>
      <c r="G33" s="41"/>
      <c r="H33" t="s">
        <v>525</v>
      </c>
    </row>
    <row r="34" spans="1:8" ht="15" customHeight="1" thickBot="1" x14ac:dyDescent="0.4">
      <c r="A34" s="365"/>
      <c r="B34" s="42" t="s">
        <v>40</v>
      </c>
      <c r="C34" s="43">
        <f>ROUNDUP(B20/(85*0.003785),0)</f>
        <v>3</v>
      </c>
      <c r="D34" s="44">
        <f>(7.62/250)*(0.45359/1)*C34</f>
        <v>4.1476269599999997E-2</v>
      </c>
      <c r="E34" s="44">
        <f>(10.5*11*0.00394)*0.00001639*C34</f>
        <v>2.23757919E-5</v>
      </c>
      <c r="F34" s="45"/>
      <c r="G34" s="46"/>
    </row>
    <row r="35" spans="1:8" ht="15" customHeight="1" thickBot="1" x14ac:dyDescent="0.4"/>
    <row r="36" spans="1:8" ht="15" customHeight="1" x14ac:dyDescent="0.35">
      <c r="A36" s="387" t="s">
        <v>41</v>
      </c>
      <c r="B36" s="383"/>
      <c r="C36" s="159"/>
      <c r="D36" s="159"/>
      <c r="E36" s="158"/>
      <c r="F36" s="160"/>
    </row>
    <row r="37" spans="1:8" ht="17" customHeight="1" thickBot="1" x14ac:dyDescent="0.5">
      <c r="A37" s="166" t="s">
        <v>30</v>
      </c>
      <c r="B37" s="167" t="s">
        <v>42</v>
      </c>
      <c r="C37" s="167" t="s">
        <v>33</v>
      </c>
      <c r="D37" s="147" t="s">
        <v>498</v>
      </c>
      <c r="E37" s="167" t="s">
        <v>499</v>
      </c>
      <c r="F37" s="168" t="s">
        <v>34</v>
      </c>
    </row>
    <row r="38" spans="1:8" ht="15" customHeight="1" thickBot="1" x14ac:dyDescent="0.4">
      <c r="A38" s="371" t="s">
        <v>35</v>
      </c>
      <c r="B38" t="s">
        <v>43</v>
      </c>
      <c r="C38" s="26">
        <f>B19*(1.01/1000000)</f>
        <v>4.0400000000000003E-6</v>
      </c>
      <c r="D38" s="26">
        <f>((4.57*1.524*0.5)/(1000^3))*B19</f>
        <v>1.3929360000000001E-8</v>
      </c>
      <c r="E38" s="49"/>
      <c r="F38" s="50">
        <f>B19*(1/10)*(1/60)*1.5</f>
        <v>0.01</v>
      </c>
    </row>
    <row r="39" spans="1:8" x14ac:dyDescent="0.35">
      <c r="A39" s="364"/>
      <c r="B39" t="s">
        <v>44</v>
      </c>
      <c r="C39" s="26">
        <f>D39*1000</f>
        <v>14.478333333333333</v>
      </c>
      <c r="D39" s="25">
        <f>(7.3*B21*28)*0.34*0.001</f>
        <v>1.4478333333333334E-2</v>
      </c>
      <c r="E39" s="49"/>
      <c r="F39" s="50">
        <f>90*4*(1/60)*(1/12.5)*(1/365)*28*B21*1.5</f>
        <v>1.1506849315068495E-2</v>
      </c>
      <c r="G39" s="51"/>
    </row>
    <row r="40" spans="1:8" x14ac:dyDescent="0.35">
      <c r="A40" s="364"/>
      <c r="B40" t="s">
        <v>45</v>
      </c>
      <c r="C40" s="26">
        <f>(1.166+(12.406*3))*(1/1000)*D39*1000</f>
        <v>0.55573634666666671</v>
      </c>
      <c r="D40" s="52"/>
      <c r="E40" s="49"/>
      <c r="F40" s="50">
        <f>(20.17/10)*(1/60)*(1/12.5)*B21*28*1.5</f>
        <v>2.3531666666666669E-2</v>
      </c>
    </row>
    <row r="41" spans="1:8" x14ac:dyDescent="0.35">
      <c r="A41" s="364"/>
      <c r="B41" t="s">
        <v>46</v>
      </c>
      <c r="C41" s="26">
        <f>(10.7*B21*28)/1000</f>
        <v>6.2416666666666662E-2</v>
      </c>
      <c r="D41" s="30">
        <f>C41/1.82</f>
        <v>3.4294871794871791E-2</v>
      </c>
      <c r="E41" s="49"/>
      <c r="F41" s="53">
        <f>2.13*365*(1/60)*(1/365)*28*1.5</f>
        <v>1.4909999999999999</v>
      </c>
      <c r="G41" s="51"/>
    </row>
    <row r="42" spans="1:8" ht="16.5" customHeight="1" x14ac:dyDescent="0.45">
      <c r="A42" s="364"/>
      <c r="B42" s="161" t="s">
        <v>47</v>
      </c>
      <c r="C42" s="162" t="s">
        <v>33</v>
      </c>
      <c r="D42" s="162" t="s">
        <v>498</v>
      </c>
      <c r="E42" s="162" t="s">
        <v>499</v>
      </c>
      <c r="F42" s="163" t="s">
        <v>34</v>
      </c>
    </row>
    <row r="43" spans="1:8" x14ac:dyDescent="0.35">
      <c r="A43" s="364"/>
      <c r="B43" s="38" t="s">
        <v>48</v>
      </c>
      <c r="C43" s="26">
        <f>7.78*B21*28*(1/1000)</f>
        <v>4.5383333333333331E-2</v>
      </c>
      <c r="D43" s="26">
        <f>C43*(1/1.3)</f>
        <v>3.4910256410256406E-2</v>
      </c>
      <c r="E43" s="49"/>
      <c r="F43" s="54"/>
    </row>
    <row r="44" spans="1:8" ht="15" customHeight="1" thickBot="1" x14ac:dyDescent="0.4">
      <c r="A44" s="365"/>
      <c r="B44" s="38" t="s">
        <v>49</v>
      </c>
      <c r="C44" s="26">
        <f>2.1*B21*28</f>
        <v>12.250000000000002</v>
      </c>
      <c r="D44" s="30">
        <f>C44*(1/1000)</f>
        <v>1.2250000000000002E-2</v>
      </c>
      <c r="E44" s="49"/>
      <c r="F44" s="54"/>
    </row>
    <row r="45" spans="1:8" ht="17" customHeight="1" x14ac:dyDescent="0.45">
      <c r="A45" s="149" t="s">
        <v>30</v>
      </c>
      <c r="B45" s="162" t="s">
        <v>47</v>
      </c>
      <c r="C45" s="162" t="s">
        <v>33</v>
      </c>
      <c r="D45" s="162" t="s">
        <v>498</v>
      </c>
      <c r="E45" s="162" t="s">
        <v>499</v>
      </c>
      <c r="F45" s="163" t="s">
        <v>34</v>
      </c>
    </row>
    <row r="46" spans="1:8" ht="15" customHeight="1" thickBot="1" x14ac:dyDescent="0.4">
      <c r="A46" s="371" t="s">
        <v>38</v>
      </c>
      <c r="B46" s="38" t="s">
        <v>50</v>
      </c>
      <c r="C46" s="26">
        <f>B5*(1/1000000)</f>
        <v>4.9999999999999996E-6</v>
      </c>
      <c r="D46" s="49"/>
      <c r="E46" s="49"/>
      <c r="F46" s="368">
        <f>(3.97*B21)*(1/60)*1.5</f>
        <v>2.0677083333333332E-2</v>
      </c>
      <c r="G46" s="56"/>
    </row>
    <row r="47" spans="1:8" x14ac:dyDescent="0.35">
      <c r="A47" s="364"/>
      <c r="B47" s="38" t="s">
        <v>51</v>
      </c>
      <c r="C47" s="25">
        <f>(B15*B21)-C48</f>
        <v>7.662083333333336E-2</v>
      </c>
      <c r="D47" s="26">
        <f>C47*(1/368)</f>
        <v>2.0820878623188413E-4</v>
      </c>
      <c r="E47" s="49"/>
      <c r="F47" s="369"/>
    </row>
    <row r="48" spans="1:8" x14ac:dyDescent="0.35">
      <c r="A48" s="364"/>
      <c r="B48" s="38" t="s">
        <v>52</v>
      </c>
      <c r="C48" s="26">
        <f>B20*0.9</f>
        <v>0.68958749999999991</v>
      </c>
      <c r="D48" s="26">
        <f>C48*(1/1000)</f>
        <v>6.8958749999999992E-4</v>
      </c>
      <c r="E48" s="49"/>
      <c r="F48" s="369"/>
    </row>
    <row r="49" spans="1:8" x14ac:dyDescent="0.35">
      <c r="A49" s="364"/>
      <c r="B49" s="38" t="s">
        <v>53</v>
      </c>
      <c r="C49" s="49"/>
      <c r="D49" s="49"/>
      <c r="E49" s="25">
        <f>((((B20*17)/0.1)*1000*4.184)/(7*24*3600))/1000</f>
        <v>9.0110559413580222E-4</v>
      </c>
      <c r="F49" s="369"/>
    </row>
    <row r="50" spans="1:8" x14ac:dyDescent="0.35">
      <c r="A50" s="364"/>
      <c r="B50" s="38" t="s">
        <v>54</v>
      </c>
      <c r="C50" s="26">
        <f>((0.74+0.07+3.37+0.12+0.32)/0.1)*B20*(1/1000)</f>
        <v>3.5398824999999995E-2</v>
      </c>
      <c r="D50" s="49"/>
      <c r="E50" s="49"/>
      <c r="F50" s="369"/>
    </row>
    <row r="51" spans="1:8" x14ac:dyDescent="0.35">
      <c r="A51" s="364"/>
      <c r="B51" s="38" t="s">
        <v>55</v>
      </c>
      <c r="C51" s="26">
        <f>((14+0.03+6.3+19+139+16+0.17+0.033+0.082+0.056+0.218+0.04+0.0205)/0.1)*B20*(1/1000000)</f>
        <v>1.4937193147916662E-3</v>
      </c>
      <c r="D51" s="49"/>
      <c r="E51" s="49"/>
      <c r="F51" s="370"/>
    </row>
    <row r="52" spans="1:8" ht="16.5" customHeight="1" x14ac:dyDescent="0.45">
      <c r="A52" s="364"/>
      <c r="B52" s="161" t="s">
        <v>56</v>
      </c>
      <c r="C52" s="162" t="s">
        <v>33</v>
      </c>
      <c r="D52" s="162" t="s">
        <v>498</v>
      </c>
      <c r="E52" s="162" t="s">
        <v>499</v>
      </c>
      <c r="F52" s="163" t="s">
        <v>34</v>
      </c>
    </row>
    <row r="53" spans="1:8" ht="15" customHeight="1" thickBot="1" x14ac:dyDescent="0.4">
      <c r="A53" s="365"/>
      <c r="B53" s="42" t="s">
        <v>57</v>
      </c>
      <c r="C53" s="44">
        <f>(7.3/1000)*B21*28</f>
        <v>4.2583333333333334E-2</v>
      </c>
      <c r="D53" s="44">
        <f>C53*(1/60)</f>
        <v>7.0972222222222226E-4</v>
      </c>
      <c r="E53" s="55"/>
      <c r="F53" s="57"/>
    </row>
    <row r="54" spans="1:8" ht="15" customHeight="1" thickBot="1" x14ac:dyDescent="0.4"/>
    <row r="55" spans="1:8" x14ac:dyDescent="0.35">
      <c r="A55" s="170" t="s">
        <v>58</v>
      </c>
      <c r="B55" s="158"/>
      <c r="C55" s="158"/>
      <c r="D55" s="158"/>
      <c r="E55" s="214"/>
      <c r="F55" s="222"/>
    </row>
    <row r="56" spans="1:8" ht="15" customHeight="1" thickBot="1" x14ac:dyDescent="0.4">
      <c r="A56" s="154" t="s">
        <v>59</v>
      </c>
      <c r="B56" s="147" t="s">
        <v>60</v>
      </c>
      <c r="C56" s="147" t="s">
        <v>61</v>
      </c>
      <c r="D56" s="147" t="s">
        <v>62</v>
      </c>
      <c r="E56" s="162" t="s">
        <v>63</v>
      </c>
      <c r="F56" s="220" t="s">
        <v>515</v>
      </c>
    </row>
    <row r="57" spans="1:8" x14ac:dyDescent="0.35">
      <c r="A57" s="58" t="s">
        <v>33</v>
      </c>
      <c r="B57" s="26">
        <f>SUM(D30:D34)</f>
        <v>61.668807102933329</v>
      </c>
      <c r="C57" s="26">
        <f>C38+(C40/4*4)+(C41/4*4)</f>
        <v>0.61815705333333337</v>
      </c>
      <c r="D57" s="59"/>
      <c r="E57" s="26">
        <f>SUM((C43/4*4),C46,C47,C48,C50,C51)</f>
        <v>0.84848921098145835</v>
      </c>
      <c r="F57" s="215"/>
      <c r="H57" s="15"/>
    </row>
    <row r="58" spans="1:8" ht="16.5" x14ac:dyDescent="0.35">
      <c r="A58" s="58" t="s">
        <v>498</v>
      </c>
      <c r="B58" s="26">
        <f>SUM(E30:E34)</f>
        <v>0.65687213329190008</v>
      </c>
      <c r="C58" s="26">
        <f>D38+(D41/4*4)</f>
        <v>3.429488572423179E-2</v>
      </c>
      <c r="D58" s="52"/>
      <c r="E58" s="26">
        <f>SUM((D43/4*4),(D44/4*4),D47,D48)</f>
        <v>4.8058052696488295E-2</v>
      </c>
      <c r="F58" s="215"/>
      <c r="H58" s="15"/>
    </row>
    <row r="59" spans="1:8" ht="16.5" x14ac:dyDescent="0.45">
      <c r="A59" s="58" t="s">
        <v>499</v>
      </c>
      <c r="B59" s="26">
        <f>SUM(F30:F32)</f>
        <v>0.76027236416666666</v>
      </c>
      <c r="C59" s="60"/>
      <c r="D59" s="49"/>
      <c r="E59" s="26">
        <f>E49</f>
        <v>9.0110559413580222E-4</v>
      </c>
      <c r="F59" s="216"/>
      <c r="H59" s="15"/>
    </row>
    <row r="60" spans="1:8" ht="16.5" x14ac:dyDescent="0.45">
      <c r="A60" s="58" t="s">
        <v>500</v>
      </c>
      <c r="B60" s="26">
        <f>SUM(F30:F32)</f>
        <v>0.76027236416666666</v>
      </c>
      <c r="C60" s="49"/>
      <c r="D60" s="59"/>
      <c r="E60" s="49"/>
      <c r="F60" s="216"/>
      <c r="H60" s="39"/>
    </row>
    <row r="61" spans="1:8" x14ac:dyDescent="0.35">
      <c r="A61" s="58" t="s">
        <v>511</v>
      </c>
      <c r="B61" s="213">
        <f>+SUM(G30:G34)</f>
        <v>0</v>
      </c>
      <c r="C61" s="62"/>
      <c r="D61" s="62"/>
      <c r="E61" s="62"/>
      <c r="F61" s="217">
        <f>+F46+SUM(F38,(F39/4*4),(F40/4*4),F41/4)</f>
        <v>0.43846559931506851</v>
      </c>
      <c r="G61" s="51"/>
      <c r="H61" s="39"/>
    </row>
    <row r="62" spans="1:8" x14ac:dyDescent="0.35">
      <c r="A62" s="64" t="s">
        <v>65</v>
      </c>
      <c r="B62" s="65"/>
      <c r="C62" s="221">
        <v>0</v>
      </c>
      <c r="D62" s="49"/>
      <c r="E62" s="26">
        <f>B20</f>
        <v>0.76620833333333327</v>
      </c>
      <c r="F62" s="216"/>
      <c r="H62" s="15"/>
    </row>
    <row r="63" spans="1:8" x14ac:dyDescent="0.35">
      <c r="A63" s="58" t="s">
        <v>66</v>
      </c>
      <c r="B63" s="26">
        <f>C63-C44-C48</f>
        <v>1.5387458333333317</v>
      </c>
      <c r="C63" s="26">
        <f>(C39/4*4)</f>
        <v>14.478333333333333</v>
      </c>
      <c r="D63" s="49"/>
      <c r="E63" s="26">
        <f>C44/4*4</f>
        <v>12.250000000000002</v>
      </c>
      <c r="F63" s="216"/>
      <c r="H63" s="15"/>
    </row>
    <row r="64" spans="1:8" ht="15" customHeight="1" thickBot="1" x14ac:dyDescent="0.4">
      <c r="A64" s="66" t="s">
        <v>67</v>
      </c>
      <c r="B64" s="67"/>
      <c r="C64" s="67"/>
      <c r="D64" s="44">
        <f>C53</f>
        <v>4.2583333333333334E-2</v>
      </c>
      <c r="E64" s="218"/>
      <c r="F64" s="219"/>
      <c r="H64" s="15"/>
    </row>
    <row r="65" spans="1:8" ht="15" customHeight="1" thickBot="1" x14ac:dyDescent="0.4"/>
    <row r="66" spans="1:8" ht="15" customHeight="1" x14ac:dyDescent="0.35">
      <c r="A66" s="170" t="s">
        <v>68</v>
      </c>
      <c r="B66" s="159"/>
      <c r="C66" s="159"/>
      <c r="D66" s="159"/>
      <c r="E66" s="159"/>
      <c r="F66" s="159"/>
      <c r="G66" s="158"/>
      <c r="H66" s="160"/>
    </row>
    <row r="67" spans="1:8" ht="19" customHeight="1" thickBot="1" x14ac:dyDescent="0.4">
      <c r="A67" s="154" t="s">
        <v>69</v>
      </c>
      <c r="B67" s="147" t="s">
        <v>70</v>
      </c>
      <c r="C67" s="147" t="s">
        <v>71</v>
      </c>
      <c r="D67" s="147" t="s">
        <v>72</v>
      </c>
      <c r="E67" s="147" t="s">
        <v>73</v>
      </c>
      <c r="F67" s="147" t="s">
        <v>74</v>
      </c>
      <c r="G67" s="147" t="s">
        <v>75</v>
      </c>
      <c r="H67" s="148" t="s">
        <v>76</v>
      </c>
    </row>
    <row r="68" spans="1:8" ht="15" customHeight="1" thickBot="1" x14ac:dyDescent="0.4">
      <c r="A68" s="68" t="s">
        <v>484</v>
      </c>
      <c r="B68" s="69">
        <f>Assumptions!B13</f>
        <v>79.3</v>
      </c>
      <c r="C68" s="69">
        <f>Assumptions!C13</f>
        <v>162</v>
      </c>
      <c r="D68" s="69">
        <f>Assumptions!D13</f>
        <v>96</v>
      </c>
      <c r="E68" s="69">
        <f>Assumptions!E13</f>
        <v>0.21</v>
      </c>
      <c r="F68" s="69">
        <f>Assumptions!F13</f>
        <v>0.93</v>
      </c>
      <c r="G68" s="69">
        <f>Assumptions!G13</f>
        <v>0.3</v>
      </c>
      <c r="H68" s="206">
        <f>Assumptions!H13</f>
        <v>0.94</v>
      </c>
    </row>
    <row r="69" spans="1:8" ht="15" customHeight="1" thickBot="1" x14ac:dyDescent="0.4">
      <c r="B69" s="15"/>
      <c r="C69" s="15"/>
      <c r="D69" s="15"/>
      <c r="E69" s="15"/>
      <c r="F69" s="15"/>
    </row>
    <row r="70" spans="1:8" x14ac:dyDescent="0.35">
      <c r="A70" s="70" t="s">
        <v>78</v>
      </c>
      <c r="B70" s="71">
        <v>1</v>
      </c>
      <c r="C70" s="15"/>
      <c r="D70" s="26"/>
      <c r="E70" s="26"/>
      <c r="F70" s="26"/>
    </row>
    <row r="71" spans="1:8" ht="15" customHeight="1" thickBot="1" x14ac:dyDescent="0.4">
      <c r="A71" s="72" t="s">
        <v>582</v>
      </c>
      <c r="B71" s="73">
        <f>B70*Assumptions!B7</f>
        <v>86</v>
      </c>
      <c r="C71" s="15"/>
      <c r="D71" s="15"/>
      <c r="E71" s="15"/>
      <c r="F71" s="15"/>
    </row>
    <row r="72" spans="1:8" ht="15" customHeight="1" thickBot="1" x14ac:dyDescent="0.4">
      <c r="B72" s="15"/>
      <c r="C72" s="15"/>
      <c r="D72" s="15"/>
      <c r="E72" s="15"/>
      <c r="F72" s="15"/>
    </row>
    <row r="73" spans="1:8" ht="17" customHeight="1" thickBot="1" x14ac:dyDescent="0.4">
      <c r="A73" s="164" t="s">
        <v>79</v>
      </c>
      <c r="B73" s="145" t="s">
        <v>80</v>
      </c>
    </row>
    <row r="74" spans="1:8" x14ac:dyDescent="0.35">
      <c r="A74" s="74" t="s">
        <v>60</v>
      </c>
      <c r="B74" s="231">
        <f>B57+(B58*B68)+(B59*C68)+(B60*D68)+(B63*G68)+(B61*H68)</f>
        <v>310.370660977981</v>
      </c>
      <c r="C74" s="89"/>
      <c r="D74" s="89"/>
    </row>
    <row r="75" spans="1:8" x14ac:dyDescent="0.35">
      <c r="A75" s="74" t="s">
        <v>515</v>
      </c>
      <c r="B75" s="231">
        <f>+F61*H68*B71</f>
        <v>35.445559048630138</v>
      </c>
      <c r="C75" s="89"/>
      <c r="D75" s="89"/>
    </row>
    <row r="76" spans="1:8" x14ac:dyDescent="0.35">
      <c r="A76" s="74" t="s">
        <v>81</v>
      </c>
      <c r="B76" s="232">
        <f>B71*(C57+(C58*B68)+(C62*E68)+(C63*G68))</f>
        <v>660.58676824878262</v>
      </c>
      <c r="C76" s="51"/>
    </row>
    <row r="77" spans="1:8" x14ac:dyDescent="0.35">
      <c r="A77" s="74" t="s">
        <v>82</v>
      </c>
      <c r="B77" s="232">
        <f>B71*((D64*F68))</f>
        <v>3.4058150000000005</v>
      </c>
    </row>
    <row r="78" spans="1:8" x14ac:dyDescent="0.35">
      <c r="A78" s="75" t="s">
        <v>83</v>
      </c>
      <c r="B78" s="233">
        <f>B71*(E57+(E58*B68)+(E59*C68)-(E62*E68)+(E63*G68))</f>
        <v>715.48286056141615</v>
      </c>
    </row>
    <row r="79" spans="1:8" ht="17" customHeight="1" thickBot="1" x14ac:dyDescent="0.5">
      <c r="A79" s="76" t="s">
        <v>527</v>
      </c>
      <c r="B79" s="234">
        <f>B74+B75+B76+B77-B78</f>
        <v>294.3259427139775</v>
      </c>
    </row>
    <row r="81" spans="1:18" s="88" customFormat="1" ht="15" customHeight="1" x14ac:dyDescent="0.35"/>
    <row r="82" spans="1:18" ht="15" customHeight="1" thickBot="1" x14ac:dyDescent="0.4"/>
    <row r="83" spans="1:18" x14ac:dyDescent="0.35">
      <c r="A83" s="308" t="s">
        <v>545</v>
      </c>
      <c r="B83" s="309"/>
      <c r="C83" s="309"/>
      <c r="D83" s="309"/>
      <c r="E83" s="309"/>
      <c r="F83" s="309"/>
      <c r="G83" s="309"/>
      <c r="H83" s="309"/>
      <c r="I83" s="309"/>
      <c r="J83" s="309"/>
      <c r="K83" s="309"/>
      <c r="L83" s="309"/>
      <c r="M83" s="309"/>
      <c r="N83" s="309"/>
      <c r="O83" s="309"/>
      <c r="P83" s="309"/>
      <c r="Q83" s="309"/>
      <c r="R83" s="291"/>
    </row>
    <row r="84" spans="1:18" x14ac:dyDescent="0.35">
      <c r="A84" s="310"/>
      <c r="B84" s="398" t="s">
        <v>343</v>
      </c>
      <c r="C84" s="399"/>
      <c r="D84" s="399"/>
      <c r="E84" s="400"/>
      <c r="F84" s="360" t="s">
        <v>542</v>
      </c>
      <c r="G84" s="361"/>
      <c r="H84" s="361"/>
      <c r="I84" s="361"/>
      <c r="J84" s="360" t="s">
        <v>543</v>
      </c>
      <c r="K84" s="361"/>
      <c r="L84" s="361"/>
      <c r="M84" s="361"/>
      <c r="N84" s="360" t="s">
        <v>544</v>
      </c>
      <c r="O84" s="361"/>
      <c r="P84" s="361"/>
      <c r="Q84" s="361"/>
      <c r="R84" s="362"/>
    </row>
    <row r="85" spans="1:18" ht="15" thickBot="1" x14ac:dyDescent="0.4">
      <c r="A85" s="311"/>
      <c r="B85" s="242" t="s">
        <v>60</v>
      </c>
      <c r="C85" s="239" t="s">
        <v>42</v>
      </c>
      <c r="D85" s="239" t="s">
        <v>47</v>
      </c>
      <c r="E85" s="239" t="s">
        <v>56</v>
      </c>
      <c r="F85" s="238" t="s">
        <v>60</v>
      </c>
      <c r="G85" s="239" t="s">
        <v>42</v>
      </c>
      <c r="H85" s="239" t="s">
        <v>47</v>
      </c>
      <c r="I85" s="239" t="s">
        <v>56</v>
      </c>
      <c r="J85" s="238" t="s">
        <v>60</v>
      </c>
      <c r="K85" s="239" t="s">
        <v>42</v>
      </c>
      <c r="L85" s="239" t="s">
        <v>47</v>
      </c>
      <c r="M85" s="239" t="s">
        <v>56</v>
      </c>
      <c r="N85" s="238" t="s">
        <v>60</v>
      </c>
      <c r="O85" s="242" t="s">
        <v>515</v>
      </c>
      <c r="P85" s="239" t="s">
        <v>42</v>
      </c>
      <c r="Q85" s="239" t="s">
        <v>47</v>
      </c>
      <c r="R85" s="240" t="s">
        <v>56</v>
      </c>
    </row>
    <row r="86" spans="1:18" x14ac:dyDescent="0.35">
      <c r="A86" s="58" t="s">
        <v>539</v>
      </c>
      <c r="B86" s="51">
        <f>D34</f>
        <v>4.1476269599999997E-2</v>
      </c>
      <c r="F86" s="241">
        <f>E34</f>
        <v>2.23757919E-5</v>
      </c>
      <c r="J86" s="241"/>
      <c r="N86" s="237"/>
      <c r="R86" s="86"/>
    </row>
    <row r="87" spans="1:18" x14ac:dyDescent="0.35">
      <c r="A87" s="58" t="s">
        <v>540</v>
      </c>
      <c r="B87" s="51">
        <f>D33</f>
        <v>3.4018333333333338E-2</v>
      </c>
      <c r="F87" s="241">
        <f>E33</f>
        <v>1.0735999999999999E-4</v>
      </c>
      <c r="J87" s="241"/>
      <c r="N87" s="237"/>
      <c r="R87" s="3"/>
    </row>
    <row r="88" spans="1:18" x14ac:dyDescent="0.35">
      <c r="A88" s="58" t="s">
        <v>546</v>
      </c>
      <c r="B88" s="51">
        <f>D32</f>
        <v>1.1493125</v>
      </c>
      <c r="F88" s="241">
        <f>E32</f>
        <v>6.0223975000000003E-3</v>
      </c>
      <c r="J88" s="241">
        <f>F32</f>
        <v>5.056975E-4</v>
      </c>
      <c r="N88" s="237"/>
      <c r="R88" s="3"/>
    </row>
    <row r="89" spans="1:18" x14ac:dyDescent="0.35">
      <c r="A89" s="58" t="s">
        <v>37</v>
      </c>
      <c r="B89" s="51">
        <f>D31</f>
        <v>1.944</v>
      </c>
      <c r="F89" s="241">
        <f>E31</f>
        <v>7.1999999999999994E-4</v>
      </c>
      <c r="J89" s="241">
        <f>F31</f>
        <v>0.40560000000000002</v>
      </c>
      <c r="N89" s="237"/>
      <c r="R89" s="3"/>
    </row>
    <row r="90" spans="1:18" x14ac:dyDescent="0.35">
      <c r="A90" s="58" t="s">
        <v>36</v>
      </c>
      <c r="B90" s="51">
        <f>D30</f>
        <v>58.499999999999993</v>
      </c>
      <c r="F90" s="241">
        <f>E30</f>
        <v>0.65</v>
      </c>
      <c r="J90" s="241">
        <f>F30</f>
        <v>0.35416666666666669</v>
      </c>
      <c r="N90" s="237"/>
      <c r="R90" s="3"/>
    </row>
    <row r="91" spans="1:18" x14ac:dyDescent="0.35">
      <c r="A91" s="58" t="s">
        <v>43</v>
      </c>
      <c r="C91" s="51">
        <f>(C38/4*4)*Assumptions!B7</f>
        <v>3.4744000000000002E-4</v>
      </c>
      <c r="F91" s="237"/>
      <c r="G91" s="51">
        <f>(D38/4*4)*Assumptions!B7</f>
        <v>1.1979249600000001E-6</v>
      </c>
      <c r="J91" s="237"/>
      <c r="K91" s="51"/>
      <c r="N91" s="237"/>
      <c r="O91" s="51">
        <f>F38*Assumptions!B7</f>
        <v>0.86</v>
      </c>
      <c r="R91" s="3"/>
    </row>
    <row r="92" spans="1:18" x14ac:dyDescent="0.35">
      <c r="A92" s="58" t="s">
        <v>44</v>
      </c>
      <c r="C92" s="51">
        <f>(C39/4*4)*Assumptions!B7</f>
        <v>1245.1366666666668</v>
      </c>
      <c r="D92" s="51">
        <f>((C44/4*4)+C48)*Assumptions!B7</f>
        <v>1112.8045250000002</v>
      </c>
      <c r="F92" s="237"/>
      <c r="G92" s="51">
        <f>D39*Assumptions!B7</f>
        <v>1.2451366666666668</v>
      </c>
      <c r="H92" s="51">
        <f>((D44/4*4)+D48)*Assumptions!B7</f>
        <v>1.1128045250000003</v>
      </c>
      <c r="J92" s="237"/>
      <c r="K92" s="51"/>
      <c r="L92" s="51"/>
      <c r="N92" s="237"/>
      <c r="O92" s="51">
        <f>(F39/4*4)*Assumptions!B7</f>
        <v>0.98958904109589063</v>
      </c>
      <c r="R92" s="3"/>
    </row>
    <row r="93" spans="1:18" x14ac:dyDescent="0.35">
      <c r="A93" s="58" t="s">
        <v>45</v>
      </c>
      <c r="C93" s="51">
        <f>(C40/4*4)*Assumptions!B7</f>
        <v>47.79332581333334</v>
      </c>
      <c r="F93" s="237"/>
      <c r="G93" s="51"/>
      <c r="J93" s="237"/>
      <c r="K93" s="51"/>
      <c r="N93" s="237"/>
      <c r="O93" s="51">
        <f>(F40/4*4)*Assumptions!B7</f>
        <v>2.0237233333333338</v>
      </c>
      <c r="R93" s="3"/>
    </row>
    <row r="94" spans="1:18" x14ac:dyDescent="0.35">
      <c r="A94" s="58" t="s">
        <v>46</v>
      </c>
      <c r="C94" s="51">
        <f>(C41/4*4)*Assumptions!B7</f>
        <v>5.3678333333333326</v>
      </c>
      <c r="F94" s="237"/>
      <c r="G94" s="51">
        <f>D41*Assumptions!B7</f>
        <v>2.9493589743589741</v>
      </c>
      <c r="J94" s="237"/>
      <c r="K94" s="51"/>
      <c r="N94" s="237"/>
      <c r="O94" s="51">
        <f>(F41/4)*Assumptions!B7</f>
        <v>32.0565</v>
      </c>
      <c r="R94" s="3"/>
    </row>
    <row r="95" spans="1:18" x14ac:dyDescent="0.35">
      <c r="A95" s="58" t="s">
        <v>50</v>
      </c>
      <c r="B95" s="51"/>
      <c r="D95" s="51">
        <f>C46*Assumptions!B7</f>
        <v>4.2999999999999994E-4</v>
      </c>
      <c r="F95" s="237"/>
      <c r="H95" s="51">
        <f>D46*Assumptions!B7</f>
        <v>0</v>
      </c>
      <c r="J95" s="237"/>
      <c r="L95" s="51"/>
      <c r="N95" s="237"/>
      <c r="O95" s="51"/>
      <c r="R95" s="3"/>
    </row>
    <row r="96" spans="1:18" x14ac:dyDescent="0.35">
      <c r="A96" s="58" t="s">
        <v>139</v>
      </c>
      <c r="D96" s="51">
        <f>C47*Assumptions!B7</f>
        <v>6.5893916666666694</v>
      </c>
      <c r="F96" s="237"/>
      <c r="H96" s="51">
        <f>D47*Assumptions!B7</f>
        <v>1.7905955615942035E-2</v>
      </c>
      <c r="J96" s="237"/>
      <c r="L96" s="51"/>
      <c r="N96" s="237"/>
      <c r="O96" s="51">
        <f>F46*Assumptions!B7</f>
        <v>1.7782291666666665</v>
      </c>
      <c r="R96" s="3"/>
    </row>
    <row r="97" spans="1:18" x14ac:dyDescent="0.35">
      <c r="A97" s="58" t="s">
        <v>53</v>
      </c>
      <c r="F97" s="237"/>
      <c r="J97" s="237"/>
      <c r="L97" s="51">
        <f>E49*Assumptions!B7</f>
        <v>7.7495081095678986E-2</v>
      </c>
      <c r="N97" s="237"/>
      <c r="R97" s="3"/>
    </row>
    <row r="98" spans="1:18" x14ac:dyDescent="0.35">
      <c r="A98" s="58" t="s">
        <v>54</v>
      </c>
      <c r="D98" s="51">
        <f>C50*Assumptions!B7</f>
        <v>3.0442989499999995</v>
      </c>
      <c r="F98" s="237"/>
      <c r="H98" s="51"/>
      <c r="J98" s="237"/>
      <c r="L98" s="51"/>
      <c r="N98" s="237"/>
      <c r="R98" s="3"/>
    </row>
    <row r="99" spans="1:18" x14ac:dyDescent="0.35">
      <c r="A99" s="58" t="s">
        <v>55</v>
      </c>
      <c r="D99" s="51">
        <f>C51*Assumptions!B7</f>
        <v>0.12845986107208329</v>
      </c>
      <c r="F99" s="237"/>
      <c r="H99" s="51"/>
      <c r="J99" s="237"/>
      <c r="L99" s="51"/>
      <c r="N99" s="237"/>
      <c r="R99" s="3"/>
    </row>
    <row r="100" spans="1:18" x14ac:dyDescent="0.35">
      <c r="A100" s="58" t="s">
        <v>48</v>
      </c>
      <c r="D100" s="51">
        <f>(C43/4*4)*Assumptions!B7</f>
        <v>3.9029666666666665</v>
      </c>
      <c r="F100" s="237"/>
      <c r="H100" s="51">
        <f>(D43/4*4)*Assumptions!B7</f>
        <v>3.0022820512820507</v>
      </c>
      <c r="J100" s="237"/>
      <c r="L100" s="51"/>
      <c r="N100" s="237"/>
      <c r="R100" s="3"/>
    </row>
    <row r="101" spans="1:18" ht="15" thickBot="1" x14ac:dyDescent="0.4">
      <c r="A101" s="66" t="s">
        <v>541</v>
      </c>
      <c r="B101" s="48"/>
      <c r="C101" s="48"/>
      <c r="D101" s="48"/>
      <c r="E101" s="244">
        <f>C53*Assumptions!B7</f>
        <v>3.6621666666666668</v>
      </c>
      <c r="F101" s="243"/>
      <c r="G101" s="48"/>
      <c r="H101" s="48"/>
      <c r="I101" s="244">
        <f>D53*Assumptions!B7</f>
        <v>6.1036111111111117E-2</v>
      </c>
      <c r="J101" s="243"/>
      <c r="K101" s="48"/>
      <c r="L101" s="48"/>
      <c r="M101" s="48"/>
      <c r="N101" s="243"/>
      <c r="O101" s="48"/>
      <c r="P101" s="48"/>
      <c r="Q101" s="48"/>
      <c r="R101" s="7"/>
    </row>
  </sheetData>
  <mergeCells count="15">
    <mergeCell ref="A46:A53"/>
    <mergeCell ref="A3:C3"/>
    <mergeCell ref="A30:A31"/>
    <mergeCell ref="A1:H1"/>
    <mergeCell ref="A11:C11"/>
    <mergeCell ref="A38:A44"/>
    <mergeCell ref="A12:C12"/>
    <mergeCell ref="A22:C22"/>
    <mergeCell ref="A32:A34"/>
    <mergeCell ref="A36:B36"/>
    <mergeCell ref="B84:E84"/>
    <mergeCell ref="F84:I84"/>
    <mergeCell ref="J84:M84"/>
    <mergeCell ref="N84:R84"/>
    <mergeCell ref="F46:F51"/>
  </mergeCells>
  <pageMargins left="0.7" right="0.7" top="0.75" bottom="0.75" header="0.3" footer="0.3"/>
  <drawing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S92"/>
  <sheetViews>
    <sheetView topLeftCell="A56" zoomScale="80" zoomScaleNormal="80" workbookViewId="0">
      <selection activeCell="C65" sqref="C65"/>
    </sheetView>
  </sheetViews>
  <sheetFormatPr defaultRowHeight="14.5" x14ac:dyDescent="0.35"/>
  <cols>
    <col min="1" max="1" width="42.08984375" customWidth="1"/>
    <col min="2" max="2" width="29.90625" bestFit="1" customWidth="1"/>
    <col min="3" max="3" width="25.36328125" bestFit="1" customWidth="1"/>
    <col min="4" max="4" width="23.54296875" bestFit="1" customWidth="1"/>
    <col min="5" max="5" width="24.6328125" bestFit="1" customWidth="1"/>
    <col min="6" max="6" width="21.90625" bestFit="1" customWidth="1"/>
    <col min="7" max="7" width="23.81640625" customWidth="1"/>
    <col min="8" max="8" width="18.81640625" bestFit="1" customWidth="1"/>
    <col min="13" max="13" width="8.26953125" bestFit="1" customWidth="1"/>
    <col min="15" max="15" width="17.1796875" bestFit="1" customWidth="1"/>
  </cols>
  <sheetData>
    <row r="1" spans="1:8" ht="26" customHeight="1" x14ac:dyDescent="0.6">
      <c r="A1" s="358" t="s">
        <v>101</v>
      </c>
      <c r="B1" s="359"/>
      <c r="C1" s="359"/>
      <c r="D1" s="359"/>
      <c r="E1" s="359"/>
      <c r="F1" s="359"/>
      <c r="G1" s="359"/>
      <c r="H1" s="359"/>
    </row>
    <row r="2" spans="1:8" ht="15" customHeight="1" x14ac:dyDescent="0.35">
      <c r="A2" s="91"/>
    </row>
    <row r="3" spans="1:8" ht="15" customHeight="1" thickBot="1" x14ac:dyDescent="0.4">
      <c r="A3" s="388" t="s">
        <v>1</v>
      </c>
      <c r="B3" s="389"/>
      <c r="C3" s="389"/>
    </row>
    <row r="4" spans="1:8" ht="15" customHeight="1" thickBot="1" x14ac:dyDescent="0.4">
      <c r="A4" s="293"/>
      <c r="B4" s="92" t="s">
        <v>2</v>
      </c>
      <c r="C4" s="93" t="s">
        <v>3</v>
      </c>
      <c r="E4" s="94" t="s">
        <v>4</v>
      </c>
    </row>
    <row r="5" spans="1:8" x14ac:dyDescent="0.35">
      <c r="A5" s="1" t="s">
        <v>5</v>
      </c>
      <c r="B5" s="2">
        <f>Assumptions!B8</f>
        <v>5</v>
      </c>
      <c r="C5" s="3" t="s">
        <v>579</v>
      </c>
      <c r="E5" s="4" t="s">
        <v>6</v>
      </c>
    </row>
    <row r="6" spans="1:8" ht="15" customHeight="1" thickBot="1" x14ac:dyDescent="0.4">
      <c r="A6" s="5" t="s">
        <v>8</v>
      </c>
      <c r="B6" s="77">
        <f>Assumptions!C18</f>
        <v>28.6</v>
      </c>
      <c r="C6" s="7" t="s">
        <v>144</v>
      </c>
      <c r="E6" s="8" t="s">
        <v>7</v>
      </c>
    </row>
    <row r="7" spans="1:8" ht="15" customHeight="1" x14ac:dyDescent="0.35"/>
    <row r="8" spans="1:8" s="88" customFormat="1" ht="15" customHeight="1" thickBot="1" x14ac:dyDescent="0.4"/>
    <row r="9" spans="1:8" ht="19" customHeight="1" thickBot="1" x14ac:dyDescent="0.5">
      <c r="A9" s="150" t="s">
        <v>9</v>
      </c>
      <c r="B9" s="151"/>
      <c r="C9" s="151"/>
      <c r="D9" s="151"/>
      <c r="E9" s="151"/>
      <c r="F9" s="151"/>
      <c r="G9" s="152"/>
    </row>
    <row r="10" spans="1:8" ht="15" customHeight="1" thickBot="1" x14ac:dyDescent="0.4"/>
    <row r="11" spans="1:8" ht="15" customHeight="1" x14ac:dyDescent="0.35">
      <c r="A11" s="376" t="s">
        <v>135</v>
      </c>
      <c r="B11" s="377"/>
      <c r="C11" s="378"/>
    </row>
    <row r="12" spans="1:8" x14ac:dyDescent="0.35">
      <c r="A12" s="379" t="s">
        <v>11</v>
      </c>
      <c r="B12" s="380"/>
      <c r="C12" s="381"/>
      <c r="D12" s="9"/>
    </row>
    <row r="13" spans="1:8" ht="16.5" customHeight="1" thickBot="1" x14ac:dyDescent="0.4">
      <c r="A13" s="153"/>
      <c r="B13" s="147" t="s">
        <v>2</v>
      </c>
      <c r="C13" s="148" t="s">
        <v>3</v>
      </c>
      <c r="D13" s="9"/>
    </row>
    <row r="14" spans="1:8" x14ac:dyDescent="0.35">
      <c r="A14" s="12" t="s">
        <v>12</v>
      </c>
      <c r="B14" s="15">
        <f>Assumptions!E18</f>
        <v>5</v>
      </c>
      <c r="C14" s="11" t="s">
        <v>13</v>
      </c>
      <c r="D14" s="9"/>
    </row>
    <row r="15" spans="1:8" ht="16.5" x14ac:dyDescent="0.35">
      <c r="A15" s="12" t="s">
        <v>136</v>
      </c>
      <c r="B15" s="13">
        <f>(320/16)*(1/0.0929)*(9830000/982000)*(1/1000)</f>
        <v>2.1550448437866532</v>
      </c>
      <c r="C15" s="11" t="s">
        <v>508</v>
      </c>
      <c r="D15" s="9"/>
    </row>
    <row r="16" spans="1:8" x14ac:dyDescent="0.35">
      <c r="A16" s="12" t="s">
        <v>16</v>
      </c>
      <c r="B16" s="13">
        <f>(9830000/982000)*(1/1000)</f>
        <v>1.0010183299389002E-2</v>
      </c>
      <c r="C16" s="11" t="s">
        <v>17</v>
      </c>
      <c r="D16" s="9"/>
    </row>
    <row r="17" spans="1:8" ht="17" customHeight="1" x14ac:dyDescent="0.35">
      <c r="A17" s="12" t="s">
        <v>18</v>
      </c>
      <c r="B17" s="13">
        <f>B5*(1/B6)</f>
        <v>0.17482517482517479</v>
      </c>
      <c r="C17" s="11" t="s">
        <v>19</v>
      </c>
      <c r="D17" s="9"/>
    </row>
    <row r="18" spans="1:8" ht="15" customHeight="1" x14ac:dyDescent="0.35">
      <c r="A18" s="12" t="s">
        <v>20</v>
      </c>
      <c r="B18" s="15">
        <f>ROUNDUP(B17/B16,0)</f>
        <v>18</v>
      </c>
      <c r="C18" s="11" t="s">
        <v>21</v>
      </c>
      <c r="D18" s="9"/>
    </row>
    <row r="19" spans="1:8" ht="17" customHeight="1" thickBot="1" x14ac:dyDescent="0.4">
      <c r="A19" s="12" t="s">
        <v>23</v>
      </c>
      <c r="B19" s="13">
        <f>B17/B15</f>
        <v>8.1123683031109242E-2</v>
      </c>
      <c r="C19" s="11" t="s">
        <v>510</v>
      </c>
      <c r="D19" s="19"/>
      <c r="E19" s="20"/>
      <c r="F19" s="20"/>
    </row>
    <row r="20" spans="1:8" x14ac:dyDescent="0.35">
      <c r="A20" s="382" t="s">
        <v>137</v>
      </c>
      <c r="B20" s="383"/>
      <c r="C20" s="384"/>
      <c r="D20" s="9"/>
    </row>
    <row r="21" spans="1:8" ht="15" customHeight="1" thickBot="1" x14ac:dyDescent="0.4">
      <c r="A21" s="171"/>
      <c r="B21" s="147" t="s">
        <v>2</v>
      </c>
      <c r="C21" s="148" t="s">
        <v>3</v>
      </c>
      <c r="D21" s="9"/>
      <c r="G21" s="20"/>
      <c r="H21" s="20"/>
    </row>
    <row r="22" spans="1:8" ht="17" customHeight="1" x14ac:dyDescent="0.35">
      <c r="A22" s="12" t="s">
        <v>25</v>
      </c>
      <c r="B22" s="21">
        <f>B18*B14</f>
        <v>90</v>
      </c>
      <c r="C22" s="11" t="s">
        <v>26</v>
      </c>
      <c r="D22" s="9"/>
      <c r="G22" s="20"/>
      <c r="H22" s="20"/>
    </row>
    <row r="23" spans="1:8" x14ac:dyDescent="0.35">
      <c r="A23" s="12" t="s">
        <v>27</v>
      </c>
      <c r="B23" s="22">
        <f>B16*B22</f>
        <v>0.90091649694501019</v>
      </c>
      <c r="C23" s="11" t="s">
        <v>28</v>
      </c>
      <c r="D23" s="9"/>
      <c r="G23" s="20"/>
      <c r="H23" s="20"/>
    </row>
    <row r="24" spans="1:8" ht="15" customHeight="1" thickBot="1" x14ac:dyDescent="0.4">
      <c r="A24" s="5" t="s">
        <v>23</v>
      </c>
      <c r="B24" s="23">
        <f>B23/B15</f>
        <v>0.41804999999999992</v>
      </c>
      <c r="C24" s="24" t="s">
        <v>510</v>
      </c>
      <c r="D24" s="9"/>
      <c r="G24" s="20"/>
      <c r="H24" s="20"/>
    </row>
    <row r="25" spans="1:8" ht="17" customHeight="1" thickBot="1" x14ac:dyDescent="0.4">
      <c r="B25" s="15"/>
      <c r="C25" s="15"/>
    </row>
    <row r="26" spans="1:8" x14ac:dyDescent="0.35">
      <c r="A26" s="155" t="s">
        <v>29</v>
      </c>
      <c r="B26" s="156"/>
      <c r="C26" s="156"/>
      <c r="D26" s="156"/>
      <c r="E26" s="156"/>
      <c r="F26" s="156"/>
      <c r="G26" s="157"/>
    </row>
    <row r="27" spans="1:8" ht="17" customHeight="1" thickBot="1" x14ac:dyDescent="0.5">
      <c r="A27" s="154" t="s">
        <v>30</v>
      </c>
      <c r="B27" s="147" t="s">
        <v>31</v>
      </c>
      <c r="C27" s="147" t="s">
        <v>32</v>
      </c>
      <c r="D27" s="147" t="s">
        <v>33</v>
      </c>
      <c r="E27" s="228" t="s">
        <v>498</v>
      </c>
      <c r="F27" s="147" t="s">
        <v>499</v>
      </c>
      <c r="G27" s="148" t="s">
        <v>34</v>
      </c>
    </row>
    <row r="28" spans="1:8" x14ac:dyDescent="0.35">
      <c r="A28" s="391" t="s">
        <v>35</v>
      </c>
      <c r="B28" t="s">
        <v>36</v>
      </c>
      <c r="C28" s="15">
        <v>1</v>
      </c>
      <c r="D28" s="25">
        <f>(101.5-22.9-8.4)*B24</f>
        <v>29.34710999999999</v>
      </c>
      <c r="E28" s="25">
        <f>(1.03-0.25)*B24</f>
        <v>0.32607899999999995</v>
      </c>
      <c r="F28" s="26">
        <f>(2.6-2.1-0.075)*B24</f>
        <v>0.17767124999999998</v>
      </c>
      <c r="G28" s="27"/>
    </row>
    <row r="29" spans="1:8" x14ac:dyDescent="0.35">
      <c r="A29" s="374"/>
      <c r="B29" s="28" t="s">
        <v>37</v>
      </c>
      <c r="C29" s="29">
        <f>ROUNDUP(B24*9,0)</f>
        <v>4</v>
      </c>
      <c r="D29" s="30">
        <f>0.243*C29</f>
        <v>0.97199999999999998</v>
      </c>
      <c r="E29" s="31">
        <f>(0.3*0.3*0.001)*C29</f>
        <v>3.5999999999999997E-4</v>
      </c>
      <c r="F29" s="31">
        <f>50.7*C29*(1/1000)</f>
        <v>0.20280000000000001</v>
      </c>
      <c r="G29" s="32"/>
    </row>
    <row r="30" spans="1:8" ht="15" customHeight="1" thickBot="1" x14ac:dyDescent="0.4">
      <c r="A30" s="385" t="s">
        <v>38</v>
      </c>
      <c r="B30" s="38" t="s">
        <v>546</v>
      </c>
      <c r="C30" s="34">
        <f>IF((0.003785*C32*2) &lt;= 0.0187, 1, CEILING((0.003785*C32*2)/0.0187, 1))</f>
        <v>1</v>
      </c>
      <c r="D30" s="35">
        <f>0.75*B17*C30</f>
        <v>0.13111888111888109</v>
      </c>
      <c r="E30" s="36">
        <f>0.00393*B17*C30</f>
        <v>6.8706293706293701E-4</v>
      </c>
      <c r="F30" s="35">
        <f>0.00033*B17*C30</f>
        <v>5.7692307692307677E-5</v>
      </c>
      <c r="G30" s="37"/>
    </row>
    <row r="31" spans="1:8" x14ac:dyDescent="0.35">
      <c r="A31" s="364"/>
      <c r="B31" s="38" t="s">
        <v>39</v>
      </c>
      <c r="C31" s="39">
        <f>IF(F44 &lt;= 2, 1, CEILING(F44 / 2, 1))</f>
        <v>1</v>
      </c>
      <c r="D31" s="26">
        <f>0.20411*C31/Assumptions!$B$5</f>
        <v>3.4018333333333338E-2</v>
      </c>
      <c r="E31" s="26">
        <f>0.00064416*C31/Assumptions!$B$5</f>
        <v>1.0735999999999999E-4</v>
      </c>
      <c r="F31" s="40"/>
      <c r="G31" s="41"/>
      <c r="H31" t="s">
        <v>525</v>
      </c>
    </row>
    <row r="32" spans="1:8" ht="15" customHeight="1" thickBot="1" x14ac:dyDescent="0.4">
      <c r="A32" s="365"/>
      <c r="B32" s="42" t="s">
        <v>40</v>
      </c>
      <c r="C32" s="43">
        <f>ROUNDUP(B17/(85*0.003785),0)</f>
        <v>1</v>
      </c>
      <c r="D32" s="44">
        <f>(7.62/250)*(0.45359/1)*C32</f>
        <v>1.3825423199999999E-2</v>
      </c>
      <c r="E32" s="44">
        <f>(10.5*11*0.00394)*0.00001639*C32</f>
        <v>7.4585973E-6</v>
      </c>
      <c r="F32" s="45"/>
      <c r="G32" s="46"/>
    </row>
    <row r="33" spans="1:7" ht="17" customHeight="1" thickBot="1" x14ac:dyDescent="0.4"/>
    <row r="34" spans="1:7" x14ac:dyDescent="0.35">
      <c r="A34" s="387" t="s">
        <v>516</v>
      </c>
      <c r="B34" s="383"/>
      <c r="C34" s="159"/>
      <c r="D34" s="159"/>
      <c r="E34" s="158"/>
      <c r="F34" s="160"/>
    </row>
    <row r="35" spans="1:7" ht="17" customHeight="1" thickBot="1" x14ac:dyDescent="0.5">
      <c r="A35" s="166" t="s">
        <v>30</v>
      </c>
      <c r="B35" s="167" t="s">
        <v>42</v>
      </c>
      <c r="C35" s="167" t="s">
        <v>33</v>
      </c>
      <c r="D35" s="147" t="s">
        <v>498</v>
      </c>
      <c r="E35" s="167" t="s">
        <v>499</v>
      </c>
      <c r="F35" s="168" t="s">
        <v>34</v>
      </c>
    </row>
    <row r="36" spans="1:7" ht="15" customHeight="1" thickBot="1" x14ac:dyDescent="0.4">
      <c r="A36" s="392" t="s">
        <v>35</v>
      </c>
      <c r="B36" t="s">
        <v>138</v>
      </c>
      <c r="C36" s="25">
        <f>0.0004288*B18*2</f>
        <v>1.5436800000000001E-2</v>
      </c>
      <c r="D36" s="25">
        <f>(4/3)*PI()*((0.45/2)^3)*(1/1000^3)</f>
        <v>4.771293842639499E-11</v>
      </c>
      <c r="E36" s="49"/>
      <c r="F36" s="63">
        <f>((B18*2)*(1/10)*(1/60)*1.5)+(4.6*(1/(215*2))*1.5)</f>
        <v>0.10604651162790697</v>
      </c>
    </row>
    <row r="37" spans="1:7" x14ac:dyDescent="0.35">
      <c r="A37" s="364"/>
      <c r="B37" t="s">
        <v>44</v>
      </c>
      <c r="C37" s="26">
        <f>D37*1000</f>
        <v>7.0472143449124607</v>
      </c>
      <c r="D37" s="26">
        <f>(7.3*B19*35)*0.34*0.001</f>
        <v>7.047214344912461E-3</v>
      </c>
      <c r="E37" s="49"/>
      <c r="F37" s="50">
        <f>90*4*(1/60)*(1/12.5)*(1/365)*35*B19*1.5</f>
        <v>5.6008679791341182E-3</v>
      </c>
      <c r="G37" s="51"/>
    </row>
    <row r="38" spans="1:7" ht="16.5" customHeight="1" x14ac:dyDescent="0.35">
      <c r="A38" s="364"/>
      <c r="B38" t="s">
        <v>45</v>
      </c>
      <c r="C38" s="26">
        <f>((1.166+(12.406*3))*(D37*1000))/1000</f>
        <v>0.2705002754151199</v>
      </c>
      <c r="D38" s="52"/>
      <c r="E38" s="49"/>
      <c r="F38" s="50">
        <f>(20.17/10)*(1/60)*(1/12.5)*B19*35*1.5</f>
        <v>1.1453852807162315E-2</v>
      </c>
      <c r="G38" s="51"/>
    </row>
    <row r="39" spans="1:7" x14ac:dyDescent="0.35">
      <c r="A39" s="364"/>
      <c r="B39" t="s">
        <v>46</v>
      </c>
      <c r="C39" s="26">
        <f>(10.7*B19*35)/1000</f>
        <v>3.0380819295150411E-2</v>
      </c>
      <c r="D39" s="26">
        <f>C39/1.82</f>
        <v>1.6692757854478248E-2</v>
      </c>
      <c r="E39" s="49"/>
      <c r="F39" s="53">
        <f>2.13*365*(1/60)*(1/365)*35*1.5</f>
        <v>1.86375</v>
      </c>
      <c r="G39" s="51"/>
    </row>
    <row r="40" spans="1:7" ht="15" customHeight="1" x14ac:dyDescent="0.45">
      <c r="A40" s="364"/>
      <c r="B40" s="161" t="s">
        <v>47</v>
      </c>
      <c r="C40" s="162" t="s">
        <v>33</v>
      </c>
      <c r="D40" s="162" t="s">
        <v>498</v>
      </c>
      <c r="E40" s="162" t="s">
        <v>499</v>
      </c>
      <c r="F40" s="163" t="s">
        <v>34</v>
      </c>
    </row>
    <row r="41" spans="1:7" ht="17" customHeight="1" x14ac:dyDescent="0.35">
      <c r="A41" s="364"/>
      <c r="B41" s="38" t="s">
        <v>48</v>
      </c>
      <c r="C41" s="26">
        <f>(7.78*B19*35)/1000</f>
        <v>2.2089978889371045E-2</v>
      </c>
      <c r="D41" s="26">
        <f>C41/1.3</f>
        <v>1.699229145336234E-2</v>
      </c>
      <c r="E41" s="49"/>
      <c r="F41" s="54"/>
    </row>
    <row r="42" spans="1:7" x14ac:dyDescent="0.35">
      <c r="A42" s="365"/>
      <c r="B42" s="38" t="s">
        <v>49</v>
      </c>
      <c r="C42" s="26">
        <f>2.1*B19*35</f>
        <v>5.9625907027865299</v>
      </c>
      <c r="D42" s="26">
        <f>C42/1000</f>
        <v>5.9625907027865297E-3</v>
      </c>
      <c r="E42" s="49"/>
      <c r="F42" s="54"/>
    </row>
    <row r="43" spans="1:7" ht="16.5" customHeight="1" x14ac:dyDescent="0.45">
      <c r="A43" s="149" t="s">
        <v>30</v>
      </c>
      <c r="B43" s="162" t="s">
        <v>47</v>
      </c>
      <c r="C43" s="162" t="s">
        <v>33</v>
      </c>
      <c r="D43" s="162" t="s">
        <v>498</v>
      </c>
      <c r="E43" s="162" t="s">
        <v>499</v>
      </c>
      <c r="F43" s="163" t="s">
        <v>34</v>
      </c>
    </row>
    <row r="44" spans="1:7" ht="15" customHeight="1" thickBot="1" x14ac:dyDescent="0.4">
      <c r="A44" s="371" t="s">
        <v>38</v>
      </c>
      <c r="B44" s="38" t="s">
        <v>50</v>
      </c>
      <c r="C44" s="26">
        <f>B5/1000000</f>
        <v>5.0000000000000004E-6</v>
      </c>
      <c r="D44" s="49"/>
      <c r="E44" s="49"/>
      <c r="F44" s="390">
        <f>(3.97*B19)*(1/60)*1.5</f>
        <v>8.0515255408375938E-3</v>
      </c>
      <c r="G44" s="56"/>
    </row>
    <row r="45" spans="1:7" ht="15" customHeight="1" x14ac:dyDescent="0.35">
      <c r="A45" s="364"/>
      <c r="B45" s="38" t="s">
        <v>139</v>
      </c>
      <c r="C45" s="26">
        <f>B15*B19</f>
        <v>0.17482517482517479</v>
      </c>
      <c r="D45" s="26">
        <f>C45*(1/60)</f>
        <v>2.9137529137529131E-3</v>
      </c>
      <c r="E45" s="49"/>
      <c r="F45" s="369"/>
    </row>
    <row r="46" spans="1:7" ht="15" customHeight="1" x14ac:dyDescent="0.45">
      <c r="A46" s="364"/>
      <c r="B46" s="161" t="s">
        <v>56</v>
      </c>
      <c r="C46" s="162" t="s">
        <v>33</v>
      </c>
      <c r="D46" s="162" t="s">
        <v>498</v>
      </c>
      <c r="E46" s="162" t="s">
        <v>499</v>
      </c>
      <c r="F46" s="163" t="s">
        <v>34</v>
      </c>
    </row>
    <row r="47" spans="1:7" ht="15" customHeight="1" thickBot="1" x14ac:dyDescent="0.4">
      <c r="A47" s="365"/>
      <c r="B47" s="42" t="s">
        <v>57</v>
      </c>
      <c r="C47" s="44">
        <f>(7.3/1000)*B19*35</f>
        <v>2.0727101014448412E-2</v>
      </c>
      <c r="D47" s="44">
        <f>C47*(1/60)</f>
        <v>3.454516835741402E-4</v>
      </c>
      <c r="E47" s="55"/>
      <c r="F47" s="57"/>
    </row>
    <row r="48" spans="1:7" ht="15" customHeight="1" thickBot="1" x14ac:dyDescent="0.4">
      <c r="A48" s="114"/>
      <c r="B48" s="115"/>
      <c r="C48" s="115"/>
      <c r="D48" s="115"/>
      <c r="E48" s="115"/>
      <c r="F48" s="86"/>
    </row>
    <row r="49" spans="1:8" ht="15" customHeight="1" x14ac:dyDescent="0.35">
      <c r="A49" s="170" t="s">
        <v>58</v>
      </c>
      <c r="B49" s="158"/>
      <c r="C49" s="158"/>
      <c r="D49" s="158"/>
      <c r="E49" s="158"/>
      <c r="F49" s="229"/>
    </row>
    <row r="50" spans="1:8" ht="15" customHeight="1" thickBot="1" x14ac:dyDescent="0.4">
      <c r="A50" s="154" t="s">
        <v>59</v>
      </c>
      <c r="B50" s="147" t="s">
        <v>60</v>
      </c>
      <c r="C50" s="147" t="s">
        <v>61</v>
      </c>
      <c r="D50" s="147" t="s">
        <v>62</v>
      </c>
      <c r="E50" s="147" t="s">
        <v>63</v>
      </c>
      <c r="F50" s="163" t="s">
        <v>515</v>
      </c>
    </row>
    <row r="51" spans="1:8" x14ac:dyDescent="0.35">
      <c r="A51" s="58" t="s">
        <v>33</v>
      </c>
      <c r="B51" s="26">
        <f>SUM(D28:D32)</f>
        <v>30.498072637652204</v>
      </c>
      <c r="C51" s="26">
        <f>C36+(C38/5*5)+(C39/5*5)</f>
        <v>0.31631789471027033</v>
      </c>
      <c r="D51" s="59"/>
      <c r="E51" s="26">
        <f>SUM((C41/5*5),C44,C45)</f>
        <v>0.19692015371454583</v>
      </c>
      <c r="F51" s="61"/>
      <c r="H51" s="15"/>
    </row>
    <row r="52" spans="1:8" ht="16.5" x14ac:dyDescent="0.35">
      <c r="A52" s="58" t="s">
        <v>498</v>
      </c>
      <c r="B52" s="26">
        <f>SUM(E28:E32)</f>
        <v>0.32724088153436293</v>
      </c>
      <c r="C52" s="26">
        <f>D36+(D39/5*5)</f>
        <v>1.6692757902191185E-2</v>
      </c>
      <c r="D52" s="52"/>
      <c r="E52" s="26">
        <f>SUM((D41/5*5),(D42/5*5),D45)</f>
        <v>2.586863506990178E-2</v>
      </c>
      <c r="F52" s="61"/>
      <c r="H52" s="15"/>
    </row>
    <row r="53" spans="1:8" ht="16.5" x14ac:dyDescent="0.45">
      <c r="A53" s="58" t="s">
        <v>499</v>
      </c>
      <c r="B53" s="26">
        <f>SUM(F28:F30)</f>
        <v>0.3805289423076923</v>
      </c>
      <c r="C53" s="60"/>
      <c r="D53" s="49"/>
      <c r="E53" s="213">
        <v>0</v>
      </c>
      <c r="F53" s="54"/>
      <c r="H53" s="15"/>
    </row>
    <row r="54" spans="1:8" ht="16.5" x14ac:dyDescent="0.45">
      <c r="A54" s="58" t="s">
        <v>500</v>
      </c>
      <c r="B54" s="26">
        <f>SUM(F28:F30)</f>
        <v>0.3805289423076923</v>
      </c>
      <c r="C54" s="49"/>
      <c r="D54" s="59"/>
      <c r="E54" s="49"/>
      <c r="F54" s="54"/>
      <c r="H54" s="39"/>
    </row>
    <row r="55" spans="1:8" x14ac:dyDescent="0.35">
      <c r="A55" s="58" t="s">
        <v>511</v>
      </c>
      <c r="B55" s="213">
        <f>+SUM(G28:G32)</f>
        <v>0</v>
      </c>
      <c r="C55" s="62"/>
      <c r="D55" s="62"/>
      <c r="E55" s="62"/>
      <c r="F55" s="3">
        <f>+SUM(F36,(F37/5*5),(F38/5*5),(F39/5)+F44)</f>
        <v>0.50390275795504103</v>
      </c>
      <c r="H55" s="39"/>
    </row>
    <row r="56" spans="1:8" ht="15" customHeight="1" x14ac:dyDescent="0.35">
      <c r="A56" s="64" t="s">
        <v>65</v>
      </c>
      <c r="B56" s="65"/>
      <c r="C56" s="224">
        <v>0</v>
      </c>
      <c r="D56" s="49"/>
      <c r="E56" s="26">
        <f>B17</f>
        <v>0.17482517482517479</v>
      </c>
      <c r="F56" s="54"/>
      <c r="H56" s="15"/>
    </row>
    <row r="57" spans="1:8" x14ac:dyDescent="0.35">
      <c r="A57" s="58" t="s">
        <v>66</v>
      </c>
      <c r="B57" s="26">
        <f>C57-C42</f>
        <v>1.0846236421259299</v>
      </c>
      <c r="C57" s="26">
        <f>(C37/5*5)</f>
        <v>7.0472143449124598</v>
      </c>
      <c r="D57" s="49"/>
      <c r="E57" s="26">
        <f>C42/5*5</f>
        <v>5.9625907027865299</v>
      </c>
      <c r="F57" s="54"/>
      <c r="H57" s="15"/>
    </row>
    <row r="58" spans="1:8" ht="15" customHeight="1" thickBot="1" x14ac:dyDescent="0.4">
      <c r="A58" s="66" t="s">
        <v>67</v>
      </c>
      <c r="B58" s="67"/>
      <c r="C58" s="67"/>
      <c r="D58" s="44">
        <f>C47</f>
        <v>2.0727101014448412E-2</v>
      </c>
      <c r="E58" s="67"/>
      <c r="F58" s="212"/>
      <c r="H58" s="15"/>
    </row>
    <row r="59" spans="1:8" ht="19" customHeight="1" thickBot="1" x14ac:dyDescent="0.4"/>
    <row r="60" spans="1:8" ht="15" customHeight="1" x14ac:dyDescent="0.35">
      <c r="A60" s="170" t="s">
        <v>68</v>
      </c>
      <c r="B60" s="159"/>
      <c r="C60" s="159"/>
      <c r="D60" s="159"/>
      <c r="E60" s="159"/>
      <c r="F60" s="159"/>
      <c r="G60" s="158"/>
      <c r="H60" s="160"/>
    </row>
    <row r="61" spans="1:8" ht="17" customHeight="1" thickBot="1" x14ac:dyDescent="0.5">
      <c r="A61" s="154" t="s">
        <v>69</v>
      </c>
      <c r="B61" s="147" t="s">
        <v>502</v>
      </c>
      <c r="C61" s="147" t="s">
        <v>503</v>
      </c>
      <c r="D61" s="147" t="s">
        <v>504</v>
      </c>
      <c r="E61" s="147" t="s">
        <v>505</v>
      </c>
      <c r="F61" s="147" t="s">
        <v>506</v>
      </c>
      <c r="G61" s="147" t="s">
        <v>507</v>
      </c>
      <c r="H61" s="148" t="s">
        <v>76</v>
      </c>
    </row>
    <row r="62" spans="1:8" ht="15" customHeight="1" thickBot="1" x14ac:dyDescent="0.4">
      <c r="A62" s="68" t="s">
        <v>484</v>
      </c>
      <c r="B62" s="69">
        <f>Assumptions!B13</f>
        <v>79.3</v>
      </c>
      <c r="C62" s="69">
        <f>Assumptions!C13</f>
        <v>162</v>
      </c>
      <c r="D62" s="69">
        <f>Assumptions!D13</f>
        <v>96</v>
      </c>
      <c r="E62" s="69">
        <f>Assumptions!E13</f>
        <v>0.21</v>
      </c>
      <c r="F62" s="69">
        <f>Assumptions!F13</f>
        <v>0.93</v>
      </c>
      <c r="G62" s="69">
        <f>Assumptions!G13</f>
        <v>0.3</v>
      </c>
      <c r="H62" s="73">
        <f>Assumptions!H13</f>
        <v>0.94</v>
      </c>
    </row>
    <row r="63" spans="1:8" ht="15" customHeight="1" thickBot="1" x14ac:dyDescent="0.4">
      <c r="B63" s="15"/>
      <c r="C63" s="15"/>
      <c r="D63" s="15"/>
      <c r="E63" s="15"/>
      <c r="F63" s="15"/>
    </row>
    <row r="64" spans="1:8" ht="15" customHeight="1" x14ac:dyDescent="0.35">
      <c r="A64" s="70" t="s">
        <v>78</v>
      </c>
      <c r="B64" s="71">
        <v>1</v>
      </c>
      <c r="C64" s="15"/>
      <c r="D64" s="26"/>
      <c r="E64" s="26"/>
      <c r="F64" s="26"/>
    </row>
    <row r="65" spans="1:19" ht="17" customHeight="1" thickBot="1" x14ac:dyDescent="0.4">
      <c r="A65" s="72" t="s">
        <v>582</v>
      </c>
      <c r="B65" s="73">
        <f>B64*Assumptions!B7</f>
        <v>86</v>
      </c>
      <c r="C65" s="15"/>
      <c r="D65" s="26"/>
      <c r="E65" s="15"/>
      <c r="F65" s="15"/>
    </row>
    <row r="66" spans="1:19" ht="15" customHeight="1" thickBot="1" x14ac:dyDescent="0.4">
      <c r="B66" s="15"/>
      <c r="C66" s="15"/>
      <c r="D66" s="51"/>
      <c r="E66" s="15"/>
      <c r="F66" s="15"/>
    </row>
    <row r="67" spans="1:19" ht="17" customHeight="1" thickBot="1" x14ac:dyDescent="0.5">
      <c r="A67" s="164" t="s">
        <v>79</v>
      </c>
      <c r="B67" s="145" t="s">
        <v>501</v>
      </c>
      <c r="C67" s="51"/>
      <c r="D67" s="26"/>
    </row>
    <row r="68" spans="1:19" x14ac:dyDescent="0.35">
      <c r="A68" s="74" t="s">
        <v>60</v>
      </c>
      <c r="B68" s="231">
        <f>B51+(B52*B62)+(B53*C62)+(B54*D62)+(B57*G62)+(B55*H62)</f>
        <v>154.95012875134958</v>
      </c>
      <c r="C68" s="51"/>
    </row>
    <row r="69" spans="1:19" x14ac:dyDescent="0.35">
      <c r="A69" s="74" t="s">
        <v>515</v>
      </c>
      <c r="B69" s="231">
        <f>+B65*F55*H62</f>
        <v>40.735498953085518</v>
      </c>
      <c r="C69" s="51"/>
    </row>
    <row r="70" spans="1:19" x14ac:dyDescent="0.35">
      <c r="A70" s="74" t="s">
        <v>81</v>
      </c>
      <c r="B70" s="232">
        <f>B65*(C51+(C52*B62)+(C56*E62)+(C57*G62))</f>
        <v>322.86273938518815</v>
      </c>
    </row>
    <row r="71" spans="1:19" ht="17" customHeight="1" x14ac:dyDescent="0.35">
      <c r="A71" s="74" t="s">
        <v>82</v>
      </c>
      <c r="B71" s="232">
        <f>B65*((D58*F62))</f>
        <v>1.6577535391355842</v>
      </c>
    </row>
    <row r="72" spans="1:19" x14ac:dyDescent="0.35">
      <c r="A72" s="75" t="s">
        <v>83</v>
      </c>
      <c r="B72" s="233">
        <f>B65*(E51+(E52*B62)+(E53*C62)-(E56*E62)+(E57*G62))</f>
        <v>344.03154814371698</v>
      </c>
    </row>
    <row r="73" spans="1:19" ht="17" customHeight="1" thickBot="1" x14ac:dyDescent="0.5">
      <c r="A73" s="76" t="s">
        <v>527</v>
      </c>
      <c r="B73" s="234">
        <f>B68+B69+B70+B71-B72</f>
        <v>176.17457248504189</v>
      </c>
    </row>
    <row r="75" spans="1:19" x14ac:dyDescent="0.35">
      <c r="A75" s="88"/>
      <c r="B75" s="88"/>
      <c r="C75" s="88"/>
      <c r="D75" s="88"/>
      <c r="E75" s="88"/>
      <c r="F75" s="88"/>
      <c r="G75" s="88"/>
      <c r="H75" s="88"/>
      <c r="I75" s="88"/>
      <c r="J75" s="88"/>
      <c r="K75" s="88"/>
      <c r="L75" s="88"/>
      <c r="M75" s="88"/>
      <c r="N75" s="88"/>
      <c r="O75" s="88"/>
      <c r="P75" s="88"/>
      <c r="Q75" s="88"/>
      <c r="R75" s="88"/>
      <c r="S75" s="88"/>
    </row>
    <row r="76" spans="1:19" ht="15" thickBot="1" x14ac:dyDescent="0.4"/>
    <row r="77" spans="1:19" x14ac:dyDescent="0.35">
      <c r="A77" s="308" t="s">
        <v>545</v>
      </c>
      <c r="B77" s="309"/>
      <c r="C77" s="309"/>
      <c r="D77" s="309"/>
      <c r="E77" s="309"/>
      <c r="F77" s="309"/>
      <c r="G77" s="309"/>
      <c r="H77" s="309"/>
      <c r="I77" s="309"/>
      <c r="J77" s="309"/>
      <c r="K77" s="309"/>
      <c r="L77" s="309"/>
      <c r="M77" s="309"/>
      <c r="N77" s="309"/>
      <c r="O77" s="309"/>
      <c r="P77" s="309"/>
      <c r="Q77" s="309"/>
      <c r="R77" s="291"/>
    </row>
    <row r="78" spans="1:19" x14ac:dyDescent="0.35">
      <c r="A78" s="310"/>
      <c r="B78" s="361" t="s">
        <v>343</v>
      </c>
      <c r="C78" s="361"/>
      <c r="D78" s="361"/>
      <c r="E78" s="367"/>
      <c r="F78" s="360" t="s">
        <v>542</v>
      </c>
      <c r="G78" s="361"/>
      <c r="H78" s="361"/>
      <c r="I78" s="361"/>
      <c r="J78" s="360" t="s">
        <v>543</v>
      </c>
      <c r="K78" s="361"/>
      <c r="L78" s="361"/>
      <c r="M78" s="361"/>
      <c r="N78" s="360" t="s">
        <v>544</v>
      </c>
      <c r="O78" s="361"/>
      <c r="P78" s="361"/>
      <c r="Q78" s="361"/>
      <c r="R78" s="362"/>
    </row>
    <row r="79" spans="1:19" ht="15" thickBot="1" x14ac:dyDescent="0.4">
      <c r="A79" s="311"/>
      <c r="B79" s="242" t="s">
        <v>60</v>
      </c>
      <c r="C79" s="239" t="s">
        <v>42</v>
      </c>
      <c r="D79" s="239" t="s">
        <v>47</v>
      </c>
      <c r="E79" s="239" t="s">
        <v>56</v>
      </c>
      <c r="F79" s="238" t="s">
        <v>60</v>
      </c>
      <c r="G79" s="239" t="s">
        <v>42</v>
      </c>
      <c r="H79" s="239" t="s">
        <v>47</v>
      </c>
      <c r="I79" s="239" t="s">
        <v>56</v>
      </c>
      <c r="J79" s="238" t="s">
        <v>60</v>
      </c>
      <c r="K79" s="239" t="s">
        <v>42</v>
      </c>
      <c r="L79" s="239" t="s">
        <v>47</v>
      </c>
      <c r="M79" s="239" t="s">
        <v>56</v>
      </c>
      <c r="N79" s="238" t="s">
        <v>60</v>
      </c>
      <c r="O79" s="242" t="s">
        <v>515</v>
      </c>
      <c r="P79" s="239" t="s">
        <v>42</v>
      </c>
      <c r="Q79" s="239" t="s">
        <v>47</v>
      </c>
      <c r="R79" s="240" t="s">
        <v>56</v>
      </c>
    </row>
    <row r="80" spans="1:19" x14ac:dyDescent="0.35">
      <c r="A80" s="58" t="s">
        <v>539</v>
      </c>
      <c r="B80" s="51">
        <f>D32</f>
        <v>1.3825423199999999E-2</v>
      </c>
      <c r="F80" s="330">
        <f>E32</f>
        <v>7.4585973E-6</v>
      </c>
      <c r="J80" s="241"/>
      <c r="N80" s="237"/>
      <c r="R80" s="86"/>
    </row>
    <row r="81" spans="1:18" x14ac:dyDescent="0.35">
      <c r="A81" s="58" t="s">
        <v>540</v>
      </c>
      <c r="B81" s="51">
        <f>D31</f>
        <v>3.4018333333333338E-2</v>
      </c>
      <c r="F81" s="241">
        <f>E31</f>
        <v>1.0735999999999999E-4</v>
      </c>
      <c r="J81" s="241"/>
      <c r="N81" s="237"/>
      <c r="R81" s="3"/>
    </row>
    <row r="82" spans="1:18" x14ac:dyDescent="0.35">
      <c r="A82" s="58" t="s">
        <v>546</v>
      </c>
      <c r="B82" s="51">
        <f>D30</f>
        <v>0.13111888111888109</v>
      </c>
      <c r="F82" s="241">
        <f>E30</f>
        <v>6.8706293706293701E-4</v>
      </c>
      <c r="J82" s="241">
        <f>F30</f>
        <v>5.7692307692307677E-5</v>
      </c>
      <c r="N82" s="237"/>
      <c r="R82" s="3"/>
    </row>
    <row r="83" spans="1:18" x14ac:dyDescent="0.35">
      <c r="A83" s="58" t="s">
        <v>37</v>
      </c>
      <c r="B83" s="51">
        <f>D29</f>
        <v>0.97199999999999998</v>
      </c>
      <c r="F83" s="241">
        <f>E29</f>
        <v>3.5999999999999997E-4</v>
      </c>
      <c r="J83" s="241">
        <f>F29</f>
        <v>0.20280000000000001</v>
      </c>
      <c r="N83" s="237"/>
      <c r="R83" s="3"/>
    </row>
    <row r="84" spans="1:18" x14ac:dyDescent="0.35">
      <c r="A84" s="58" t="s">
        <v>36</v>
      </c>
      <c r="B84" s="51">
        <f>D28</f>
        <v>29.34710999999999</v>
      </c>
      <c r="F84" s="241">
        <f>E28</f>
        <v>0.32607899999999995</v>
      </c>
      <c r="J84" s="241">
        <f>F28</f>
        <v>0.17767124999999998</v>
      </c>
      <c r="N84" s="237"/>
      <c r="R84" s="3"/>
    </row>
    <row r="85" spans="1:18" x14ac:dyDescent="0.35">
      <c r="A85" s="58" t="s">
        <v>138</v>
      </c>
      <c r="C85" s="51">
        <f>C36*Assumptions!B7</f>
        <v>1.3275648</v>
      </c>
      <c r="F85" s="237"/>
      <c r="G85" s="51">
        <f>D36*Assumptions!B7</f>
        <v>4.1033127046699689E-9</v>
      </c>
      <c r="J85" s="237"/>
      <c r="K85" s="51"/>
      <c r="N85" s="237"/>
      <c r="O85" s="51">
        <f>F36*Assumptions!B7</f>
        <v>9.1199999999999992</v>
      </c>
      <c r="R85" s="3"/>
    </row>
    <row r="86" spans="1:18" x14ac:dyDescent="0.35">
      <c r="A86" s="58" t="s">
        <v>44</v>
      </c>
      <c r="C86" s="51">
        <f>C37*Assumptions!B7</f>
        <v>606.06043366247161</v>
      </c>
      <c r="D86" s="51">
        <f>C42*Assumptions!B7</f>
        <v>512.78280043964162</v>
      </c>
      <c r="F86" s="237"/>
      <c r="G86" s="51">
        <f>D37*Assumptions!B7</f>
        <v>0.60606043366247164</v>
      </c>
      <c r="H86" s="51">
        <f>D42*Assumptions!B7</f>
        <v>0.51278280043964153</v>
      </c>
      <c r="J86" s="237"/>
      <c r="K86" s="51"/>
      <c r="L86" s="51"/>
      <c r="N86" s="237"/>
      <c r="O86" s="51">
        <f>F37*Assumptions!B7</f>
        <v>0.48167464620553418</v>
      </c>
      <c r="R86" s="3"/>
    </row>
    <row r="87" spans="1:18" x14ac:dyDescent="0.35">
      <c r="A87" s="58" t="s">
        <v>45</v>
      </c>
      <c r="C87" s="51">
        <f>C38*Assumptions!B7</f>
        <v>23.263023685700311</v>
      </c>
      <c r="F87" s="237"/>
      <c r="G87" s="51"/>
      <c r="J87" s="237"/>
      <c r="K87" s="51"/>
      <c r="N87" s="237"/>
      <c r="O87" s="51">
        <f>F38*Assumptions!B7</f>
        <v>0.98503134141595905</v>
      </c>
      <c r="R87" s="3"/>
    </row>
    <row r="88" spans="1:18" x14ac:dyDescent="0.35">
      <c r="A88" s="58" t="s">
        <v>46</v>
      </c>
      <c r="C88" s="51">
        <f>C39*Assumptions!B7</f>
        <v>2.6127504593829354</v>
      </c>
      <c r="F88" s="237"/>
      <c r="G88" s="51">
        <f>D39*Assumptions!B7</f>
        <v>1.4355771754851292</v>
      </c>
      <c r="J88" s="237"/>
      <c r="K88" s="51"/>
      <c r="N88" s="237"/>
      <c r="O88" s="51">
        <f>(F39/5)*Assumptions!B7</f>
        <v>32.0565</v>
      </c>
      <c r="R88" s="3"/>
    </row>
    <row r="89" spans="1:18" x14ac:dyDescent="0.35">
      <c r="A89" s="58" t="s">
        <v>50</v>
      </c>
      <c r="B89" s="51"/>
      <c r="D89" s="51">
        <f>C44*Assumptions!B7</f>
        <v>4.3000000000000004E-4</v>
      </c>
      <c r="F89" s="237"/>
      <c r="H89" s="51"/>
      <c r="J89" s="237"/>
      <c r="L89" s="51"/>
      <c r="N89" s="237"/>
      <c r="O89" s="51"/>
      <c r="R89" s="3"/>
    </row>
    <row r="90" spans="1:18" x14ac:dyDescent="0.35">
      <c r="A90" s="58" t="s">
        <v>139</v>
      </c>
      <c r="D90" s="51"/>
      <c r="F90" s="237"/>
      <c r="H90" s="51"/>
      <c r="J90" s="237"/>
      <c r="L90" s="51"/>
      <c r="N90" s="237"/>
      <c r="O90" s="51">
        <f>F44*Assumptions!B7</f>
        <v>0.69243119651203311</v>
      </c>
      <c r="R90" s="3"/>
    </row>
    <row r="91" spans="1:18" x14ac:dyDescent="0.35">
      <c r="A91" s="58" t="s">
        <v>48</v>
      </c>
      <c r="D91" s="51">
        <f>C41*Assumptions!B7</f>
        <v>1.8997381844859098</v>
      </c>
      <c r="F91" s="237"/>
      <c r="H91" s="51">
        <f>D41*Assumptions!B7</f>
        <v>1.4613370649891613</v>
      </c>
      <c r="J91" s="237"/>
      <c r="L91" s="51"/>
      <c r="N91" s="237"/>
      <c r="R91" s="3"/>
    </row>
    <row r="92" spans="1:18" ht="15" thickBot="1" x14ac:dyDescent="0.4">
      <c r="A92" s="66" t="s">
        <v>541</v>
      </c>
      <c r="B92" s="48"/>
      <c r="C92" s="48"/>
      <c r="D92" s="48"/>
      <c r="E92" s="244">
        <f>C47*Assumptions!B7</f>
        <v>1.7825306872425635</v>
      </c>
      <c r="F92" s="243"/>
      <c r="G92" s="48"/>
      <c r="H92" s="48"/>
      <c r="I92" s="244">
        <f>D47*Assumptions!B7</f>
        <v>2.9708844787376058E-2</v>
      </c>
      <c r="J92" s="243"/>
      <c r="K92" s="48"/>
      <c r="L92" s="48"/>
      <c r="M92" s="48"/>
      <c r="N92" s="243"/>
      <c r="O92" s="48"/>
      <c r="P92" s="48"/>
      <c r="Q92" s="48"/>
      <c r="R92" s="7"/>
    </row>
  </sheetData>
  <mergeCells count="15">
    <mergeCell ref="A1:H1"/>
    <mergeCell ref="A30:A32"/>
    <mergeCell ref="A34:B34"/>
    <mergeCell ref="F44:F45"/>
    <mergeCell ref="A12:C12"/>
    <mergeCell ref="A11:C11"/>
    <mergeCell ref="A28:A29"/>
    <mergeCell ref="A36:A42"/>
    <mergeCell ref="B78:E78"/>
    <mergeCell ref="F78:I78"/>
    <mergeCell ref="J78:M78"/>
    <mergeCell ref="N78:R78"/>
    <mergeCell ref="A3:C3"/>
    <mergeCell ref="A20:C20"/>
    <mergeCell ref="A44:A47"/>
  </mergeCells>
  <pageMargins left="0.7" right="0.7" top="0.75" bottom="0.75" header="0.3" footer="0.3"/>
  <drawing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R240"/>
  <sheetViews>
    <sheetView topLeftCell="C104" zoomScale="90" zoomScaleNormal="90" workbookViewId="0">
      <selection activeCell="G113" sqref="G113"/>
    </sheetView>
  </sheetViews>
  <sheetFormatPr defaultRowHeight="14.5" x14ac:dyDescent="0.35"/>
  <cols>
    <col min="1" max="1" width="43" customWidth="1"/>
    <col min="2" max="2" width="29.90625" bestFit="1" customWidth="1"/>
    <col min="3" max="3" width="25.36328125" bestFit="1" customWidth="1"/>
    <col min="4" max="4" width="23.54296875" bestFit="1" customWidth="1"/>
    <col min="5" max="5" width="21.26953125" bestFit="1" customWidth="1"/>
    <col min="6" max="6" width="20.90625" bestFit="1" customWidth="1"/>
    <col min="7" max="7" width="23.36328125" bestFit="1" customWidth="1"/>
    <col min="8" max="8" width="18.81640625" bestFit="1" customWidth="1"/>
    <col min="15" max="15" width="17.1796875" bestFit="1" customWidth="1"/>
  </cols>
  <sheetData>
    <row r="1" spans="1:8" ht="26" customHeight="1" x14ac:dyDescent="0.6">
      <c r="A1" s="358" t="s">
        <v>103</v>
      </c>
      <c r="B1" s="359"/>
      <c r="C1" s="359"/>
      <c r="D1" s="359"/>
      <c r="E1" s="359"/>
      <c r="F1" s="359"/>
      <c r="G1" s="359"/>
      <c r="H1" s="359"/>
    </row>
    <row r="2" spans="1:8" ht="15" customHeight="1" x14ac:dyDescent="0.35">
      <c r="A2" s="91"/>
    </row>
    <row r="3" spans="1:8" ht="15" customHeight="1" thickBot="1" x14ac:dyDescent="0.4">
      <c r="A3" s="372" t="s">
        <v>1</v>
      </c>
      <c r="B3" s="359"/>
      <c r="C3" s="359"/>
    </row>
    <row r="4" spans="1:8" ht="15" customHeight="1" thickBot="1" x14ac:dyDescent="0.4">
      <c r="A4" s="293"/>
      <c r="B4" s="92" t="s">
        <v>2</v>
      </c>
      <c r="C4" s="93" t="s">
        <v>3</v>
      </c>
      <c r="E4" s="94" t="s">
        <v>4</v>
      </c>
    </row>
    <row r="5" spans="1:8" x14ac:dyDescent="0.35">
      <c r="A5" s="1" t="s">
        <v>5</v>
      </c>
      <c r="B5" s="126">
        <f>Assumptions!B8</f>
        <v>5</v>
      </c>
      <c r="C5" s="124" t="s">
        <v>579</v>
      </c>
      <c r="E5" s="4" t="s">
        <v>6</v>
      </c>
    </row>
    <row r="6" spans="1:8" ht="15" customHeight="1" thickBot="1" x14ac:dyDescent="0.4">
      <c r="A6" s="5" t="s">
        <v>8</v>
      </c>
      <c r="B6" s="123">
        <f>Assumptions!C19</f>
        <v>2.5</v>
      </c>
      <c r="C6" s="125" t="s">
        <v>144</v>
      </c>
      <c r="E6" s="8" t="s">
        <v>7</v>
      </c>
    </row>
    <row r="7" spans="1:8" ht="15" customHeight="1" x14ac:dyDescent="0.35">
      <c r="A7" s="9"/>
      <c r="B7" s="165"/>
    </row>
    <row r="8" spans="1:8" s="88" customFormat="1" ht="15" customHeight="1" thickBot="1" x14ac:dyDescent="0.4"/>
    <row r="9" spans="1:8" ht="19" customHeight="1" thickBot="1" x14ac:dyDescent="0.5">
      <c r="A9" s="150" t="s">
        <v>9</v>
      </c>
      <c r="B9" s="151"/>
      <c r="C9" s="151"/>
      <c r="D9" s="151"/>
      <c r="E9" s="151"/>
      <c r="F9" s="151"/>
      <c r="G9" s="152"/>
    </row>
    <row r="10" spans="1:8" ht="15" customHeight="1" thickBot="1" x14ac:dyDescent="0.4"/>
    <row r="11" spans="1:8" ht="15" customHeight="1" x14ac:dyDescent="0.35">
      <c r="A11" s="376" t="s">
        <v>10</v>
      </c>
      <c r="B11" s="377"/>
      <c r="C11" s="378"/>
    </row>
    <row r="12" spans="1:8" x14ac:dyDescent="0.35">
      <c r="A12" s="379" t="s">
        <v>11</v>
      </c>
      <c r="B12" s="380"/>
      <c r="C12" s="381"/>
      <c r="D12" s="9"/>
    </row>
    <row r="13" spans="1:8" ht="16.5" customHeight="1" thickBot="1" x14ac:dyDescent="0.4">
      <c r="A13" s="153"/>
      <c r="B13" s="147" t="s">
        <v>2</v>
      </c>
      <c r="C13" s="148" t="s">
        <v>3</v>
      </c>
      <c r="D13" s="9"/>
    </row>
    <row r="14" spans="1:8" ht="16.5" customHeight="1" x14ac:dyDescent="0.35">
      <c r="A14" s="12" t="s">
        <v>12</v>
      </c>
      <c r="B14" s="15">
        <v>4</v>
      </c>
      <c r="C14" s="11" t="s">
        <v>13</v>
      </c>
      <c r="D14" s="9"/>
    </row>
    <row r="15" spans="1:8" ht="16.5" x14ac:dyDescent="0.35">
      <c r="A15" s="12" t="s">
        <v>14</v>
      </c>
      <c r="B15" s="13">
        <f>(131.35*28)/1000</f>
        <v>3.6777999999999995</v>
      </c>
      <c r="C15" s="11" t="s">
        <v>508</v>
      </c>
      <c r="D15" s="9"/>
    </row>
    <row r="16" spans="1:8" ht="16.5" x14ac:dyDescent="0.35">
      <c r="A16" s="10" t="s">
        <v>15</v>
      </c>
      <c r="B16" s="14">
        <v>19.2</v>
      </c>
      <c r="C16" s="11" t="s">
        <v>509</v>
      </c>
      <c r="D16" s="9"/>
    </row>
    <row r="17" spans="1:8" x14ac:dyDescent="0.35">
      <c r="A17" s="12" t="s">
        <v>16</v>
      </c>
      <c r="B17" s="13">
        <f>B15/B16</f>
        <v>0.19155208333333332</v>
      </c>
      <c r="C17" s="11" t="s">
        <v>17</v>
      </c>
      <c r="D17" s="9"/>
    </row>
    <row r="18" spans="1:8" x14ac:dyDescent="0.35">
      <c r="A18" s="12" t="s">
        <v>18</v>
      </c>
      <c r="B18" s="13">
        <f>B5*(1/B6)</f>
        <v>2</v>
      </c>
      <c r="C18" s="11" t="s">
        <v>19</v>
      </c>
      <c r="D18" s="9"/>
    </row>
    <row r="19" spans="1:8" ht="17" customHeight="1" x14ac:dyDescent="0.35">
      <c r="A19" s="12" t="s">
        <v>20</v>
      </c>
      <c r="B19" s="15">
        <f>ROUNDUP(B18/B17,0)</f>
        <v>11</v>
      </c>
      <c r="C19" s="11" t="s">
        <v>21</v>
      </c>
      <c r="D19" s="9"/>
    </row>
    <row r="20" spans="1:8" ht="15" customHeight="1" x14ac:dyDescent="0.35">
      <c r="A20" s="16" t="s">
        <v>22</v>
      </c>
      <c r="B20" s="17">
        <f>B17*B19</f>
        <v>2.1070729166666666</v>
      </c>
      <c r="C20" s="18" t="s">
        <v>19</v>
      </c>
      <c r="D20" s="19"/>
      <c r="E20" s="20"/>
      <c r="F20" s="20"/>
    </row>
    <row r="21" spans="1:8" ht="15" customHeight="1" thickBot="1" x14ac:dyDescent="0.4">
      <c r="A21" s="12" t="s">
        <v>23</v>
      </c>
      <c r="B21" s="13">
        <f>B20/B15</f>
        <v>0.57291666666666674</v>
      </c>
      <c r="C21" s="11" t="s">
        <v>510</v>
      </c>
      <c r="D21" s="19"/>
      <c r="E21" s="20"/>
      <c r="F21" s="20"/>
    </row>
    <row r="22" spans="1:8" x14ac:dyDescent="0.35">
      <c r="A22" s="382" t="s">
        <v>24</v>
      </c>
      <c r="B22" s="383"/>
      <c r="C22" s="384"/>
      <c r="D22" s="9"/>
    </row>
    <row r="23" spans="1:8" ht="15" customHeight="1" thickBot="1" x14ac:dyDescent="0.4">
      <c r="A23" s="171"/>
      <c r="B23" s="147" t="s">
        <v>2</v>
      </c>
      <c r="C23" s="148" t="s">
        <v>3</v>
      </c>
      <c r="D23" s="9"/>
      <c r="G23" s="20"/>
      <c r="H23" s="20"/>
    </row>
    <row r="24" spans="1:8" ht="17" customHeight="1" x14ac:dyDescent="0.35">
      <c r="A24" s="12" t="s">
        <v>25</v>
      </c>
      <c r="B24" s="21">
        <f>B19*B14</f>
        <v>44</v>
      </c>
      <c r="C24" s="11" t="s">
        <v>26</v>
      </c>
      <c r="D24" s="9"/>
      <c r="G24" s="20"/>
      <c r="H24" s="20"/>
    </row>
    <row r="25" spans="1:8" x14ac:dyDescent="0.35">
      <c r="A25" s="12" t="s">
        <v>27</v>
      </c>
      <c r="B25" s="22">
        <f>B17*B24</f>
        <v>8.4282916666666665</v>
      </c>
      <c r="C25" s="11" t="s">
        <v>28</v>
      </c>
      <c r="D25" s="9"/>
      <c r="G25" s="20"/>
      <c r="H25" s="20"/>
    </row>
    <row r="26" spans="1:8" ht="15" customHeight="1" thickBot="1" x14ac:dyDescent="0.4">
      <c r="A26" s="5" t="s">
        <v>23</v>
      </c>
      <c r="B26" s="23">
        <f>B25/B15</f>
        <v>2.291666666666667</v>
      </c>
      <c r="C26" s="24" t="s">
        <v>510</v>
      </c>
      <c r="D26" s="9"/>
      <c r="G26" s="20"/>
      <c r="H26" s="20"/>
    </row>
    <row r="27" spans="1:8" ht="17" customHeight="1" thickBot="1" x14ac:dyDescent="0.4">
      <c r="B27" s="15"/>
      <c r="C27" s="15"/>
    </row>
    <row r="28" spans="1:8" ht="15" customHeight="1" x14ac:dyDescent="0.35">
      <c r="A28" s="155" t="s">
        <v>29</v>
      </c>
      <c r="B28" s="156"/>
      <c r="C28" s="156"/>
      <c r="D28" s="156"/>
      <c r="E28" s="156"/>
      <c r="F28" s="156"/>
      <c r="G28" s="157"/>
    </row>
    <row r="29" spans="1:8" ht="17" customHeight="1" thickBot="1" x14ac:dyDescent="0.5">
      <c r="A29" s="154" t="s">
        <v>30</v>
      </c>
      <c r="B29" s="147" t="s">
        <v>31</v>
      </c>
      <c r="C29" s="147" t="s">
        <v>32</v>
      </c>
      <c r="D29" s="147" t="s">
        <v>33</v>
      </c>
      <c r="E29" s="147" t="s">
        <v>498</v>
      </c>
      <c r="F29" s="147" t="s">
        <v>499</v>
      </c>
      <c r="G29" s="148" t="s">
        <v>34</v>
      </c>
    </row>
    <row r="30" spans="1:8" x14ac:dyDescent="0.35">
      <c r="A30" s="391" t="s">
        <v>35</v>
      </c>
      <c r="B30" t="s">
        <v>36</v>
      </c>
      <c r="C30" s="15">
        <v>1</v>
      </c>
      <c r="D30" s="25">
        <f>(101.5-22.9-8.4)*B26</f>
        <v>160.875</v>
      </c>
      <c r="E30" s="25">
        <f>(1.03-0.25)*B26</f>
        <v>1.7875000000000003</v>
      </c>
      <c r="F30" s="26">
        <f>(2.6-2.1-0.075)*B26</f>
        <v>0.97395833333333348</v>
      </c>
      <c r="G30" s="27"/>
      <c r="H30" s="393"/>
    </row>
    <row r="31" spans="1:8" x14ac:dyDescent="0.35">
      <c r="A31" s="374"/>
      <c r="B31" s="28" t="s">
        <v>37</v>
      </c>
      <c r="C31" s="29">
        <f>ROUNDUP(B26*9,0)</f>
        <v>21</v>
      </c>
      <c r="D31" s="30">
        <f>0.243*C31</f>
        <v>5.1029999999999998</v>
      </c>
      <c r="E31" s="31">
        <f>(0.3*0.3*0.001)*C31</f>
        <v>1.8899999999999998E-3</v>
      </c>
      <c r="F31" s="31">
        <f>50.7*C31*(1/1000)</f>
        <v>1.0647</v>
      </c>
      <c r="G31" s="32"/>
      <c r="H31" s="386"/>
    </row>
    <row r="32" spans="1:8" ht="15" customHeight="1" thickBot="1" x14ac:dyDescent="0.4">
      <c r="A32" s="385" t="s">
        <v>38</v>
      </c>
      <c r="B32" s="38" t="s">
        <v>546</v>
      </c>
      <c r="C32" s="34">
        <f>IF((0.003785*C34*2) &lt;= 0.0187, 1, CEILING((0.003785*C34*2)/0.0187, 1))</f>
        <v>3</v>
      </c>
      <c r="D32" s="35">
        <f>0.75*B20*C32</f>
        <v>4.7409140624999999</v>
      </c>
      <c r="E32" s="36">
        <f>0.00393*B20*C32</f>
        <v>2.4842389687500001E-2</v>
      </c>
      <c r="F32" s="35">
        <f>0.00033*B20*C32</f>
        <v>2.0860021874999999E-3</v>
      </c>
      <c r="G32" s="37"/>
      <c r="H32" s="78"/>
    </row>
    <row r="33" spans="1:8" x14ac:dyDescent="0.35">
      <c r="A33" s="364"/>
      <c r="B33" s="38" t="s">
        <v>39</v>
      </c>
      <c r="C33" s="39">
        <f>IF(F46 &lt;= 2, 1, CEILING(F46 / 2, 1))</f>
        <v>1</v>
      </c>
      <c r="D33" s="26">
        <f>0.20411*C33/Assumptions!$B$5</f>
        <v>3.4018333333333338E-2</v>
      </c>
      <c r="E33" s="26">
        <f>0.00064416*C33/Assumptions!$B$5</f>
        <v>1.0735999999999999E-4</v>
      </c>
      <c r="F33" s="40"/>
      <c r="G33" s="41"/>
      <c r="H33" t="s">
        <v>525</v>
      </c>
    </row>
    <row r="34" spans="1:8" ht="15" customHeight="1" thickBot="1" x14ac:dyDescent="0.4">
      <c r="A34" s="365"/>
      <c r="B34" s="42" t="s">
        <v>40</v>
      </c>
      <c r="C34" s="43">
        <f>ROUNDUP(B20/(85*0.003785),0)</f>
        <v>7</v>
      </c>
      <c r="D34" s="44">
        <f>(7.62/250)*(0.45359/1)*C34</f>
        <v>9.67779624E-2</v>
      </c>
      <c r="E34" s="44">
        <f>(10.5*11*0.00394)*0.00001639*C34</f>
        <v>5.2210181100000003E-5</v>
      </c>
      <c r="F34" s="45"/>
      <c r="G34" s="46"/>
      <c r="H34" s="79"/>
    </row>
    <row r="35" spans="1:8" ht="17" customHeight="1" thickBot="1" x14ac:dyDescent="0.4"/>
    <row r="36" spans="1:8" ht="15" customHeight="1" x14ac:dyDescent="0.35">
      <c r="A36" s="387" t="s">
        <v>41</v>
      </c>
      <c r="B36" s="383"/>
      <c r="C36" s="159"/>
      <c r="D36" s="159"/>
      <c r="E36" s="158"/>
      <c r="F36" s="160"/>
    </row>
    <row r="37" spans="1:8" ht="17" customHeight="1" thickBot="1" x14ac:dyDescent="0.5">
      <c r="A37" s="166" t="s">
        <v>30</v>
      </c>
      <c r="B37" s="167" t="s">
        <v>42</v>
      </c>
      <c r="C37" s="167" t="s">
        <v>33</v>
      </c>
      <c r="D37" s="147" t="s">
        <v>498</v>
      </c>
      <c r="E37" s="167" t="s">
        <v>499</v>
      </c>
      <c r="F37" s="168" t="s">
        <v>34</v>
      </c>
    </row>
    <row r="38" spans="1:8" ht="15" customHeight="1" thickBot="1" x14ac:dyDescent="0.4">
      <c r="A38" s="392" t="s">
        <v>35</v>
      </c>
      <c r="B38" t="s">
        <v>43</v>
      </c>
      <c r="C38" s="26">
        <f>B19*(1.01/1000000)</f>
        <v>1.111E-5</v>
      </c>
      <c r="D38" s="26">
        <f>((4.57*1.524*0.5)/(1000^3))*B19</f>
        <v>3.8305740000000002E-8</v>
      </c>
      <c r="E38" s="49"/>
      <c r="F38" s="50">
        <f>B19/(10*60)*1.5</f>
        <v>2.75E-2</v>
      </c>
      <c r="G38" s="87"/>
    </row>
    <row r="39" spans="1:8" x14ac:dyDescent="0.35">
      <c r="A39" s="364"/>
      <c r="B39" t="s">
        <v>44</v>
      </c>
      <c r="C39" s="26">
        <f>D39*1000</f>
        <v>39.815416666666671</v>
      </c>
      <c r="D39" s="25">
        <f>(7.3*B21*28)*0.34*0.001</f>
        <v>3.9815416666666673E-2</v>
      </c>
      <c r="E39" s="49"/>
      <c r="F39" s="50">
        <f>90*4*(1/60)*(1/12.5)*(1/365)*28*B21*1.5</f>
        <v>3.1643835616438361E-2</v>
      </c>
      <c r="G39" s="87"/>
    </row>
    <row r="40" spans="1:8" ht="16.5" customHeight="1" x14ac:dyDescent="0.35">
      <c r="A40" s="364"/>
      <c r="B40" t="s">
        <v>45</v>
      </c>
      <c r="C40" s="26">
        <f>(1.166+(12.406*3))*(1/1000)*D39*1000</f>
        <v>1.5282749533333335</v>
      </c>
      <c r="D40" s="52"/>
      <c r="E40" s="49"/>
      <c r="F40" s="50">
        <f>(20.17/10)*(1/60)*(1/12.5)*B21*28*1.5</f>
        <v>6.4712083333333337E-2</v>
      </c>
      <c r="G40" s="87"/>
    </row>
    <row r="41" spans="1:8" x14ac:dyDescent="0.35">
      <c r="A41" s="364"/>
      <c r="B41" t="s">
        <v>46</v>
      </c>
      <c r="C41" s="26">
        <f>(10.7*B21*28)/1000</f>
        <v>0.17164583333333333</v>
      </c>
      <c r="D41" s="26">
        <f>C41/1.82</f>
        <v>9.4310897435897434E-2</v>
      </c>
      <c r="E41" s="49"/>
      <c r="F41" s="53">
        <f>2.13*365*(1/60)*(1/365)*28*1.5</f>
        <v>1.4909999999999999</v>
      </c>
      <c r="G41" s="87"/>
    </row>
    <row r="42" spans="1:8" ht="15" customHeight="1" x14ac:dyDescent="0.45">
      <c r="A42" s="364"/>
      <c r="B42" s="161" t="s">
        <v>47</v>
      </c>
      <c r="C42" s="162" t="s">
        <v>33</v>
      </c>
      <c r="D42" s="162" t="s">
        <v>498</v>
      </c>
      <c r="E42" s="162" t="s">
        <v>499</v>
      </c>
      <c r="F42" s="163" t="s">
        <v>34</v>
      </c>
    </row>
    <row r="43" spans="1:8" x14ac:dyDescent="0.35">
      <c r="A43" s="364"/>
      <c r="B43" s="38" t="s">
        <v>48</v>
      </c>
      <c r="C43" s="26">
        <f>7.78*B21*28*(1/1000)</f>
        <v>0.12480416666666669</v>
      </c>
      <c r="D43" s="26">
        <f>C43*(1/1.3)</f>
        <v>9.6003205128205135E-2</v>
      </c>
      <c r="E43" s="49"/>
      <c r="F43" s="54"/>
      <c r="G43" s="87"/>
    </row>
    <row r="44" spans="1:8" x14ac:dyDescent="0.35">
      <c r="A44" s="365"/>
      <c r="B44" s="38" t="s">
        <v>49</v>
      </c>
      <c r="C44" s="26">
        <f>2.1*B21*28</f>
        <v>33.687500000000007</v>
      </c>
      <c r="D44" s="26">
        <f>C44*(1/1000)</f>
        <v>3.3687500000000009E-2</v>
      </c>
      <c r="E44" s="49"/>
      <c r="F44" s="54"/>
    </row>
    <row r="45" spans="1:8" ht="16.5" customHeight="1" x14ac:dyDescent="0.45">
      <c r="A45" s="149" t="s">
        <v>30</v>
      </c>
      <c r="B45" s="162" t="s">
        <v>47</v>
      </c>
      <c r="C45" s="162" t="s">
        <v>33</v>
      </c>
      <c r="D45" s="162" t="s">
        <v>498</v>
      </c>
      <c r="E45" s="162" t="s">
        <v>499</v>
      </c>
      <c r="F45" s="163" t="s">
        <v>34</v>
      </c>
    </row>
    <row r="46" spans="1:8" ht="15" customHeight="1" thickBot="1" x14ac:dyDescent="0.4">
      <c r="A46" s="371" t="s">
        <v>38</v>
      </c>
      <c r="B46" s="38" t="s">
        <v>50</v>
      </c>
      <c r="C46" s="26">
        <f>B5*(1/1000000)</f>
        <v>4.9999999999999996E-6</v>
      </c>
      <c r="D46" s="49"/>
      <c r="E46" s="49"/>
      <c r="F46" s="368">
        <f>(3.97*B21)*(1/60)*1.5</f>
        <v>5.6861979166666674E-2</v>
      </c>
    </row>
    <row r="47" spans="1:8" x14ac:dyDescent="0.35">
      <c r="A47" s="364"/>
      <c r="B47" s="38" t="s">
        <v>51</v>
      </c>
      <c r="C47" s="25">
        <f>(B15*B21)-C48</f>
        <v>0.21070729166666657</v>
      </c>
      <c r="D47" s="26">
        <f>C47*(1/368)</f>
        <v>5.7257416213768084E-4</v>
      </c>
      <c r="E47" s="49"/>
      <c r="F47" s="369"/>
    </row>
    <row r="48" spans="1:8" x14ac:dyDescent="0.35">
      <c r="A48" s="364"/>
      <c r="B48" s="38" t="s">
        <v>52</v>
      </c>
      <c r="C48" s="26">
        <f>B20*0.9</f>
        <v>1.8963656250000001</v>
      </c>
      <c r="D48" s="26">
        <f>C48*(1/1000)</f>
        <v>1.896365625E-3</v>
      </c>
      <c r="E48" s="49"/>
      <c r="F48" s="369"/>
    </row>
    <row r="49" spans="1:8" x14ac:dyDescent="0.35">
      <c r="A49" s="364"/>
      <c r="B49" s="38" t="s">
        <v>53</v>
      </c>
      <c r="C49" s="49"/>
      <c r="D49" s="49"/>
      <c r="E49" s="25">
        <f>((((B20*17)/0.1)*1000*4.184)/(28*24*3600))/1000</f>
        <v>6.1951009596836431E-4</v>
      </c>
      <c r="F49" s="369"/>
    </row>
    <row r="50" spans="1:8" ht="15" customHeight="1" x14ac:dyDescent="0.35">
      <c r="A50" s="364"/>
      <c r="B50" s="38" t="s">
        <v>54</v>
      </c>
      <c r="C50" s="26">
        <f>((0.74+0.07+3.37+0.12+0.32)/0.1)*B20*(1/1000)</f>
        <v>9.7346768749999993E-2</v>
      </c>
      <c r="D50" s="49"/>
      <c r="E50" s="49"/>
      <c r="F50" s="369"/>
    </row>
    <row r="51" spans="1:8" x14ac:dyDescent="0.35">
      <c r="A51" s="364"/>
      <c r="B51" s="38" t="s">
        <v>55</v>
      </c>
      <c r="C51" s="26">
        <f>((14+0.03+6.3+19+139+16+0.17+0.033+0.082+0.056+0.218+0.04+0.0205)/0.1)*B20*(1/1000000)</f>
        <v>4.1077281156770822E-3</v>
      </c>
      <c r="D51" s="49"/>
      <c r="E51" s="49"/>
      <c r="F51" s="370"/>
    </row>
    <row r="52" spans="1:8" ht="16.5" customHeight="1" x14ac:dyDescent="0.45">
      <c r="A52" s="364"/>
      <c r="B52" s="161" t="s">
        <v>56</v>
      </c>
      <c r="C52" s="162" t="s">
        <v>33</v>
      </c>
      <c r="D52" s="162" t="s">
        <v>498</v>
      </c>
      <c r="E52" s="162" t="s">
        <v>499</v>
      </c>
      <c r="F52" s="163" t="s">
        <v>34</v>
      </c>
    </row>
    <row r="53" spans="1:8" ht="15" customHeight="1" thickBot="1" x14ac:dyDescent="0.4">
      <c r="A53" s="365"/>
      <c r="B53" s="42" t="s">
        <v>57</v>
      </c>
      <c r="C53" s="44">
        <f>(7.3/1000)*B21*28</f>
        <v>0.11710416666666669</v>
      </c>
      <c r="D53" s="44">
        <f>C53*(1/60)</f>
        <v>1.9517361111111116E-3</v>
      </c>
      <c r="E53" s="55"/>
      <c r="F53" s="57"/>
    </row>
    <row r="54" spans="1:8" ht="15" customHeight="1" thickBot="1" x14ac:dyDescent="0.4"/>
    <row r="55" spans="1:8" ht="15" customHeight="1" x14ac:dyDescent="0.35">
      <c r="A55" s="170" t="s">
        <v>58</v>
      </c>
      <c r="B55" s="158"/>
      <c r="C55" s="158"/>
      <c r="D55" s="158"/>
      <c r="E55" s="158"/>
      <c r="F55" s="160"/>
    </row>
    <row r="56" spans="1:8" ht="15" customHeight="1" thickBot="1" x14ac:dyDescent="0.4">
      <c r="A56" s="154" t="s">
        <v>59</v>
      </c>
      <c r="B56" s="147" t="s">
        <v>60</v>
      </c>
      <c r="C56" s="147" t="s">
        <v>61</v>
      </c>
      <c r="D56" s="147" t="s">
        <v>62</v>
      </c>
      <c r="E56" s="147" t="s">
        <v>63</v>
      </c>
      <c r="F56" s="163" t="s">
        <v>515</v>
      </c>
    </row>
    <row r="57" spans="1:8" x14ac:dyDescent="0.35">
      <c r="A57" s="58" t="s">
        <v>33</v>
      </c>
      <c r="B57" s="26">
        <f>SUM(D30:D34)</f>
        <v>170.84971035823335</v>
      </c>
      <c r="C57" s="26">
        <f>C38+(C40/4*4)+(C41/4*4)</f>
        <v>1.6999318966666668</v>
      </c>
      <c r="D57" s="59"/>
      <c r="E57" s="26">
        <f>SUM((C43/4*4),C46,C47,C48,C50,C51)</f>
        <v>2.3333365801990102</v>
      </c>
      <c r="F57" s="61"/>
      <c r="H57" s="15"/>
    </row>
    <row r="58" spans="1:8" ht="16.5" x14ac:dyDescent="0.35">
      <c r="A58" s="58" t="s">
        <v>498</v>
      </c>
      <c r="B58" s="26">
        <f>SUM(E30:E34)</f>
        <v>1.8143919598686002</v>
      </c>
      <c r="C58" s="26">
        <f>D38+(D41/4*4)</f>
        <v>9.4310935741637431E-2</v>
      </c>
      <c r="D58" s="52"/>
      <c r="E58" s="26">
        <f>SUM((D43/4*4),(D44/4*4),D47,D48)</f>
        <v>0.13215964491534282</v>
      </c>
      <c r="F58" s="61"/>
      <c r="H58" s="15"/>
    </row>
    <row r="59" spans="1:8" ht="16.5" x14ac:dyDescent="0.45">
      <c r="A59" s="58" t="s">
        <v>499</v>
      </c>
      <c r="B59" s="26">
        <f>SUM(F30:F32)</f>
        <v>2.0407443355208335</v>
      </c>
      <c r="C59" s="60"/>
      <c r="D59" s="49"/>
      <c r="E59" s="26">
        <f>E49</f>
        <v>6.1951009596836431E-4</v>
      </c>
      <c r="F59" s="54"/>
      <c r="H59" s="15"/>
    </row>
    <row r="60" spans="1:8" ht="16.5" x14ac:dyDescent="0.45">
      <c r="A60" s="58" t="s">
        <v>500</v>
      </c>
      <c r="B60" s="26">
        <f>SUM(F30:F32)</f>
        <v>2.0407443355208335</v>
      </c>
      <c r="C60" s="49"/>
      <c r="D60" s="59"/>
      <c r="E60" s="49"/>
      <c r="F60" s="54"/>
      <c r="H60" s="39"/>
    </row>
    <row r="61" spans="1:8" x14ac:dyDescent="0.35">
      <c r="A61" s="58" t="s">
        <v>511</v>
      </c>
      <c r="B61" s="26">
        <v>0</v>
      </c>
      <c r="C61" s="62"/>
      <c r="D61" s="62"/>
      <c r="E61" s="62"/>
      <c r="F61" s="230">
        <f>+SUM(F38,(F39/4*4),(F40/4*4),(F41/4))+F46</f>
        <v>0.55346789811643837</v>
      </c>
      <c r="H61" s="15"/>
    </row>
    <row r="62" spans="1:8" ht="15" customHeight="1" x14ac:dyDescent="0.35">
      <c r="A62" s="64" t="s">
        <v>65</v>
      </c>
      <c r="B62" s="65"/>
      <c r="C62" s="224">
        <v>0</v>
      </c>
      <c r="D62" s="49"/>
      <c r="E62" s="26">
        <f>B20</f>
        <v>2.1070729166666666</v>
      </c>
      <c r="F62" s="54"/>
      <c r="H62" s="15"/>
    </row>
    <row r="63" spans="1:8" x14ac:dyDescent="0.35">
      <c r="A63" s="58" t="s">
        <v>66</v>
      </c>
      <c r="B63" s="26">
        <f>C63-C44-C48</f>
        <v>4.2315510416666644</v>
      </c>
      <c r="C63" s="26">
        <f>(C39/4*4)</f>
        <v>39.815416666666671</v>
      </c>
      <c r="D63" s="49"/>
      <c r="E63" s="26">
        <f>C44/4*4</f>
        <v>33.687500000000007</v>
      </c>
      <c r="F63" s="54"/>
      <c r="H63" s="15"/>
    </row>
    <row r="64" spans="1:8" ht="15" customHeight="1" thickBot="1" x14ac:dyDescent="0.4">
      <c r="A64" s="66" t="s">
        <v>67</v>
      </c>
      <c r="B64" s="67"/>
      <c r="C64" s="67"/>
      <c r="D64" s="44">
        <f>C53</f>
        <v>0.11710416666666669</v>
      </c>
      <c r="E64" s="67"/>
      <c r="F64" s="212"/>
    </row>
    <row r="65" spans="1:8" ht="15" customHeight="1" thickBot="1" x14ac:dyDescent="0.4"/>
    <row r="66" spans="1:8" ht="15" customHeight="1" x14ac:dyDescent="0.35">
      <c r="A66" s="170" t="s">
        <v>68</v>
      </c>
      <c r="B66" s="159"/>
      <c r="C66" s="159"/>
      <c r="D66" s="159"/>
      <c r="E66" s="159"/>
      <c r="F66" s="159"/>
      <c r="G66" s="158"/>
      <c r="H66" s="160"/>
    </row>
    <row r="67" spans="1:8" ht="19" customHeight="1" thickBot="1" x14ac:dyDescent="0.5">
      <c r="A67" s="154" t="s">
        <v>69</v>
      </c>
      <c r="B67" s="147" t="s">
        <v>502</v>
      </c>
      <c r="C67" s="147" t="s">
        <v>503</v>
      </c>
      <c r="D67" s="147" t="s">
        <v>504</v>
      </c>
      <c r="E67" s="147" t="s">
        <v>505</v>
      </c>
      <c r="F67" s="147" t="s">
        <v>506</v>
      </c>
      <c r="G67" s="147" t="s">
        <v>507</v>
      </c>
      <c r="H67" s="148" t="s">
        <v>76</v>
      </c>
    </row>
    <row r="68" spans="1:8" ht="15" customHeight="1" thickBot="1" x14ac:dyDescent="0.4">
      <c r="A68" s="207" t="s">
        <v>484</v>
      </c>
      <c r="B68" s="69">
        <f>Assumptions!B13</f>
        <v>79.3</v>
      </c>
      <c r="C68" s="69">
        <f>Assumptions!C13</f>
        <v>162</v>
      </c>
      <c r="D68" s="69">
        <f>Assumptions!D13</f>
        <v>96</v>
      </c>
      <c r="E68" s="69">
        <f>Assumptions!E13</f>
        <v>0.21</v>
      </c>
      <c r="F68" s="69">
        <f>Assumptions!F13</f>
        <v>0.93</v>
      </c>
      <c r="G68" s="69">
        <f>Assumptions!G13</f>
        <v>0.3</v>
      </c>
      <c r="H68" s="73">
        <f>Assumptions!H13</f>
        <v>0.94</v>
      </c>
    </row>
    <row r="69" spans="1:8" ht="15" customHeight="1" thickBot="1" x14ac:dyDescent="0.4">
      <c r="B69" s="15"/>
      <c r="C69" s="15"/>
      <c r="D69" s="15"/>
      <c r="E69" s="15"/>
      <c r="F69" s="15"/>
    </row>
    <row r="70" spans="1:8" ht="15" customHeight="1" x14ac:dyDescent="0.35">
      <c r="A70" s="70" t="s">
        <v>78</v>
      </c>
      <c r="B70" s="71">
        <v>1</v>
      </c>
      <c r="C70" s="15"/>
      <c r="D70" s="26"/>
      <c r="E70" s="26"/>
      <c r="F70" s="26"/>
    </row>
    <row r="71" spans="1:8" ht="17" customHeight="1" thickBot="1" x14ac:dyDescent="0.4">
      <c r="A71" s="72" t="s">
        <v>582</v>
      </c>
      <c r="B71" s="73">
        <f>B70*Assumptions!B7</f>
        <v>86</v>
      </c>
      <c r="C71" s="15"/>
      <c r="D71" s="15"/>
      <c r="E71" s="15"/>
      <c r="F71" s="15"/>
    </row>
    <row r="72" spans="1:8" ht="15" customHeight="1" thickBot="1" x14ac:dyDescent="0.4">
      <c r="B72" s="15"/>
      <c r="C72" s="15"/>
      <c r="D72" s="15"/>
      <c r="E72" s="15"/>
      <c r="F72" s="15"/>
    </row>
    <row r="73" spans="1:8" ht="17" customHeight="1" thickBot="1" x14ac:dyDescent="0.5">
      <c r="A73" s="164" t="s">
        <v>79</v>
      </c>
      <c r="B73" s="145" t="s">
        <v>501</v>
      </c>
    </row>
    <row r="74" spans="1:8" x14ac:dyDescent="0.35">
      <c r="A74" s="82" t="s">
        <v>60</v>
      </c>
      <c r="B74" s="231">
        <f>B57+(B58*B68)+(B59*C68)+(B60*D68)+(B63*G68)+(B61*H68)</f>
        <v>842.51249665268836</v>
      </c>
    </row>
    <row r="75" spans="1:8" x14ac:dyDescent="0.35">
      <c r="A75" s="82" t="s">
        <v>515</v>
      </c>
      <c r="B75" s="231">
        <f>+B71*F61*H68</f>
        <v>44.742344883732876</v>
      </c>
    </row>
    <row r="76" spans="1:8" x14ac:dyDescent="0.35">
      <c r="A76" s="82" t="s">
        <v>81</v>
      </c>
      <c r="B76" s="232">
        <f>B71*(C57+(C58*B68)+(C63*G68)+(C62*E68))</f>
        <v>1816.6136126841523</v>
      </c>
    </row>
    <row r="77" spans="1:8" ht="17" customHeight="1" x14ac:dyDescent="0.35">
      <c r="A77" s="82" t="s">
        <v>82</v>
      </c>
      <c r="B77" s="232">
        <f>B71*((D64*F68))</f>
        <v>9.3659912500000022</v>
      </c>
    </row>
    <row r="78" spans="1:8" x14ac:dyDescent="0.35">
      <c r="A78" s="83" t="s">
        <v>83</v>
      </c>
      <c r="B78" s="233">
        <f>B71*(E57+(E58*B68)+(E59*C68)-(E62*E68)+(E63*G68))</f>
        <v>1941.684070072801</v>
      </c>
    </row>
    <row r="79" spans="1:8" ht="17" customHeight="1" thickBot="1" x14ac:dyDescent="0.5">
      <c r="A79" s="84" t="s">
        <v>528</v>
      </c>
      <c r="B79" s="234">
        <f>B74+B75+B76+B77-B78</f>
        <v>771.550375397773</v>
      </c>
    </row>
    <row r="80" spans="1:8" x14ac:dyDescent="0.35">
      <c r="A80" s="47"/>
      <c r="B80" s="119"/>
    </row>
    <row r="81" spans="1:8" s="88" customFormat="1" ht="15" customHeight="1" thickBot="1" x14ac:dyDescent="0.4">
      <c r="A81" s="185"/>
      <c r="B81" s="186"/>
    </row>
    <row r="82" spans="1:8" ht="19" customHeight="1" thickBot="1" x14ac:dyDescent="0.5">
      <c r="A82" s="394" t="s">
        <v>140</v>
      </c>
      <c r="B82" s="395"/>
      <c r="C82" s="395"/>
      <c r="D82" s="257"/>
      <c r="E82" s="257"/>
      <c r="F82" s="257"/>
      <c r="G82" s="257"/>
      <c r="H82" s="258"/>
    </row>
    <row r="83" spans="1:8" ht="15" customHeight="1" thickBot="1" x14ac:dyDescent="0.4">
      <c r="A83" s="129"/>
      <c r="B83" s="130"/>
      <c r="C83" s="130"/>
    </row>
    <row r="84" spans="1:8" x14ac:dyDescent="0.35">
      <c r="A84" s="259" t="s">
        <v>141</v>
      </c>
      <c r="B84" s="260"/>
      <c r="C84" s="261"/>
    </row>
    <row r="85" spans="1:8" ht="15" customHeight="1" thickBot="1" x14ac:dyDescent="0.4">
      <c r="A85" s="273" t="s">
        <v>142</v>
      </c>
      <c r="B85" s="274" t="s">
        <v>86</v>
      </c>
      <c r="C85" s="275" t="s">
        <v>3</v>
      </c>
    </row>
    <row r="86" spans="1:8" s="121" customFormat="1" x14ac:dyDescent="0.35">
      <c r="A86" s="82" t="s">
        <v>143</v>
      </c>
      <c r="B86" s="26">
        <v>2.5</v>
      </c>
      <c r="C86" s="105" t="s">
        <v>144</v>
      </c>
    </row>
    <row r="87" spans="1:8" s="121" customFormat="1" x14ac:dyDescent="0.35">
      <c r="A87" s="82" t="s">
        <v>145</v>
      </c>
      <c r="B87" s="26">
        <v>0.13</v>
      </c>
      <c r="C87" s="105" t="s">
        <v>146</v>
      </c>
    </row>
    <row r="88" spans="1:8" x14ac:dyDescent="0.35">
      <c r="A88" s="82" t="s">
        <v>147</v>
      </c>
      <c r="B88" s="26">
        <f>1000/B87</f>
        <v>7692.3076923076924</v>
      </c>
      <c r="C88" s="105" t="s">
        <v>148</v>
      </c>
    </row>
    <row r="89" spans="1:8" x14ac:dyDescent="0.35">
      <c r="A89" s="82" t="s">
        <v>149</v>
      </c>
      <c r="B89" s="26">
        <f>(B6/(ROUNDDOWN(B88,0)))*1000</f>
        <v>0.3250130005200208</v>
      </c>
      <c r="C89" s="105" t="s">
        <v>150</v>
      </c>
    </row>
    <row r="90" spans="1:8" x14ac:dyDescent="0.35">
      <c r="A90" s="82" t="s">
        <v>151</v>
      </c>
      <c r="B90" s="26">
        <v>100</v>
      </c>
      <c r="C90" s="105"/>
    </row>
    <row r="91" spans="1:8" x14ac:dyDescent="0.35">
      <c r="A91" s="82" t="s">
        <v>152</v>
      </c>
      <c r="B91" s="26">
        <v>1000</v>
      </c>
      <c r="C91" s="105"/>
    </row>
    <row r="92" spans="1:8" x14ac:dyDescent="0.35">
      <c r="A92" s="82" t="s">
        <v>153</v>
      </c>
      <c r="B92" s="26">
        <v>10</v>
      </c>
      <c r="C92" s="105" t="s">
        <v>154</v>
      </c>
    </row>
    <row r="93" spans="1:8" x14ac:dyDescent="0.35">
      <c r="A93" s="82" t="s">
        <v>153</v>
      </c>
      <c r="B93" s="26">
        <f>B92/60</f>
        <v>0.16666666666666666</v>
      </c>
      <c r="C93" s="105" t="s">
        <v>155</v>
      </c>
    </row>
    <row r="94" spans="1:8" x14ac:dyDescent="0.35">
      <c r="A94" s="82" t="s">
        <v>156</v>
      </c>
      <c r="B94" s="26">
        <v>15</v>
      </c>
      <c r="C94" s="105" t="s">
        <v>157</v>
      </c>
    </row>
    <row r="95" spans="1:8" x14ac:dyDescent="0.35">
      <c r="A95" s="82" t="s">
        <v>156</v>
      </c>
      <c r="B95" s="26">
        <f>B94/60/60</f>
        <v>4.1666666666666666E-3</v>
      </c>
      <c r="C95" s="105" t="s">
        <v>158</v>
      </c>
    </row>
    <row r="96" spans="1:8" x14ac:dyDescent="0.35">
      <c r="A96" s="82" t="s">
        <v>159</v>
      </c>
      <c r="B96" s="26">
        <v>3</v>
      </c>
      <c r="C96" s="105" t="s">
        <v>154</v>
      </c>
    </row>
    <row r="97" spans="1:17" x14ac:dyDescent="0.35">
      <c r="A97" s="82" t="s">
        <v>159</v>
      </c>
      <c r="B97" s="26">
        <f>B96/60</f>
        <v>0.05</v>
      </c>
      <c r="C97" s="105" t="s">
        <v>155</v>
      </c>
    </row>
    <row r="98" spans="1:17" x14ac:dyDescent="0.35">
      <c r="A98" s="82" t="s">
        <v>160</v>
      </c>
      <c r="B98" s="26">
        <v>12</v>
      </c>
      <c r="C98" s="105"/>
      <c r="P98" s="121"/>
    </row>
    <row r="99" spans="1:17" x14ac:dyDescent="0.35">
      <c r="A99" s="82" t="s">
        <v>161</v>
      </c>
      <c r="B99" s="26">
        <v>1.5</v>
      </c>
      <c r="C99" s="105"/>
      <c r="P99" s="121"/>
    </row>
    <row r="100" spans="1:17" x14ac:dyDescent="0.35">
      <c r="A100" s="172" t="s">
        <v>547</v>
      </c>
      <c r="B100" s="25">
        <f>321+91</f>
        <v>412</v>
      </c>
      <c r="C100" s="173" t="s">
        <v>162</v>
      </c>
      <c r="P100" s="121"/>
    </row>
    <row r="101" spans="1:17" ht="16.5" x14ac:dyDescent="0.35">
      <c r="A101" s="172" t="s">
        <v>548</v>
      </c>
      <c r="B101" s="25">
        <v>2</v>
      </c>
      <c r="C101" s="173" t="s">
        <v>517</v>
      </c>
    </row>
    <row r="102" spans="1:17" ht="16.5" x14ac:dyDescent="0.35">
      <c r="A102" s="172" t="s">
        <v>549</v>
      </c>
      <c r="B102" s="25">
        <v>0.61399999999999999</v>
      </c>
      <c r="C102" s="173" t="s">
        <v>517</v>
      </c>
    </row>
    <row r="103" spans="1:17" ht="16.5" x14ac:dyDescent="0.45">
      <c r="A103" s="172" t="s">
        <v>550</v>
      </c>
      <c r="B103" s="25">
        <v>0.20499999999999999</v>
      </c>
      <c r="C103" s="173" t="s">
        <v>518</v>
      </c>
    </row>
    <row r="104" spans="1:17" x14ac:dyDescent="0.35">
      <c r="A104" s="169" t="s">
        <v>164</v>
      </c>
      <c r="B104" s="15">
        <f>ROUNDUP(((B5*1000)/B89),0)</f>
        <v>15384</v>
      </c>
      <c r="C104" s="173"/>
    </row>
    <row r="105" spans="1:17" x14ac:dyDescent="0.35">
      <c r="A105" s="169" t="s">
        <v>165</v>
      </c>
      <c r="B105" s="15">
        <f>ROUNDUP((B104/B90),0)</f>
        <v>154</v>
      </c>
      <c r="C105" s="173"/>
    </row>
    <row r="106" spans="1:17" x14ac:dyDescent="0.35">
      <c r="A106" s="169" t="s">
        <v>166</v>
      </c>
      <c r="B106" s="15">
        <f>ROUNDUP((B104/B91),0)</f>
        <v>16</v>
      </c>
      <c r="C106" s="173"/>
    </row>
    <row r="107" spans="1:17" x14ac:dyDescent="0.35">
      <c r="A107" s="169" t="s">
        <v>551</v>
      </c>
      <c r="B107" s="21">
        <f>ROUNDUP(((B105*D149)/B102),0)</f>
        <v>1</v>
      </c>
      <c r="C107" s="173"/>
    </row>
    <row r="108" spans="1:17" ht="15" customHeight="1" thickBot="1" x14ac:dyDescent="0.4">
      <c r="A108" s="174" t="s">
        <v>552</v>
      </c>
      <c r="B108" s="44">
        <f>ROUNDUP((((B105*D149)*ROUNDUP(Assumptions!B7,0))/B102),0)</f>
        <v>13</v>
      </c>
      <c r="C108" s="175"/>
    </row>
    <row r="109" spans="1:17" ht="15" customHeight="1" thickBot="1" x14ac:dyDescent="0.4">
      <c r="A109" s="38"/>
      <c r="B109" s="38"/>
      <c r="C109" s="38"/>
    </row>
    <row r="110" spans="1:17" ht="15" customHeight="1" thickBot="1" x14ac:dyDescent="0.4">
      <c r="A110" s="259" t="s">
        <v>167</v>
      </c>
      <c r="B110" s="262"/>
      <c r="C110" s="262"/>
      <c r="D110" s="263"/>
      <c r="E110" s="263"/>
      <c r="F110" s="263"/>
      <c r="G110" s="263"/>
      <c r="H110" s="263"/>
      <c r="I110" s="263"/>
      <c r="J110" s="263"/>
      <c r="K110" s="263"/>
      <c r="L110" s="263"/>
      <c r="M110" s="263"/>
      <c r="N110" s="264"/>
      <c r="P110" s="121"/>
      <c r="Q110" s="121"/>
    </row>
    <row r="111" spans="1:17" ht="17" customHeight="1" thickBot="1" x14ac:dyDescent="0.4">
      <c r="A111" s="273" t="s">
        <v>168</v>
      </c>
      <c r="B111" s="274" t="s">
        <v>169</v>
      </c>
      <c r="C111" s="274" t="s">
        <v>33</v>
      </c>
      <c r="D111" s="274" t="s">
        <v>170</v>
      </c>
      <c r="E111" s="274" t="s">
        <v>171</v>
      </c>
      <c r="F111" s="274" t="s">
        <v>172</v>
      </c>
      <c r="G111" s="274" t="s">
        <v>173</v>
      </c>
      <c r="H111" s="274" t="s">
        <v>3</v>
      </c>
      <c r="I111" s="274" t="s">
        <v>174</v>
      </c>
      <c r="J111" s="274" t="s">
        <v>175</v>
      </c>
      <c r="K111" s="274" t="s">
        <v>176</v>
      </c>
      <c r="L111" s="274" t="s">
        <v>519</v>
      </c>
      <c r="M111" s="274"/>
      <c r="N111" s="275" t="s">
        <v>113</v>
      </c>
      <c r="O111" s="121"/>
      <c r="P111" s="276" t="s">
        <v>177</v>
      </c>
    </row>
    <row r="112" spans="1:17" x14ac:dyDescent="0.35">
      <c r="A112" s="169" t="s">
        <v>178</v>
      </c>
      <c r="B112" s="26">
        <v>1452.5</v>
      </c>
      <c r="C112" s="26">
        <f t="shared" ref="C112:C118" si="0">B112/1000</f>
        <v>1.4524999999999999</v>
      </c>
      <c r="D112" s="15" t="s">
        <v>179</v>
      </c>
      <c r="E112" s="15">
        <v>12.25</v>
      </c>
      <c r="F112" s="15">
        <v>9</v>
      </c>
      <c r="G112" s="15">
        <v>4</v>
      </c>
      <c r="H112" s="15" t="s">
        <v>180</v>
      </c>
      <c r="I112" s="15">
        <f t="shared" ref="I112:K115" si="1">(E112*$P$112)/100</f>
        <v>0.31115000000000004</v>
      </c>
      <c r="J112" s="15">
        <f t="shared" si="1"/>
        <v>0.2286</v>
      </c>
      <c r="K112" s="15">
        <f t="shared" si="1"/>
        <v>0.1016</v>
      </c>
      <c r="L112" s="26">
        <f>I112*J112*K112</f>
        <v>7.2266952240000008E-3</v>
      </c>
      <c r="M112" s="15"/>
      <c r="N112" s="11" t="s">
        <v>181</v>
      </c>
      <c r="O112" s="121"/>
      <c r="P112">
        <v>2.54</v>
      </c>
    </row>
    <row r="113" spans="1:16" x14ac:dyDescent="0.35">
      <c r="A113" s="169" t="s">
        <v>182</v>
      </c>
      <c r="B113" s="26">
        <v>643.20000000000005</v>
      </c>
      <c r="C113" s="26">
        <f t="shared" si="0"/>
        <v>0.64319999999999999</v>
      </c>
      <c r="D113" s="15" t="s">
        <v>183</v>
      </c>
      <c r="E113" s="15"/>
      <c r="F113" s="15">
        <v>0.8</v>
      </c>
      <c r="G113" s="15">
        <v>86</v>
      </c>
      <c r="H113" s="15" t="s">
        <v>180</v>
      </c>
      <c r="I113" s="15">
        <f t="shared" si="1"/>
        <v>0</v>
      </c>
      <c r="J113" s="15">
        <f t="shared" si="1"/>
        <v>2.0320000000000001E-2</v>
      </c>
      <c r="K113" s="15">
        <f t="shared" si="1"/>
        <v>2.1844000000000001</v>
      </c>
      <c r="L113" s="26">
        <f>PI()*((J113/2)^2)*K113</f>
        <v>7.083851630979676E-4</v>
      </c>
      <c r="M113" s="15"/>
      <c r="N113" s="11" t="s">
        <v>181</v>
      </c>
      <c r="O113" s="121"/>
    </row>
    <row r="114" spans="1:16" x14ac:dyDescent="0.35">
      <c r="A114" s="169" t="s">
        <v>184</v>
      </c>
      <c r="B114" s="26">
        <f>14/0.002205</f>
        <v>6349.2063492063498</v>
      </c>
      <c r="C114" s="26">
        <f t="shared" si="0"/>
        <v>6.3492063492063497</v>
      </c>
      <c r="D114" s="15"/>
      <c r="E114" s="15"/>
      <c r="F114" s="15">
        <v>6.75</v>
      </c>
      <c r="G114" s="15">
        <v>20.5</v>
      </c>
      <c r="H114" s="15" t="s">
        <v>180</v>
      </c>
      <c r="I114" s="15">
        <f t="shared" si="1"/>
        <v>0</v>
      </c>
      <c r="J114" s="15">
        <f t="shared" si="1"/>
        <v>0.17144999999999999</v>
      </c>
      <c r="K114" s="15">
        <f t="shared" si="1"/>
        <v>0.52070000000000005</v>
      </c>
      <c r="L114" s="26">
        <f>PI()*((J114/2)^2)*K114</f>
        <v>1.2021327750178929E-2</v>
      </c>
      <c r="M114" s="15"/>
      <c r="N114" s="176" t="s">
        <v>185</v>
      </c>
      <c r="O114" s="121"/>
    </row>
    <row r="115" spans="1:16" x14ac:dyDescent="0.35">
      <c r="A115" s="169" t="s">
        <v>186</v>
      </c>
      <c r="B115" s="26">
        <v>1908.6</v>
      </c>
      <c r="C115" s="26">
        <f t="shared" si="0"/>
        <v>1.9085999999999999</v>
      </c>
      <c r="D115" s="15" t="s">
        <v>179</v>
      </c>
      <c r="E115" s="15">
        <v>8.5</v>
      </c>
      <c r="F115" s="15">
        <v>6.5</v>
      </c>
      <c r="G115" s="15">
        <v>5</v>
      </c>
      <c r="H115" s="15" t="s">
        <v>180</v>
      </c>
      <c r="I115" s="15">
        <f t="shared" si="1"/>
        <v>0.21590000000000001</v>
      </c>
      <c r="J115" s="15">
        <f t="shared" si="1"/>
        <v>0.16510000000000002</v>
      </c>
      <c r="K115" s="15">
        <f t="shared" si="1"/>
        <v>0.127</v>
      </c>
      <c r="L115" s="26">
        <f>I115*J115*K115</f>
        <v>4.5269264300000006E-3</v>
      </c>
      <c r="M115" s="15"/>
      <c r="N115" s="11" t="s">
        <v>181</v>
      </c>
    </row>
    <row r="116" spans="1:16" x14ac:dyDescent="0.35">
      <c r="A116" s="169" t="s">
        <v>187</v>
      </c>
      <c r="B116" s="26">
        <v>9.1</v>
      </c>
      <c r="C116" s="26">
        <f t="shared" si="0"/>
        <v>9.1000000000000004E-3</v>
      </c>
      <c r="D116" s="15" t="s">
        <v>183</v>
      </c>
      <c r="E116" s="15"/>
      <c r="F116" s="15">
        <v>39</v>
      </c>
      <c r="G116" s="15">
        <v>32</v>
      </c>
      <c r="H116" s="15" t="s">
        <v>188</v>
      </c>
      <c r="I116" s="15">
        <f>E116/1000</f>
        <v>0</v>
      </c>
      <c r="J116" s="15">
        <f>F116/1000</f>
        <v>3.9E-2</v>
      </c>
      <c r="K116" s="15">
        <f>G116/1000</f>
        <v>3.2000000000000001E-2</v>
      </c>
      <c r="L116" s="26">
        <f>PI()*((J116/2)^2)*K116</f>
        <v>3.8226899408880607E-5</v>
      </c>
      <c r="M116" s="15"/>
      <c r="N116" s="11" t="s">
        <v>181</v>
      </c>
    </row>
    <row r="117" spans="1:16" x14ac:dyDescent="0.35">
      <c r="A117" s="169" t="s">
        <v>189</v>
      </c>
      <c r="B117" s="26">
        <v>212.5</v>
      </c>
      <c r="C117" s="26">
        <f t="shared" si="0"/>
        <v>0.21249999999999999</v>
      </c>
      <c r="D117" s="15" t="s">
        <v>179</v>
      </c>
      <c r="E117" s="15">
        <v>10</v>
      </c>
      <c r="F117" s="15">
        <v>8</v>
      </c>
      <c r="G117" s="15">
        <v>3</v>
      </c>
      <c r="H117" s="15" t="s">
        <v>180</v>
      </c>
      <c r="I117" s="15">
        <f t="shared" ref="I117:K118" si="2">(E117*$P$112)/100</f>
        <v>0.254</v>
      </c>
      <c r="J117" s="15">
        <f t="shared" si="2"/>
        <v>0.20319999999999999</v>
      </c>
      <c r="K117" s="15">
        <f t="shared" si="2"/>
        <v>7.6200000000000004E-2</v>
      </c>
      <c r="L117" s="26">
        <f>I117*J117*K117</f>
        <v>3.9328953599999999E-3</v>
      </c>
      <c r="M117" s="15"/>
      <c r="N117" s="11" t="s">
        <v>181</v>
      </c>
    </row>
    <row r="118" spans="1:16" x14ac:dyDescent="0.35">
      <c r="A118" s="169" t="s">
        <v>190</v>
      </c>
      <c r="B118" s="26">
        <v>24.3</v>
      </c>
      <c r="C118" s="26">
        <f t="shared" si="0"/>
        <v>2.4300000000000002E-2</v>
      </c>
      <c r="D118" s="15" t="s">
        <v>179</v>
      </c>
      <c r="E118" s="15">
        <v>2.25</v>
      </c>
      <c r="F118" s="15">
        <v>5.75</v>
      </c>
      <c r="G118" s="15">
        <v>2</v>
      </c>
      <c r="H118" s="15" t="s">
        <v>180</v>
      </c>
      <c r="I118" s="15">
        <f t="shared" si="2"/>
        <v>5.7149999999999999E-2</v>
      </c>
      <c r="J118" s="15">
        <f t="shared" si="2"/>
        <v>0.14605000000000001</v>
      </c>
      <c r="K118" s="15">
        <f t="shared" si="2"/>
        <v>5.0799999999999998E-2</v>
      </c>
      <c r="L118" s="26">
        <f>I118*J118*K118</f>
        <v>4.2401528100000004E-4</v>
      </c>
      <c r="M118" s="15"/>
      <c r="N118" s="11" t="s">
        <v>181</v>
      </c>
    </row>
    <row r="119" spans="1:16" x14ac:dyDescent="0.35">
      <c r="A119" s="169" t="s">
        <v>191</v>
      </c>
      <c r="B119" s="26">
        <f>AVERAGE(0.726, 0.7268,0.7259)</f>
        <v>0.7262333333333334</v>
      </c>
      <c r="C119" s="26">
        <f>(B119/1000)/9</f>
        <v>8.069259259259261E-5</v>
      </c>
      <c r="D119" s="15"/>
      <c r="E119" s="15"/>
      <c r="F119" s="15"/>
      <c r="G119" s="15"/>
      <c r="H119" s="15"/>
      <c r="I119" s="15"/>
      <c r="J119" s="15"/>
      <c r="K119" s="15"/>
      <c r="L119" s="15"/>
      <c r="M119" s="15"/>
      <c r="N119" s="11" t="s">
        <v>192</v>
      </c>
    </row>
    <row r="120" spans="1:16" x14ac:dyDescent="0.35">
      <c r="A120" s="169" t="s">
        <v>193</v>
      </c>
      <c r="B120" s="26">
        <v>44.5</v>
      </c>
      <c r="C120" s="26">
        <f>B120/1000</f>
        <v>4.4499999999999998E-2</v>
      </c>
      <c r="D120" s="15" t="s">
        <v>179</v>
      </c>
      <c r="E120" s="15">
        <v>47</v>
      </c>
      <c r="F120" s="15">
        <v>17</v>
      </c>
      <c r="G120" s="15">
        <v>26</v>
      </c>
      <c r="H120" s="15" t="s">
        <v>188</v>
      </c>
      <c r="I120" s="15">
        <f>E120/1000</f>
        <v>4.7E-2</v>
      </c>
      <c r="J120" s="15">
        <f>F120/1000</f>
        <v>1.7000000000000001E-2</v>
      </c>
      <c r="K120" s="15">
        <f>G120/1000</f>
        <v>2.5999999999999999E-2</v>
      </c>
      <c r="L120" s="15">
        <f>I120*J120*K120</f>
        <v>2.0773999999999998E-5</v>
      </c>
      <c r="M120" s="15"/>
      <c r="N120" s="11" t="s">
        <v>194</v>
      </c>
    </row>
    <row r="121" spans="1:16" x14ac:dyDescent="0.35">
      <c r="A121" s="169" t="s">
        <v>195</v>
      </c>
      <c r="B121" s="26">
        <f>AVERAGE(6.509, 6.507, 6.5082)</f>
        <v>6.5080666666666671</v>
      </c>
      <c r="C121" s="26">
        <f>B121/1000</f>
        <v>6.508066666666667E-3</v>
      </c>
      <c r="D121" s="15" t="s">
        <v>183</v>
      </c>
      <c r="E121" s="15"/>
      <c r="F121" s="15">
        <v>27</v>
      </c>
      <c r="G121" s="15">
        <v>61</v>
      </c>
      <c r="H121" s="15" t="s">
        <v>188</v>
      </c>
      <c r="I121" s="15">
        <f>E121/1000</f>
        <v>0</v>
      </c>
      <c r="J121" s="15">
        <f>(F121*$P$112)/1000</f>
        <v>6.8580000000000002E-2</v>
      </c>
      <c r="K121" s="15">
        <f>(G121*$P$112)/1000</f>
        <v>0.15493999999999999</v>
      </c>
      <c r="L121" s="15">
        <f>PI()*((J121/2)^2)*K121</f>
        <v>5.7233248215486036E-4</v>
      </c>
      <c r="M121" s="15"/>
      <c r="N121" s="11" t="s">
        <v>181</v>
      </c>
    </row>
    <row r="122" spans="1:16" x14ac:dyDescent="0.35">
      <c r="A122" s="169" t="s">
        <v>196</v>
      </c>
      <c r="B122" s="26">
        <f>AVERAGE(1.1191,1.1197,1.119)</f>
        <v>1.1192666666666666</v>
      </c>
      <c r="C122" s="26">
        <f>B122/1000</f>
        <v>1.1192666666666666E-3</v>
      </c>
      <c r="D122" s="15"/>
      <c r="E122" s="15"/>
      <c r="F122" s="15"/>
      <c r="G122" s="15"/>
      <c r="H122" s="15"/>
      <c r="I122" s="15"/>
      <c r="J122" s="15"/>
      <c r="K122" s="15"/>
      <c r="L122" s="15"/>
      <c r="M122" s="15"/>
      <c r="N122" s="11" t="s">
        <v>197</v>
      </c>
      <c r="P122" s="121"/>
    </row>
    <row r="123" spans="1:16" x14ac:dyDescent="0.35">
      <c r="A123" s="169" t="s">
        <v>198</v>
      </c>
      <c r="B123" s="26">
        <f>AVERAGE(1.5873, 1.5903, 1.5812, 1.5818)</f>
        <v>1.5851500000000001</v>
      </c>
      <c r="C123" s="26">
        <f>(B123/1000)/20</f>
        <v>7.9257499999999998E-5</v>
      </c>
      <c r="D123" s="15"/>
      <c r="E123" s="15"/>
      <c r="F123" s="15"/>
      <c r="G123" s="15"/>
      <c r="H123" s="15"/>
      <c r="I123" s="15"/>
      <c r="J123" s="15"/>
      <c r="K123" s="15"/>
      <c r="L123" s="15"/>
      <c r="M123" s="15"/>
      <c r="N123" s="11" t="s">
        <v>199</v>
      </c>
      <c r="P123" s="121"/>
    </row>
    <row r="124" spans="1:16" x14ac:dyDescent="0.35">
      <c r="A124" s="177" t="s">
        <v>200</v>
      </c>
      <c r="B124" s="25"/>
      <c r="C124" s="178"/>
      <c r="D124" s="39"/>
      <c r="E124" s="39"/>
      <c r="F124" s="39">
        <v>32</v>
      </c>
      <c r="G124" s="39"/>
      <c r="H124" s="39" t="s">
        <v>188</v>
      </c>
      <c r="I124" s="39"/>
      <c r="J124" s="39"/>
      <c r="K124" s="39">
        <f>F124/1000</f>
        <v>3.2000000000000001E-2</v>
      </c>
      <c r="L124" s="39">
        <f>2*PI()*K124</f>
        <v>0.20106192982974677</v>
      </c>
      <c r="M124" s="39"/>
      <c r="N124" s="179"/>
    </row>
    <row r="125" spans="1:16" x14ac:dyDescent="0.35">
      <c r="A125" s="177" t="s">
        <v>201</v>
      </c>
      <c r="B125" s="25">
        <f>3.15/0.002205</f>
        <v>1428.5714285714287</v>
      </c>
      <c r="C125" s="25">
        <f>B125/1000</f>
        <v>1.4285714285714286</v>
      </c>
      <c r="D125" s="15" t="s">
        <v>179</v>
      </c>
      <c r="E125" s="39">
        <v>10</v>
      </c>
      <c r="F125" s="39">
        <v>8</v>
      </c>
      <c r="G125" s="39">
        <v>4</v>
      </c>
      <c r="H125" s="39" t="s">
        <v>180</v>
      </c>
      <c r="I125" s="15">
        <f>(E125*$P$112)/100</f>
        <v>0.254</v>
      </c>
      <c r="J125" s="15">
        <f>(F125*$P$112)/100</f>
        <v>0.20319999999999999</v>
      </c>
      <c r="K125" s="15">
        <f>(G125*$P$112)/100</f>
        <v>0.1016</v>
      </c>
      <c r="L125" s="39">
        <f>I125*J125*K125</f>
        <v>5.2438604800000002E-3</v>
      </c>
      <c r="M125" s="122"/>
      <c r="N125" s="11" t="s">
        <v>202</v>
      </c>
      <c r="O125" s="122"/>
    </row>
    <row r="126" spans="1:16" x14ac:dyDescent="0.35">
      <c r="A126" s="177" t="s">
        <v>203</v>
      </c>
      <c r="B126" s="25">
        <v>7.9</v>
      </c>
      <c r="C126" s="25">
        <f>B126/1000</f>
        <v>7.9000000000000008E-3</v>
      </c>
      <c r="D126" s="15" t="s">
        <v>183</v>
      </c>
      <c r="E126" s="39"/>
      <c r="F126" s="39">
        <v>29</v>
      </c>
      <c r="G126" s="39">
        <v>16</v>
      </c>
      <c r="H126" s="39" t="s">
        <v>188</v>
      </c>
      <c r="I126" s="39">
        <f t="shared" ref="I126:K128" si="3">E126/1000</f>
        <v>0</v>
      </c>
      <c r="J126" s="39">
        <f t="shared" si="3"/>
        <v>2.9000000000000001E-2</v>
      </c>
      <c r="K126" s="39">
        <f t="shared" si="3"/>
        <v>1.6E-2</v>
      </c>
      <c r="L126" s="39">
        <f>PI()*((J126/2)^2)*K126</f>
        <v>1.0568317686676066E-5</v>
      </c>
      <c r="M126" s="122"/>
      <c r="N126" s="179"/>
      <c r="O126" s="122"/>
    </row>
    <row r="127" spans="1:16" x14ac:dyDescent="0.35">
      <c r="A127" s="177" t="s">
        <v>204</v>
      </c>
      <c r="B127" s="25">
        <v>1.4</v>
      </c>
      <c r="C127" s="25">
        <f>B127/1000</f>
        <v>1.4E-3</v>
      </c>
      <c r="D127" s="15" t="s">
        <v>183</v>
      </c>
      <c r="E127" s="39"/>
      <c r="F127" s="39">
        <v>22</v>
      </c>
      <c r="G127" s="39">
        <v>1</v>
      </c>
      <c r="H127" s="39" t="s">
        <v>188</v>
      </c>
      <c r="I127" s="39">
        <f t="shared" si="3"/>
        <v>0</v>
      </c>
      <c r="J127" s="39">
        <f t="shared" si="3"/>
        <v>2.1999999999999999E-2</v>
      </c>
      <c r="K127" s="39">
        <f t="shared" si="3"/>
        <v>1E-3</v>
      </c>
      <c r="L127" s="39">
        <f>PI()*((J127/2)^2)*K127</f>
        <v>3.8013271108436495E-7</v>
      </c>
      <c r="M127" s="122"/>
      <c r="N127" s="179"/>
      <c r="O127" s="122"/>
    </row>
    <row r="128" spans="1:16" x14ac:dyDescent="0.35">
      <c r="A128" s="177" t="s">
        <v>205</v>
      </c>
      <c r="B128" s="25">
        <v>10.6</v>
      </c>
      <c r="C128" s="25">
        <f>B128/1000</f>
        <v>1.06E-2</v>
      </c>
      <c r="D128" s="15" t="s">
        <v>183</v>
      </c>
      <c r="E128" s="39"/>
      <c r="F128" s="39">
        <v>32</v>
      </c>
      <c r="G128" s="39">
        <v>83</v>
      </c>
      <c r="H128" s="39" t="s">
        <v>188</v>
      </c>
      <c r="I128" s="39">
        <f t="shared" si="3"/>
        <v>0</v>
      </c>
      <c r="J128" s="39">
        <f t="shared" si="3"/>
        <v>3.2000000000000001E-2</v>
      </c>
      <c r="K128" s="39">
        <f t="shared" si="3"/>
        <v>8.3000000000000004E-2</v>
      </c>
      <c r="L128" s="39">
        <f>PI()*((J128/2)^2)*K128</f>
        <v>6.6752560703475919E-5</v>
      </c>
      <c r="M128" s="122"/>
      <c r="N128" s="179"/>
      <c r="O128" s="122"/>
    </row>
    <row r="129" spans="1:16" x14ac:dyDescent="0.35">
      <c r="A129" s="177" t="s">
        <v>206</v>
      </c>
      <c r="B129" s="25"/>
      <c r="C129" s="25">
        <v>60</v>
      </c>
      <c r="D129" s="15" t="s">
        <v>183</v>
      </c>
      <c r="E129" s="39"/>
      <c r="F129" s="39">
        <v>9</v>
      </c>
      <c r="G129" s="39">
        <v>55</v>
      </c>
      <c r="H129" s="39" t="s">
        <v>180</v>
      </c>
      <c r="I129" s="39"/>
      <c r="J129" s="15">
        <f>(F129*$P$112)/100</f>
        <v>0.2286</v>
      </c>
      <c r="K129" s="15">
        <f>(G129*$P$112)/100</f>
        <v>1.3969999999999998</v>
      </c>
      <c r="L129" s="39">
        <f>PI()*((J129/2)^2)*K129</f>
        <v>5.7337498212235542E-2</v>
      </c>
      <c r="M129" s="122"/>
      <c r="N129" s="179" t="s">
        <v>207</v>
      </c>
      <c r="O129" s="122"/>
    </row>
    <row r="130" spans="1:16" ht="15" customHeight="1" thickBot="1" x14ac:dyDescent="0.4">
      <c r="A130" s="180" t="s">
        <v>208</v>
      </c>
      <c r="B130" s="181">
        <v>0.4894</v>
      </c>
      <c r="C130" s="181">
        <f>(B130/1000)/5</f>
        <v>9.7879999999999991E-5</v>
      </c>
      <c r="D130" s="69" t="s">
        <v>183</v>
      </c>
      <c r="E130" s="43"/>
      <c r="F130" s="43">
        <v>2</v>
      </c>
      <c r="G130" s="43">
        <v>7</v>
      </c>
      <c r="H130" s="43" t="s">
        <v>188</v>
      </c>
      <c r="I130" s="43">
        <f>E130/1000</f>
        <v>0</v>
      </c>
      <c r="J130" s="43">
        <f>F130/1000</f>
        <v>2E-3</v>
      </c>
      <c r="K130" s="43">
        <f>G130/1000</f>
        <v>7.0000000000000001E-3</v>
      </c>
      <c r="L130" s="43">
        <f>PI()*((J130/2)^2)*K130</f>
        <v>2.1991148575128551E-8</v>
      </c>
      <c r="M130" s="182"/>
      <c r="N130" s="183" t="s">
        <v>209</v>
      </c>
      <c r="O130" s="122"/>
    </row>
    <row r="131" spans="1:16" ht="15" customHeight="1" thickBot="1" x14ac:dyDescent="0.4">
      <c r="A131" s="128"/>
      <c r="B131" s="120"/>
      <c r="C131" s="121"/>
      <c r="D131" s="121"/>
      <c r="E131" s="121"/>
      <c r="F131" s="121"/>
      <c r="G131" s="121"/>
      <c r="H131" s="121"/>
      <c r="I131" s="121"/>
      <c r="J131" s="121"/>
      <c r="K131" s="121"/>
      <c r="L131" s="121"/>
      <c r="M131" s="121"/>
      <c r="N131" s="121"/>
      <c r="O131" s="121"/>
      <c r="P131" s="121"/>
    </row>
    <row r="132" spans="1:16" x14ac:dyDescent="0.35">
      <c r="A132" s="259" t="s">
        <v>210</v>
      </c>
      <c r="B132" s="265"/>
      <c r="C132" s="265"/>
      <c r="D132" s="266"/>
      <c r="E132" s="266"/>
      <c r="F132" s="266"/>
      <c r="G132" s="267"/>
      <c r="H132" s="121"/>
      <c r="I132" s="121"/>
      <c r="J132" s="121"/>
      <c r="K132" s="121"/>
      <c r="L132" s="121"/>
      <c r="M132" s="121"/>
      <c r="N132" s="121"/>
      <c r="O132" s="121"/>
    </row>
    <row r="133" spans="1:16" ht="15" customHeight="1" thickBot="1" x14ac:dyDescent="0.5">
      <c r="A133" s="277" t="s">
        <v>211</v>
      </c>
      <c r="B133" s="278" t="s">
        <v>79</v>
      </c>
      <c r="C133" s="278" t="s">
        <v>33</v>
      </c>
      <c r="D133" s="278" t="s">
        <v>498</v>
      </c>
      <c r="E133" s="278" t="s">
        <v>34</v>
      </c>
      <c r="F133" s="278" t="s">
        <v>212</v>
      </c>
      <c r="G133" s="279" t="s">
        <v>499</v>
      </c>
      <c r="H133" s="121"/>
      <c r="I133" s="121"/>
      <c r="J133" s="121"/>
      <c r="K133" s="121"/>
      <c r="L133" s="121"/>
      <c r="M133" s="121"/>
      <c r="N133" s="121"/>
      <c r="O133" s="121"/>
    </row>
    <row r="134" spans="1:16" x14ac:dyDescent="0.35">
      <c r="A134" s="169" t="s">
        <v>178</v>
      </c>
      <c r="B134" s="15" t="s">
        <v>60</v>
      </c>
      <c r="C134" s="26">
        <f t="shared" ref="C134:C140" si="4">C112</f>
        <v>1.4524999999999999</v>
      </c>
      <c r="D134" s="26">
        <f t="shared" ref="D134:D140" si="5">L112</f>
        <v>7.2266952240000008E-3</v>
      </c>
      <c r="E134" s="15">
        <v>1</v>
      </c>
      <c r="F134" s="15">
        <v>0</v>
      </c>
      <c r="G134" s="105">
        <v>0</v>
      </c>
      <c r="H134" s="121"/>
      <c r="I134" s="121"/>
      <c r="J134" s="121"/>
      <c r="K134" s="121"/>
      <c r="L134" s="121"/>
      <c r="M134" s="121"/>
      <c r="N134" s="121"/>
      <c r="O134" s="121"/>
    </row>
    <row r="135" spans="1:16" x14ac:dyDescent="0.35">
      <c r="A135" s="169" t="s">
        <v>213</v>
      </c>
      <c r="B135" s="15" t="s">
        <v>60</v>
      </c>
      <c r="C135" s="26">
        <f t="shared" si="4"/>
        <v>0.64319999999999999</v>
      </c>
      <c r="D135" s="26">
        <f t="shared" si="5"/>
        <v>7.083851630979676E-4</v>
      </c>
      <c r="E135" s="15">
        <v>0</v>
      </c>
      <c r="F135" s="15">
        <v>0</v>
      </c>
      <c r="G135" s="105">
        <v>0</v>
      </c>
    </row>
    <row r="136" spans="1:16" x14ac:dyDescent="0.35">
      <c r="A136" s="169" t="s">
        <v>214</v>
      </c>
      <c r="B136" s="15" t="s">
        <v>60</v>
      </c>
      <c r="C136" s="26">
        <f t="shared" si="4"/>
        <v>6.3492063492063497</v>
      </c>
      <c r="D136" s="26">
        <f t="shared" si="5"/>
        <v>1.2021327750178929E-2</v>
      </c>
      <c r="E136" s="15">
        <v>1</v>
      </c>
      <c r="F136" s="15">
        <v>0</v>
      </c>
      <c r="G136" s="105">
        <v>0</v>
      </c>
    </row>
    <row r="137" spans="1:16" x14ac:dyDescent="0.35">
      <c r="A137" s="169" t="s">
        <v>215</v>
      </c>
      <c r="B137" s="15" t="s">
        <v>60</v>
      </c>
      <c r="C137" s="26">
        <f t="shared" si="4"/>
        <v>1.9085999999999999</v>
      </c>
      <c r="D137" s="26">
        <f t="shared" si="5"/>
        <v>4.5269264300000006E-3</v>
      </c>
      <c r="E137" s="15">
        <v>0</v>
      </c>
      <c r="F137" s="15">
        <v>0</v>
      </c>
      <c r="G137" s="105">
        <v>0</v>
      </c>
    </row>
    <row r="138" spans="1:16" x14ac:dyDescent="0.35">
      <c r="A138" s="169" t="s">
        <v>216</v>
      </c>
      <c r="B138" s="15" t="s">
        <v>60</v>
      </c>
      <c r="C138" s="26">
        <f t="shared" si="4"/>
        <v>9.1000000000000004E-3</v>
      </c>
      <c r="D138" s="26">
        <f t="shared" si="5"/>
        <v>3.8226899408880607E-5</v>
      </c>
      <c r="E138" s="15">
        <v>0</v>
      </c>
      <c r="F138" s="15">
        <v>0</v>
      </c>
      <c r="G138" s="105">
        <v>0</v>
      </c>
    </row>
    <row r="139" spans="1:16" x14ac:dyDescent="0.35">
      <c r="A139" s="169" t="s">
        <v>217</v>
      </c>
      <c r="B139" s="15" t="s">
        <v>60</v>
      </c>
      <c r="C139" s="26">
        <f t="shared" si="4"/>
        <v>0.21249999999999999</v>
      </c>
      <c r="D139" s="26">
        <f t="shared" si="5"/>
        <v>3.9328953599999999E-3</v>
      </c>
      <c r="E139" s="15">
        <v>0</v>
      </c>
      <c r="F139" s="15">
        <v>0</v>
      </c>
      <c r="G139" s="105">
        <v>0</v>
      </c>
    </row>
    <row r="140" spans="1:16" x14ac:dyDescent="0.35">
      <c r="A140" s="169" t="s">
        <v>218</v>
      </c>
      <c r="B140" s="15" t="s">
        <v>60</v>
      </c>
      <c r="C140" s="26">
        <f t="shared" si="4"/>
        <v>2.4300000000000002E-2</v>
      </c>
      <c r="D140" s="26">
        <f t="shared" si="5"/>
        <v>4.2401528100000004E-4</v>
      </c>
      <c r="E140" s="15">
        <v>0</v>
      </c>
      <c r="F140" s="15">
        <v>0</v>
      </c>
      <c r="G140" s="105">
        <v>0</v>
      </c>
    </row>
    <row r="141" spans="1:16" x14ac:dyDescent="0.35">
      <c r="A141" s="82" t="s">
        <v>546</v>
      </c>
      <c r="B141" s="15" t="s">
        <v>60</v>
      </c>
      <c r="C141" s="26">
        <f>B100</f>
        <v>412</v>
      </c>
      <c r="D141" s="26">
        <f>B101</f>
        <v>2</v>
      </c>
      <c r="E141" s="15"/>
      <c r="F141" s="15"/>
      <c r="G141" s="50">
        <f>B103</f>
        <v>0.20499999999999999</v>
      </c>
    </row>
    <row r="142" spans="1:16" x14ac:dyDescent="0.35">
      <c r="A142" s="177" t="s">
        <v>203</v>
      </c>
      <c r="B142" s="15" t="s">
        <v>60</v>
      </c>
      <c r="C142" s="25">
        <f>B101</f>
        <v>2</v>
      </c>
      <c r="D142" s="25">
        <f>L126</f>
        <v>1.0568317686676066E-5</v>
      </c>
      <c r="E142" s="39">
        <v>0</v>
      </c>
      <c r="F142" s="39">
        <v>0</v>
      </c>
      <c r="G142" s="173">
        <v>0</v>
      </c>
    </row>
    <row r="143" spans="1:16" x14ac:dyDescent="0.35">
      <c r="A143" s="177" t="s">
        <v>204</v>
      </c>
      <c r="B143" s="15" t="s">
        <v>60</v>
      </c>
      <c r="C143" s="25">
        <f>C127</f>
        <v>1.4E-3</v>
      </c>
      <c r="D143" s="25">
        <f>L127</f>
        <v>3.8013271108436495E-7</v>
      </c>
      <c r="E143" s="39">
        <v>0</v>
      </c>
      <c r="F143" s="39">
        <v>0</v>
      </c>
      <c r="G143" s="173">
        <v>0</v>
      </c>
    </row>
    <row r="144" spans="1:16" x14ac:dyDescent="0.35">
      <c r="A144" s="177" t="s">
        <v>219</v>
      </c>
      <c r="B144" s="15" t="s">
        <v>60</v>
      </c>
      <c r="C144" s="25">
        <f>C128</f>
        <v>1.06E-2</v>
      </c>
      <c r="D144" s="25">
        <f>L128</f>
        <v>6.6752560703475919E-5</v>
      </c>
      <c r="E144" s="39">
        <v>0</v>
      </c>
      <c r="F144" s="39">
        <v>0</v>
      </c>
      <c r="G144" s="173">
        <v>0</v>
      </c>
    </row>
    <row r="145" spans="1:8" x14ac:dyDescent="0.35">
      <c r="A145" s="177" t="s">
        <v>220</v>
      </c>
      <c r="B145" s="15" t="s">
        <v>60</v>
      </c>
      <c r="C145" s="25">
        <f>C129</f>
        <v>60</v>
      </c>
      <c r="D145" s="25">
        <f>L129</f>
        <v>5.7337498212235542E-2</v>
      </c>
      <c r="E145" s="39">
        <v>1</v>
      </c>
      <c r="F145" s="39">
        <v>0</v>
      </c>
      <c r="G145" s="173">
        <v>0</v>
      </c>
    </row>
    <row r="146" spans="1:8" x14ac:dyDescent="0.35">
      <c r="A146" s="177" t="s">
        <v>221</v>
      </c>
      <c r="B146" s="15" t="s">
        <v>60</v>
      </c>
      <c r="C146" s="25">
        <f>C130</f>
        <v>9.7879999999999991E-5</v>
      </c>
      <c r="D146" s="25">
        <f>L130</f>
        <v>2.1991148575128551E-8</v>
      </c>
      <c r="E146" s="39">
        <v>0</v>
      </c>
      <c r="F146" s="39">
        <v>0</v>
      </c>
      <c r="G146" s="173">
        <v>0</v>
      </c>
    </row>
    <row r="147" spans="1:8" x14ac:dyDescent="0.35">
      <c r="A147" s="169" t="s">
        <v>222</v>
      </c>
      <c r="B147" s="15" t="s">
        <v>42</v>
      </c>
      <c r="C147" s="26">
        <f>C119</f>
        <v>8.069259259259261E-5</v>
      </c>
      <c r="D147" s="15">
        <v>0</v>
      </c>
      <c r="E147" s="15">
        <v>0</v>
      </c>
      <c r="F147" s="15">
        <v>0</v>
      </c>
      <c r="G147" s="105">
        <v>0</v>
      </c>
    </row>
    <row r="148" spans="1:8" x14ac:dyDescent="0.35">
      <c r="A148" s="169" t="s">
        <v>223</v>
      </c>
      <c r="B148" s="15" t="s">
        <v>42</v>
      </c>
      <c r="C148" s="26">
        <f>C120</f>
        <v>4.4499999999999998E-2</v>
      </c>
      <c r="D148" s="26">
        <f>L120</f>
        <v>2.0773999999999998E-5</v>
      </c>
      <c r="E148" s="15">
        <v>0</v>
      </c>
      <c r="F148" s="15">
        <v>0</v>
      </c>
      <c r="G148" s="105">
        <v>0</v>
      </c>
    </row>
    <row r="149" spans="1:8" x14ac:dyDescent="0.35">
      <c r="A149" s="169" t="s">
        <v>224</v>
      </c>
      <c r="B149" s="15" t="s">
        <v>42</v>
      </c>
      <c r="C149" s="26">
        <f>C121</f>
        <v>6.508066666666667E-3</v>
      </c>
      <c r="D149" s="26">
        <f>L121</f>
        <v>5.7233248215486036E-4</v>
      </c>
      <c r="E149" s="15">
        <v>0</v>
      </c>
      <c r="F149" s="15">
        <v>0</v>
      </c>
      <c r="G149" s="105">
        <v>0</v>
      </c>
    </row>
    <row r="150" spans="1:8" x14ac:dyDescent="0.35">
      <c r="A150" s="169" t="s">
        <v>225</v>
      </c>
      <c r="B150" s="15" t="s">
        <v>42</v>
      </c>
      <c r="C150" s="26">
        <f>C122</f>
        <v>1.1192666666666666E-3</v>
      </c>
      <c r="D150" s="15">
        <v>0</v>
      </c>
      <c r="E150" s="15">
        <v>0</v>
      </c>
      <c r="F150" s="15">
        <v>0</v>
      </c>
      <c r="G150" s="105">
        <v>0</v>
      </c>
    </row>
    <row r="151" spans="1:8" x14ac:dyDescent="0.35">
      <c r="A151" s="169" t="s">
        <v>226</v>
      </c>
      <c r="B151" s="15" t="s">
        <v>56</v>
      </c>
      <c r="C151" s="26">
        <f>C123</f>
        <v>7.9257499999999998E-5</v>
      </c>
      <c r="D151" s="15">
        <v>0</v>
      </c>
      <c r="E151" s="15">
        <v>0</v>
      </c>
      <c r="F151" s="15">
        <v>0</v>
      </c>
      <c r="G151" s="105">
        <v>0</v>
      </c>
    </row>
    <row r="152" spans="1:8" x14ac:dyDescent="0.35">
      <c r="A152" s="169" t="s">
        <v>227</v>
      </c>
      <c r="B152" s="15" t="s">
        <v>56</v>
      </c>
      <c r="C152" s="26">
        <f>C148</f>
        <v>4.4499999999999998E-2</v>
      </c>
      <c r="D152" s="26">
        <f>D148</f>
        <v>2.0773999999999998E-5</v>
      </c>
      <c r="E152" s="15">
        <v>0</v>
      </c>
      <c r="F152" s="15">
        <v>0</v>
      </c>
      <c r="G152" s="105">
        <v>0</v>
      </c>
    </row>
    <row r="153" spans="1:8" x14ac:dyDescent="0.35">
      <c r="A153" s="169" t="s">
        <v>224</v>
      </c>
      <c r="B153" s="15" t="s">
        <v>56</v>
      </c>
      <c r="C153" s="26">
        <f>C149</f>
        <v>6.508066666666667E-3</v>
      </c>
      <c r="D153" s="26">
        <f>D149</f>
        <v>5.7233248215486036E-4</v>
      </c>
      <c r="E153" s="15">
        <v>0</v>
      </c>
      <c r="F153" s="15">
        <v>0</v>
      </c>
      <c r="G153" s="105">
        <v>0</v>
      </c>
    </row>
    <row r="154" spans="1:8" ht="15" customHeight="1" thickBot="1" x14ac:dyDescent="0.4">
      <c r="A154" s="174" t="s">
        <v>225</v>
      </c>
      <c r="B154" s="69" t="s">
        <v>56</v>
      </c>
      <c r="C154" s="44">
        <f>C150</f>
        <v>1.1192666666666666E-3</v>
      </c>
      <c r="D154" s="69">
        <v>0</v>
      </c>
      <c r="E154" s="69">
        <v>0</v>
      </c>
      <c r="F154" s="69">
        <v>0</v>
      </c>
      <c r="G154" s="73">
        <v>0</v>
      </c>
    </row>
    <row r="155" spans="1:8" ht="15" customHeight="1" thickBot="1" x14ac:dyDescent="0.4">
      <c r="A155" s="128"/>
      <c r="B155" s="120"/>
      <c r="C155" s="120"/>
      <c r="D155" s="121"/>
      <c r="E155" s="121"/>
      <c r="F155" s="121"/>
      <c r="G155" s="121"/>
    </row>
    <row r="156" spans="1:8" x14ac:dyDescent="0.35">
      <c r="A156" s="268" t="s">
        <v>228</v>
      </c>
      <c r="B156" s="263"/>
      <c r="C156" s="263"/>
      <c r="D156" s="263"/>
      <c r="E156" s="263"/>
      <c r="F156" s="263"/>
      <c r="G156" s="264"/>
    </row>
    <row r="157" spans="1:8" ht="15" customHeight="1" thickBot="1" x14ac:dyDescent="0.5">
      <c r="A157" s="280" t="s">
        <v>211</v>
      </c>
      <c r="B157" s="281" t="s">
        <v>79</v>
      </c>
      <c r="C157" s="281" t="s">
        <v>32</v>
      </c>
      <c r="D157" s="281" t="s">
        <v>33</v>
      </c>
      <c r="E157" s="282" t="s">
        <v>495</v>
      </c>
      <c r="F157" s="282" t="s">
        <v>497</v>
      </c>
      <c r="G157" s="283" t="s">
        <v>34</v>
      </c>
    </row>
    <row r="158" spans="1:8" x14ac:dyDescent="0.35">
      <c r="A158" s="169" t="s">
        <v>229</v>
      </c>
      <c r="B158" s="15" t="s">
        <v>60</v>
      </c>
      <c r="C158" s="15">
        <v>1</v>
      </c>
      <c r="D158" s="26">
        <f>C134*C158/Assumptions!$B$5</f>
        <v>0.24208333333333332</v>
      </c>
      <c r="E158" s="26">
        <f>D134*C158/Assumptions!$B$5</f>
        <v>1.2044492040000001E-3</v>
      </c>
      <c r="F158" s="15"/>
      <c r="G158" s="3"/>
      <c r="H158" t="s">
        <v>525</v>
      </c>
    </row>
    <row r="159" spans="1:8" x14ac:dyDescent="0.35">
      <c r="A159" s="169" t="s">
        <v>213</v>
      </c>
      <c r="B159" s="15" t="s">
        <v>60</v>
      </c>
      <c r="C159" s="15">
        <v>1</v>
      </c>
      <c r="D159" s="26">
        <f>C135*C159/Assumptions!$B$5</f>
        <v>0.1072</v>
      </c>
      <c r="E159" s="26">
        <f>D135*C159/Assumptions!$B$5</f>
        <v>1.1806419384966127E-4</v>
      </c>
      <c r="F159" s="15"/>
      <c r="G159" s="3"/>
      <c r="H159" t="s">
        <v>525</v>
      </c>
    </row>
    <row r="160" spans="1:8" x14ac:dyDescent="0.35">
      <c r="A160" s="169" t="s">
        <v>214</v>
      </c>
      <c r="B160" s="15" t="s">
        <v>60</v>
      </c>
      <c r="C160" s="15">
        <v>1</v>
      </c>
      <c r="D160" s="26">
        <f>C136*C160/Assumptions!$B$5</f>
        <v>1.0582010582010584</v>
      </c>
      <c r="E160" s="26">
        <f>D136*C160/Assumptions!$B$5</f>
        <v>2.0035546250298216E-3</v>
      </c>
      <c r="F160" s="15"/>
      <c r="G160" s="3"/>
      <c r="H160" t="s">
        <v>525</v>
      </c>
    </row>
    <row r="161" spans="1:8" x14ac:dyDescent="0.35">
      <c r="A161" s="169" t="s">
        <v>215</v>
      </c>
      <c r="B161" s="15" t="s">
        <v>60</v>
      </c>
      <c r="C161" s="15">
        <v>1</v>
      </c>
      <c r="D161" s="26">
        <f>C137*C161/Assumptions!$B$5</f>
        <v>0.31809999999999999</v>
      </c>
      <c r="E161" s="26">
        <f>D137*C161/Assumptions!$B$5</f>
        <v>7.5448773833333347E-4</v>
      </c>
      <c r="F161" s="15"/>
      <c r="G161" s="3"/>
      <c r="H161" t="s">
        <v>525</v>
      </c>
    </row>
    <row r="162" spans="1:8" x14ac:dyDescent="0.35">
      <c r="A162" s="169" t="s">
        <v>230</v>
      </c>
      <c r="B162" s="15" t="s">
        <v>60</v>
      </c>
      <c r="C162" s="15">
        <v>1</v>
      </c>
      <c r="D162" s="26">
        <f>C138*C162/Assumptions!$B$5</f>
        <v>1.5166666666666668E-3</v>
      </c>
      <c r="E162" s="26">
        <f>D138*C162/Assumptions!$B$5</f>
        <v>6.3711499014801012E-6</v>
      </c>
      <c r="F162" s="15"/>
      <c r="G162" s="3"/>
      <c r="H162" t="s">
        <v>525</v>
      </c>
    </row>
    <row r="163" spans="1:8" x14ac:dyDescent="0.35">
      <c r="A163" s="169" t="s">
        <v>217</v>
      </c>
      <c r="B163" s="15" t="s">
        <v>60</v>
      </c>
      <c r="C163" s="15">
        <v>1</v>
      </c>
      <c r="D163" s="26">
        <f>C139*C163/Assumptions!$B$5</f>
        <v>3.5416666666666666E-2</v>
      </c>
      <c r="E163" s="26">
        <f>D139*C163/Assumptions!$B$5</f>
        <v>6.5548256000000002E-4</v>
      </c>
      <c r="F163" s="15"/>
      <c r="G163" s="3"/>
      <c r="H163" t="s">
        <v>525</v>
      </c>
    </row>
    <row r="164" spans="1:8" x14ac:dyDescent="0.35">
      <c r="A164" s="169" t="s">
        <v>218</v>
      </c>
      <c r="B164" s="15" t="s">
        <v>60</v>
      </c>
      <c r="C164" s="15">
        <v>1</v>
      </c>
      <c r="D164" s="26">
        <f>C140*C164/Assumptions!$B$5</f>
        <v>4.0500000000000006E-3</v>
      </c>
      <c r="E164" s="26">
        <f>D140*C164/Assumptions!$B$5</f>
        <v>7.0669213500000011E-5</v>
      </c>
      <c r="F164" s="15"/>
      <c r="G164" s="3"/>
      <c r="H164" t="s">
        <v>525</v>
      </c>
    </row>
    <row r="165" spans="1:8" x14ac:dyDescent="0.35">
      <c r="A165" s="82" t="s">
        <v>546</v>
      </c>
      <c r="B165" s="15" t="s">
        <v>60</v>
      </c>
      <c r="C165" s="21">
        <f>B108</f>
        <v>13</v>
      </c>
      <c r="D165" s="26">
        <f>C141*C165</f>
        <v>5356</v>
      </c>
      <c r="E165" s="26">
        <f>D141*C165</f>
        <v>26</v>
      </c>
      <c r="F165" s="26">
        <f>G141*C165</f>
        <v>2.665</v>
      </c>
      <c r="G165" s="3"/>
    </row>
    <row r="166" spans="1:8" x14ac:dyDescent="0.35">
      <c r="A166" s="169" t="s">
        <v>191</v>
      </c>
      <c r="B166" s="15" t="s">
        <v>42</v>
      </c>
      <c r="C166" s="15">
        <f>B104*Assumptions!$B$7</f>
        <v>1323024</v>
      </c>
      <c r="D166" s="26">
        <f t="shared" ref="D166:D173" si="6">C147*C166</f>
        <v>106.75823662222224</v>
      </c>
      <c r="E166" s="26">
        <f t="shared" ref="E166:E173" si="7">D147*C166</f>
        <v>0</v>
      </c>
      <c r="F166" s="26"/>
      <c r="G166" s="50">
        <f>((B93+(B104*B95)+((ROUNDUP((B104/B98),0))*B97))*B99)*ROUNDUP(Assumptions!B7,0)</f>
        <v>16559.3</v>
      </c>
    </row>
    <row r="167" spans="1:8" x14ac:dyDescent="0.35">
      <c r="A167" s="169" t="s">
        <v>193</v>
      </c>
      <c r="B167" s="15" t="s">
        <v>42</v>
      </c>
      <c r="C167" s="15">
        <f>B106*Assumptions!$B$7</f>
        <v>1376</v>
      </c>
      <c r="D167" s="26">
        <f t="shared" si="6"/>
        <v>61.231999999999999</v>
      </c>
      <c r="E167" s="26">
        <f t="shared" si="7"/>
        <v>2.8585023999999997E-2</v>
      </c>
      <c r="F167" s="127"/>
      <c r="G167" s="184"/>
    </row>
    <row r="168" spans="1:8" x14ac:dyDescent="0.35">
      <c r="A168" s="169" t="s">
        <v>231</v>
      </c>
      <c r="B168" s="15" t="s">
        <v>42</v>
      </c>
      <c r="C168" s="15">
        <f>B105*Assumptions!$B$7</f>
        <v>13244</v>
      </c>
      <c r="D168" s="26">
        <f t="shared" si="6"/>
        <v>86.192834933333344</v>
      </c>
      <c r="E168" s="26">
        <f t="shared" si="7"/>
        <v>7.5799713936589708</v>
      </c>
      <c r="F168" s="15"/>
      <c r="G168" s="105"/>
    </row>
    <row r="169" spans="1:8" x14ac:dyDescent="0.35">
      <c r="A169" s="169" t="s">
        <v>232</v>
      </c>
      <c r="B169" s="15" t="s">
        <v>42</v>
      </c>
      <c r="C169" s="15">
        <f>B105*Assumptions!$B$7</f>
        <v>13244</v>
      </c>
      <c r="D169" s="26">
        <f t="shared" si="6"/>
        <v>14.823567733333332</v>
      </c>
      <c r="E169" s="26">
        <f t="shared" si="7"/>
        <v>0</v>
      </c>
      <c r="F169" s="15"/>
      <c r="G169" s="105"/>
    </row>
    <row r="170" spans="1:8" x14ac:dyDescent="0.35">
      <c r="A170" s="169" t="s">
        <v>233</v>
      </c>
      <c r="B170" s="15" t="s">
        <v>56</v>
      </c>
      <c r="C170" s="15">
        <f>C166</f>
        <v>1323024</v>
      </c>
      <c r="D170" s="26">
        <f t="shared" si="6"/>
        <v>104.85957467999999</v>
      </c>
      <c r="E170" s="26">
        <f t="shared" si="7"/>
        <v>0</v>
      </c>
      <c r="F170" s="15"/>
      <c r="G170" s="105"/>
    </row>
    <row r="171" spans="1:8" x14ac:dyDescent="0.35">
      <c r="A171" s="169" t="s">
        <v>234</v>
      </c>
      <c r="B171" s="15" t="s">
        <v>56</v>
      </c>
      <c r="C171" s="15">
        <f>C167</f>
        <v>1376</v>
      </c>
      <c r="D171" s="26">
        <f t="shared" si="6"/>
        <v>61.231999999999999</v>
      </c>
      <c r="E171" s="26">
        <f t="shared" si="7"/>
        <v>2.8585023999999997E-2</v>
      </c>
      <c r="F171" s="15"/>
      <c r="G171" s="105"/>
    </row>
    <row r="172" spans="1:8" x14ac:dyDescent="0.35">
      <c r="A172" s="169" t="s">
        <v>231</v>
      </c>
      <c r="B172" s="15" t="s">
        <v>56</v>
      </c>
      <c r="C172" s="15">
        <f>C168</f>
        <v>13244</v>
      </c>
      <c r="D172" s="26">
        <f t="shared" si="6"/>
        <v>86.192834933333344</v>
      </c>
      <c r="E172" s="26">
        <f t="shared" si="7"/>
        <v>7.5799713936589708</v>
      </c>
      <c r="F172" s="15"/>
      <c r="G172" s="105"/>
    </row>
    <row r="173" spans="1:8" ht="15" customHeight="1" thickBot="1" x14ac:dyDescent="0.4">
      <c r="A173" s="174" t="s">
        <v>232</v>
      </c>
      <c r="B173" s="69" t="s">
        <v>56</v>
      </c>
      <c r="C173" s="69">
        <f>C169</f>
        <v>13244</v>
      </c>
      <c r="D173" s="44">
        <f t="shared" si="6"/>
        <v>14.823567733333332</v>
      </c>
      <c r="E173" s="44">
        <f t="shared" si="7"/>
        <v>0</v>
      </c>
      <c r="F173" s="69"/>
      <c r="G173" s="73"/>
    </row>
    <row r="174" spans="1:8" ht="15" customHeight="1" thickBot="1" x14ac:dyDescent="0.4">
      <c r="B174" s="15"/>
    </row>
    <row r="175" spans="1:8" x14ac:dyDescent="0.35">
      <c r="A175" s="269" t="s">
        <v>523</v>
      </c>
      <c r="B175" s="270"/>
      <c r="C175" s="263"/>
      <c r="D175" s="263"/>
      <c r="E175" s="263"/>
      <c r="F175" s="271"/>
    </row>
    <row r="176" spans="1:8" ht="15" customHeight="1" thickBot="1" x14ac:dyDescent="0.4">
      <c r="A176" s="280" t="s">
        <v>59</v>
      </c>
      <c r="B176" s="281" t="s">
        <v>60</v>
      </c>
      <c r="C176" s="281" t="s">
        <v>61</v>
      </c>
      <c r="D176" s="281" t="s">
        <v>62</v>
      </c>
      <c r="E176" s="281" t="s">
        <v>63</v>
      </c>
      <c r="F176" s="284" t="s">
        <v>515</v>
      </c>
    </row>
    <row r="177" spans="1:8" x14ac:dyDescent="0.35">
      <c r="A177" s="58" t="s">
        <v>33</v>
      </c>
      <c r="B177" s="26">
        <f>SUM(D158:D165)</f>
        <v>5357.7665677248679</v>
      </c>
      <c r="C177" s="26">
        <f>+D167</f>
        <v>61.231999999999999</v>
      </c>
      <c r="D177" s="52"/>
      <c r="E177" s="225"/>
      <c r="F177" s="215"/>
    </row>
    <row r="178" spans="1:8" ht="16.5" customHeight="1" x14ac:dyDescent="0.35">
      <c r="A178" s="58" t="s">
        <v>498</v>
      </c>
      <c r="B178" s="26">
        <f>SUM(E158:E165)</f>
        <v>26.004813078684613</v>
      </c>
      <c r="C178" s="26">
        <f>SUM(E166:E169)</f>
        <v>7.6085564176589706</v>
      </c>
      <c r="D178" s="52"/>
      <c r="E178" s="225"/>
      <c r="F178" s="215"/>
    </row>
    <row r="179" spans="1:8" ht="16.5" x14ac:dyDescent="0.45">
      <c r="A179" s="58" t="s">
        <v>499</v>
      </c>
      <c r="B179" s="26">
        <f>SUM(F158:F165)</f>
        <v>2.665</v>
      </c>
      <c r="C179" s="52"/>
      <c r="D179" s="52"/>
      <c r="E179" s="225"/>
      <c r="F179" s="216"/>
    </row>
    <row r="180" spans="1:8" ht="16.5" x14ac:dyDescent="0.45">
      <c r="A180" s="58" t="s">
        <v>520</v>
      </c>
      <c r="B180" s="26">
        <f>+B179</f>
        <v>2.665</v>
      </c>
      <c r="C180" s="52"/>
      <c r="D180" s="52"/>
      <c r="E180" s="225"/>
      <c r="F180" s="216"/>
    </row>
    <row r="181" spans="1:8" x14ac:dyDescent="0.35">
      <c r="A181" s="58" t="s">
        <v>511</v>
      </c>
      <c r="B181" s="213">
        <f>+SUM(G158:G165)</f>
        <v>0</v>
      </c>
      <c r="C181" s="52"/>
      <c r="D181" s="52"/>
      <c r="E181" s="225"/>
      <c r="F181" s="217">
        <f>+G166</f>
        <v>16559.3</v>
      </c>
    </row>
    <row r="182" spans="1:8" x14ac:dyDescent="0.35">
      <c r="A182" s="64" t="s">
        <v>65</v>
      </c>
      <c r="B182" s="52"/>
      <c r="C182" s="26">
        <f>SUM(D166,D168,D169)</f>
        <v>207.77463928888892</v>
      </c>
      <c r="D182" s="52"/>
      <c r="E182" s="225"/>
      <c r="F182" s="216"/>
    </row>
    <row r="183" spans="1:8" x14ac:dyDescent="0.35">
      <c r="A183" s="64" t="s">
        <v>66</v>
      </c>
      <c r="B183" s="213">
        <v>0</v>
      </c>
      <c r="C183" s="213">
        <v>0</v>
      </c>
      <c r="D183" s="52"/>
      <c r="E183" s="225"/>
      <c r="F183" s="216"/>
    </row>
    <row r="184" spans="1:8" ht="15" customHeight="1" thickBot="1" x14ac:dyDescent="0.4">
      <c r="A184" s="66" t="s">
        <v>67</v>
      </c>
      <c r="B184" s="132"/>
      <c r="C184" s="132"/>
      <c r="D184" s="44">
        <f>SUM(D170:D173)</f>
        <v>267.1079773466667</v>
      </c>
      <c r="E184" s="226"/>
      <c r="F184" s="219"/>
    </row>
    <row r="185" spans="1:8" ht="15" customHeight="1" thickBot="1" x14ac:dyDescent="0.4">
      <c r="A185" s="118"/>
      <c r="B185" s="26"/>
      <c r="C185" s="26"/>
      <c r="D185" s="26"/>
      <c r="E185" s="51"/>
    </row>
    <row r="186" spans="1:8" x14ac:dyDescent="0.35">
      <c r="A186" s="272" t="s">
        <v>68</v>
      </c>
      <c r="B186" s="263"/>
      <c r="C186" s="263"/>
      <c r="D186" s="263"/>
      <c r="E186" s="263"/>
      <c r="F186" s="263"/>
      <c r="G186" s="263"/>
      <c r="H186" s="264"/>
    </row>
    <row r="187" spans="1:8" ht="15.5" customHeight="1" thickBot="1" x14ac:dyDescent="0.4">
      <c r="A187" s="285" t="s">
        <v>69</v>
      </c>
      <c r="B187" s="286" t="s">
        <v>502</v>
      </c>
      <c r="C187" s="286" t="s">
        <v>503</v>
      </c>
      <c r="D187" s="286" t="s">
        <v>504</v>
      </c>
      <c r="E187" s="286" t="s">
        <v>505</v>
      </c>
      <c r="F187" s="286" t="s">
        <v>506</v>
      </c>
      <c r="G187" s="286" t="s">
        <v>507</v>
      </c>
      <c r="H187" s="287" t="s">
        <v>76</v>
      </c>
    </row>
    <row r="188" spans="1:8" ht="15" customHeight="1" thickBot="1" x14ac:dyDescent="0.4">
      <c r="A188" s="72" t="s">
        <v>484</v>
      </c>
      <c r="B188" s="69">
        <f>Assumptions!B13</f>
        <v>79.3</v>
      </c>
      <c r="C188" s="69">
        <f>Assumptions!C13</f>
        <v>162</v>
      </c>
      <c r="D188" s="69">
        <f>Assumptions!D13</f>
        <v>96</v>
      </c>
      <c r="E188" s="69">
        <f>Assumptions!E13</f>
        <v>0.21</v>
      </c>
      <c r="F188" s="69">
        <f>Assumptions!F13</f>
        <v>0.93</v>
      </c>
      <c r="G188" s="69">
        <f>Assumptions!G13</f>
        <v>0.3</v>
      </c>
      <c r="H188" s="206">
        <f>Assumptions!H13</f>
        <v>0.94</v>
      </c>
    </row>
    <row r="189" spans="1:8" ht="15" customHeight="1" thickBot="1" x14ac:dyDescent="0.4">
      <c r="B189" s="15"/>
    </row>
    <row r="190" spans="1:8" ht="17" customHeight="1" thickBot="1" x14ac:dyDescent="0.5">
      <c r="A190" s="288" t="s">
        <v>79</v>
      </c>
      <c r="B190" s="289" t="s">
        <v>501</v>
      </c>
    </row>
    <row r="191" spans="1:8" x14ac:dyDescent="0.35">
      <c r="A191" s="74" t="s">
        <v>60</v>
      </c>
      <c r="B191" s="231">
        <f>B177+(B178*B188)+(B179*C188)+(B180*D188)+(B183*G188)+(B181*H188)</f>
        <v>8107.5182448645573</v>
      </c>
    </row>
    <row r="192" spans="1:8" x14ac:dyDescent="0.35">
      <c r="A192" s="74" t="s">
        <v>515</v>
      </c>
      <c r="B192" s="231">
        <f>+F181*H188</f>
        <v>15565.741999999998</v>
      </c>
    </row>
    <row r="193" spans="1:8" x14ac:dyDescent="0.35">
      <c r="A193" s="74" t="s">
        <v>81</v>
      </c>
      <c r="B193" s="232">
        <f>C177+(C178*B188)+(C182*E188)+(C183*G188)</f>
        <v>708.223198171023</v>
      </c>
    </row>
    <row r="194" spans="1:8" x14ac:dyDescent="0.35">
      <c r="A194" s="74" t="s">
        <v>82</v>
      </c>
      <c r="B194" s="232">
        <f>+(D184*F188)</f>
        <v>248.41041893240003</v>
      </c>
    </row>
    <row r="195" spans="1:8" x14ac:dyDescent="0.35">
      <c r="A195" s="75" t="s">
        <v>83</v>
      </c>
      <c r="B195" s="233">
        <v>0</v>
      </c>
    </row>
    <row r="196" spans="1:8" ht="17" customHeight="1" thickBot="1" x14ac:dyDescent="0.5">
      <c r="A196" s="76" t="s">
        <v>521</v>
      </c>
      <c r="B196" s="234">
        <f>B191+B192+B193+B194-B195</f>
        <v>24629.893861967979</v>
      </c>
    </row>
    <row r="198" spans="1:8" x14ac:dyDescent="0.35">
      <c r="A198" s="366"/>
      <c r="B198" s="359"/>
      <c r="C198" s="359"/>
      <c r="D198" s="359"/>
      <c r="E198" s="359"/>
      <c r="F198" s="359"/>
      <c r="G198" s="359"/>
      <c r="H198" s="359"/>
    </row>
    <row r="199" spans="1:8" ht="15" customHeight="1" thickBot="1" x14ac:dyDescent="0.4"/>
    <row r="200" spans="1:8" x14ac:dyDescent="0.35">
      <c r="A200" s="290" t="s">
        <v>235</v>
      </c>
      <c r="B200" s="291"/>
    </row>
    <row r="201" spans="1:8" ht="17" customHeight="1" thickBot="1" x14ac:dyDescent="0.5">
      <c r="A201" s="292" t="s">
        <v>79</v>
      </c>
      <c r="B201" s="240" t="s">
        <v>501</v>
      </c>
    </row>
    <row r="202" spans="1:8" x14ac:dyDescent="0.35">
      <c r="A202" s="74" t="s">
        <v>60</v>
      </c>
      <c r="B202" s="231">
        <f>B74+B191</f>
        <v>8950.0307415172465</v>
      </c>
    </row>
    <row r="203" spans="1:8" x14ac:dyDescent="0.35">
      <c r="A203" s="74" t="s">
        <v>515</v>
      </c>
      <c r="B203" s="231">
        <f>+B75+B192</f>
        <v>15610.484344883731</v>
      </c>
    </row>
    <row r="204" spans="1:8" x14ac:dyDescent="0.35">
      <c r="A204" s="74" t="s">
        <v>81</v>
      </c>
      <c r="B204" s="231">
        <f>B76+B193</f>
        <v>2524.8368108551754</v>
      </c>
    </row>
    <row r="205" spans="1:8" x14ac:dyDescent="0.35">
      <c r="A205" s="74" t="s">
        <v>82</v>
      </c>
      <c r="B205" s="231">
        <f>B77+B194</f>
        <v>257.77641018240001</v>
      </c>
    </row>
    <row r="206" spans="1:8" x14ac:dyDescent="0.35">
      <c r="A206" s="75" t="s">
        <v>83</v>
      </c>
      <c r="B206" s="235">
        <f>B78+B195</f>
        <v>1941.684070072801</v>
      </c>
    </row>
    <row r="207" spans="1:8" ht="17" customHeight="1" thickBot="1" x14ac:dyDescent="0.5">
      <c r="A207" s="76" t="s">
        <v>522</v>
      </c>
      <c r="B207" s="234">
        <f>B202+B203+B204+B205-B206</f>
        <v>25401.444237365751</v>
      </c>
    </row>
    <row r="209" spans="1:18" x14ac:dyDescent="0.35">
      <c r="A209" s="366"/>
      <c r="B209" s="359"/>
      <c r="C209" s="359"/>
      <c r="D209" s="359"/>
      <c r="E209" s="359"/>
      <c r="F209" s="359"/>
      <c r="G209" s="359"/>
      <c r="H209" s="359"/>
    </row>
    <row r="210" spans="1:18" ht="15" customHeight="1" thickBot="1" x14ac:dyDescent="0.4"/>
    <row r="211" spans="1:18" x14ac:dyDescent="0.35">
      <c r="A211" s="308" t="s">
        <v>545</v>
      </c>
      <c r="B211" s="309"/>
      <c r="C211" s="309"/>
      <c r="D211" s="309"/>
      <c r="E211" s="309"/>
      <c r="F211" s="309"/>
      <c r="G211" s="309"/>
      <c r="H211" s="309"/>
      <c r="I211" s="309"/>
      <c r="J211" s="309"/>
      <c r="K211" s="309"/>
      <c r="L211" s="309"/>
      <c r="M211" s="309"/>
      <c r="N211" s="309"/>
      <c r="O211" s="309"/>
      <c r="P211" s="309"/>
      <c r="Q211" s="309"/>
      <c r="R211" s="291"/>
    </row>
    <row r="212" spans="1:18" x14ac:dyDescent="0.35">
      <c r="A212" s="310"/>
      <c r="B212" s="361" t="s">
        <v>343</v>
      </c>
      <c r="C212" s="361"/>
      <c r="D212" s="361"/>
      <c r="E212" s="367"/>
      <c r="F212" s="360" t="s">
        <v>542</v>
      </c>
      <c r="G212" s="361"/>
      <c r="H212" s="361"/>
      <c r="I212" s="361"/>
      <c r="J212" s="360" t="s">
        <v>543</v>
      </c>
      <c r="K212" s="361"/>
      <c r="L212" s="361"/>
      <c r="M212" s="361"/>
      <c r="N212" s="360" t="s">
        <v>544</v>
      </c>
      <c r="O212" s="361"/>
      <c r="P212" s="361"/>
      <c r="Q212" s="361"/>
      <c r="R212" s="362"/>
    </row>
    <row r="213" spans="1:18" ht="15" thickBot="1" x14ac:dyDescent="0.4">
      <c r="A213" s="311"/>
      <c r="B213" s="242" t="s">
        <v>60</v>
      </c>
      <c r="C213" s="239" t="s">
        <v>42</v>
      </c>
      <c r="D213" s="239" t="s">
        <v>47</v>
      </c>
      <c r="E213" s="239" t="s">
        <v>56</v>
      </c>
      <c r="F213" s="238" t="s">
        <v>60</v>
      </c>
      <c r="G213" s="239" t="s">
        <v>42</v>
      </c>
      <c r="H213" s="239" t="s">
        <v>47</v>
      </c>
      <c r="I213" s="239" t="s">
        <v>56</v>
      </c>
      <c r="J213" s="238" t="s">
        <v>60</v>
      </c>
      <c r="K213" s="239" t="s">
        <v>42</v>
      </c>
      <c r="L213" s="239" t="s">
        <v>47</v>
      </c>
      <c r="M213" s="239" t="s">
        <v>56</v>
      </c>
      <c r="N213" s="238" t="s">
        <v>60</v>
      </c>
      <c r="O213" s="242" t="s">
        <v>515</v>
      </c>
      <c r="P213" s="239" t="s">
        <v>42</v>
      </c>
      <c r="Q213" s="239" t="s">
        <v>47</v>
      </c>
      <c r="R213" s="240" t="s">
        <v>56</v>
      </c>
    </row>
    <row r="214" spans="1:18" x14ac:dyDescent="0.35">
      <c r="A214" s="331" t="s">
        <v>553</v>
      </c>
      <c r="B214" s="336">
        <f>D34</f>
        <v>9.67779624E-2</v>
      </c>
      <c r="C214" s="104"/>
      <c r="D214" s="104"/>
      <c r="E214" s="337"/>
      <c r="F214" s="344">
        <f>E34</f>
        <v>5.2210181100000003E-5</v>
      </c>
      <c r="G214" s="104"/>
      <c r="H214" s="104"/>
      <c r="I214" s="337"/>
      <c r="J214" s="345"/>
      <c r="K214" s="104"/>
      <c r="L214" s="104"/>
      <c r="M214" s="337"/>
      <c r="N214" s="345"/>
      <c r="O214" s="104"/>
      <c r="P214" s="104"/>
      <c r="Q214" s="104"/>
      <c r="R214" s="71"/>
    </row>
    <row r="215" spans="1:18" x14ac:dyDescent="0.35">
      <c r="A215" s="332" t="s">
        <v>540</v>
      </c>
      <c r="B215" s="338">
        <f>D33</f>
        <v>3.4018333333333338E-2</v>
      </c>
      <c r="C215" s="15"/>
      <c r="D215" s="15"/>
      <c r="E215" s="339"/>
      <c r="F215" s="346">
        <f>E33</f>
        <v>1.0735999999999999E-4</v>
      </c>
      <c r="G215" s="15"/>
      <c r="H215" s="15"/>
      <c r="I215" s="339"/>
      <c r="J215" s="146"/>
      <c r="K215" s="15"/>
      <c r="L215" s="15"/>
      <c r="M215" s="339"/>
      <c r="N215" s="146"/>
      <c r="O215" s="15"/>
      <c r="P215" s="15"/>
      <c r="Q215" s="15"/>
      <c r="R215" s="105"/>
    </row>
    <row r="216" spans="1:18" x14ac:dyDescent="0.35">
      <c r="A216" s="332" t="s">
        <v>546</v>
      </c>
      <c r="B216" s="338">
        <f>D32+D165</f>
        <v>5360.7409140625005</v>
      </c>
      <c r="C216" s="15"/>
      <c r="D216" s="15"/>
      <c r="E216" s="339"/>
      <c r="F216" s="346">
        <f>E32+E165</f>
        <v>26.0248423896875</v>
      </c>
      <c r="G216" s="15"/>
      <c r="H216" s="15"/>
      <c r="I216" s="339"/>
      <c r="J216" s="346">
        <f>F32+F165</f>
        <v>2.6670860021875002</v>
      </c>
      <c r="K216" s="15"/>
      <c r="L216" s="15"/>
      <c r="M216" s="339"/>
      <c r="N216" s="146"/>
      <c r="O216" s="15"/>
      <c r="P216" s="15"/>
      <c r="Q216" s="15"/>
      <c r="R216" s="105"/>
    </row>
    <row r="217" spans="1:18" x14ac:dyDescent="0.35">
      <c r="A217" s="332" t="s">
        <v>37</v>
      </c>
      <c r="B217" s="338">
        <f>D31</f>
        <v>5.1029999999999998</v>
      </c>
      <c r="C217" s="15"/>
      <c r="D217" s="15"/>
      <c r="E217" s="339"/>
      <c r="F217" s="346">
        <f>E31</f>
        <v>1.8899999999999998E-3</v>
      </c>
      <c r="G217" s="15"/>
      <c r="H217" s="15"/>
      <c r="I217" s="339"/>
      <c r="J217" s="346">
        <f>F31</f>
        <v>1.0647</v>
      </c>
      <c r="K217" s="15"/>
      <c r="L217" s="15"/>
      <c r="M217" s="339"/>
      <c r="N217" s="146"/>
      <c r="O217" s="15"/>
      <c r="P217" s="15"/>
      <c r="Q217" s="15"/>
      <c r="R217" s="105"/>
    </row>
    <row r="218" spans="1:18" x14ac:dyDescent="0.35">
      <c r="A218" s="332" t="s">
        <v>36</v>
      </c>
      <c r="B218" s="338">
        <f>D30</f>
        <v>160.875</v>
      </c>
      <c r="C218" s="15"/>
      <c r="D218" s="15"/>
      <c r="E218" s="339"/>
      <c r="F218" s="346">
        <f>E30</f>
        <v>1.7875000000000003</v>
      </c>
      <c r="G218" s="15"/>
      <c r="H218" s="15"/>
      <c r="I218" s="339"/>
      <c r="J218" s="346">
        <f>F30</f>
        <v>0.97395833333333348</v>
      </c>
      <c r="K218" s="15"/>
      <c r="L218" s="15"/>
      <c r="M218" s="339"/>
      <c r="N218" s="146"/>
      <c r="O218" s="15"/>
      <c r="P218" s="15"/>
      <c r="Q218" s="15"/>
      <c r="R218" s="105"/>
    </row>
    <row r="219" spans="1:18" x14ac:dyDescent="0.35">
      <c r="A219" s="332" t="s">
        <v>43</v>
      </c>
      <c r="B219" s="74"/>
      <c r="C219" s="26">
        <f>C38*Assumptions!B7</f>
        <v>9.5545999999999999E-4</v>
      </c>
      <c r="D219" s="15"/>
      <c r="E219" s="339"/>
      <c r="F219" s="146"/>
      <c r="G219" s="26">
        <f>D38*Assumptions!B7</f>
        <v>3.2942936400000002E-6</v>
      </c>
      <c r="H219" s="15"/>
      <c r="I219" s="339"/>
      <c r="J219" s="146"/>
      <c r="K219" s="15"/>
      <c r="L219" s="15"/>
      <c r="M219" s="339"/>
      <c r="N219" s="146"/>
      <c r="O219" s="26">
        <f>F38*Assumptions!B7</f>
        <v>2.3650000000000002</v>
      </c>
      <c r="P219" s="15"/>
      <c r="Q219" s="15"/>
      <c r="R219" s="105"/>
    </row>
    <row r="220" spans="1:18" x14ac:dyDescent="0.35">
      <c r="A220" s="332" t="s">
        <v>44</v>
      </c>
      <c r="B220" s="74"/>
      <c r="C220" s="26">
        <f>C39*Assumptions!B7</f>
        <v>3424.1258333333335</v>
      </c>
      <c r="D220" s="26">
        <f>(C44+C48)*Assumptions!B7</f>
        <v>3060.2124437500006</v>
      </c>
      <c r="E220" s="339"/>
      <c r="F220" s="146"/>
      <c r="G220" s="26">
        <f>D39*Assumptions!B7</f>
        <v>3.424125833333334</v>
      </c>
      <c r="H220" s="26">
        <f>(D44+D48)*Assumptions!B7</f>
        <v>3.0602124437500007</v>
      </c>
      <c r="I220" s="339"/>
      <c r="J220" s="146"/>
      <c r="K220" s="15"/>
      <c r="L220" s="15"/>
      <c r="M220" s="339"/>
      <c r="N220" s="146"/>
      <c r="O220" s="26">
        <f>F39*Assumptions!B7</f>
        <v>2.7213698630136989</v>
      </c>
      <c r="P220" s="15"/>
      <c r="Q220" s="15"/>
      <c r="R220" s="105"/>
    </row>
    <row r="221" spans="1:18" x14ac:dyDescent="0.35">
      <c r="A221" s="332" t="s">
        <v>45</v>
      </c>
      <c r="B221" s="74"/>
      <c r="C221" s="26">
        <f>C40*Assumptions!B7</f>
        <v>131.43164598666669</v>
      </c>
      <c r="D221" s="15"/>
      <c r="E221" s="339"/>
      <c r="F221" s="146"/>
      <c r="G221" s="15"/>
      <c r="H221" s="15"/>
      <c r="I221" s="339"/>
      <c r="J221" s="146"/>
      <c r="K221" s="15"/>
      <c r="L221" s="15"/>
      <c r="M221" s="339"/>
      <c r="N221" s="146"/>
      <c r="O221" s="26">
        <f>F40*Assumptions!B7</f>
        <v>5.5652391666666672</v>
      </c>
      <c r="P221" s="15"/>
      <c r="Q221" s="15"/>
      <c r="R221" s="105"/>
    </row>
    <row r="222" spans="1:18" x14ac:dyDescent="0.35">
      <c r="A222" s="332" t="s">
        <v>46</v>
      </c>
      <c r="B222" s="74"/>
      <c r="C222" s="26">
        <f>C41*Assumptions!B7</f>
        <v>14.761541666666666</v>
      </c>
      <c r="D222" s="15"/>
      <c r="E222" s="339"/>
      <c r="F222" s="146"/>
      <c r="G222" s="26">
        <f>D41*Assumptions!B7</f>
        <v>8.1107371794871792</v>
      </c>
      <c r="H222" s="15"/>
      <c r="I222" s="339"/>
      <c r="J222" s="146"/>
      <c r="K222" s="15"/>
      <c r="L222" s="15"/>
      <c r="M222" s="339"/>
      <c r="N222" s="146"/>
      <c r="O222" s="26">
        <f>(F41/4)*Assumptions!B7</f>
        <v>32.0565</v>
      </c>
      <c r="P222" s="15"/>
      <c r="Q222" s="15"/>
      <c r="R222" s="105"/>
    </row>
    <row r="223" spans="1:18" x14ac:dyDescent="0.35">
      <c r="A223" s="332" t="s">
        <v>48</v>
      </c>
      <c r="B223" s="74"/>
      <c r="C223" s="15"/>
      <c r="D223" s="26">
        <f>C43*Assumptions!B7</f>
        <v>10.733158333333336</v>
      </c>
      <c r="E223" s="339"/>
      <c r="F223" s="146"/>
      <c r="G223" s="15"/>
      <c r="H223" s="26">
        <f>D43*Assumptions!B7</f>
        <v>8.2562756410256419</v>
      </c>
      <c r="I223" s="339"/>
      <c r="J223" s="146"/>
      <c r="K223" s="15"/>
      <c r="L223" s="15"/>
      <c r="M223" s="339"/>
      <c r="N223" s="146"/>
      <c r="O223" s="26"/>
      <c r="P223" s="15"/>
      <c r="Q223" s="15"/>
      <c r="R223" s="105"/>
    </row>
    <row r="224" spans="1:18" x14ac:dyDescent="0.35">
      <c r="A224" s="332" t="s">
        <v>50</v>
      </c>
      <c r="B224" s="74"/>
      <c r="C224" s="15"/>
      <c r="D224" s="26">
        <f>C46*Assumptions!B7</f>
        <v>4.2999999999999994E-4</v>
      </c>
      <c r="E224" s="339"/>
      <c r="F224" s="146"/>
      <c r="G224" s="15"/>
      <c r="H224" s="15"/>
      <c r="I224" s="339"/>
      <c r="J224" s="146"/>
      <c r="K224" s="15"/>
      <c r="L224" s="15"/>
      <c r="M224" s="339"/>
      <c r="N224" s="146"/>
      <c r="O224" s="15"/>
      <c r="P224" s="15"/>
      <c r="Q224" s="15"/>
      <c r="R224" s="105"/>
    </row>
    <row r="225" spans="1:18" x14ac:dyDescent="0.35">
      <c r="A225" s="332" t="s">
        <v>139</v>
      </c>
      <c r="B225" s="74"/>
      <c r="C225" s="15"/>
      <c r="D225" s="26">
        <f>C47*Assumptions!B7</f>
        <v>18.120827083333324</v>
      </c>
      <c r="E225" s="339"/>
      <c r="F225" s="146"/>
      <c r="G225" s="15"/>
      <c r="H225" s="26">
        <f>D47*Assumptions!B7</f>
        <v>4.924137794384055E-2</v>
      </c>
      <c r="I225" s="339"/>
      <c r="J225" s="146"/>
      <c r="K225" s="15"/>
      <c r="L225" s="15"/>
      <c r="M225" s="339"/>
      <c r="N225" s="146"/>
      <c r="O225" s="26">
        <f>F46*Assumptions!B7</f>
        <v>4.8901302083333338</v>
      </c>
      <c r="P225" s="15"/>
      <c r="Q225" s="15"/>
      <c r="R225" s="105"/>
    </row>
    <row r="226" spans="1:18" x14ac:dyDescent="0.35">
      <c r="A226" s="332" t="s">
        <v>53</v>
      </c>
      <c r="B226" s="74"/>
      <c r="C226" s="15"/>
      <c r="D226" s="15"/>
      <c r="E226" s="339"/>
      <c r="F226" s="146"/>
      <c r="G226" s="15"/>
      <c r="H226" s="15"/>
      <c r="I226" s="339"/>
      <c r="J226" s="146"/>
      <c r="K226" s="15"/>
      <c r="L226" s="26">
        <f>E49</f>
        <v>6.1951009596836431E-4</v>
      </c>
      <c r="M226" s="339"/>
      <c r="N226" s="146"/>
      <c r="O226" s="15"/>
      <c r="P226" s="15"/>
      <c r="Q226" s="15"/>
      <c r="R226" s="105"/>
    </row>
    <row r="227" spans="1:18" x14ac:dyDescent="0.35">
      <c r="A227" s="332" t="s">
        <v>54</v>
      </c>
      <c r="B227" s="74"/>
      <c r="C227" s="15"/>
      <c r="D227" s="26">
        <f>C50*Assumptions!B7</f>
        <v>8.3718221124999985</v>
      </c>
      <c r="E227" s="339"/>
      <c r="F227" s="146"/>
      <c r="G227" s="15"/>
      <c r="H227" s="15"/>
      <c r="I227" s="339"/>
      <c r="J227" s="146"/>
      <c r="K227" s="15"/>
      <c r="L227" s="15"/>
      <c r="M227" s="339"/>
      <c r="N227" s="146"/>
      <c r="O227" s="15"/>
      <c r="P227" s="15"/>
      <c r="Q227" s="15"/>
      <c r="R227" s="105"/>
    </row>
    <row r="228" spans="1:18" x14ac:dyDescent="0.35">
      <c r="A228" s="332" t="s">
        <v>55</v>
      </c>
      <c r="B228" s="74"/>
      <c r="C228" s="15"/>
      <c r="D228" s="26">
        <f>C51*Assumptions!B7</f>
        <v>0.35326461794822905</v>
      </c>
      <c r="E228" s="339"/>
      <c r="F228" s="146"/>
      <c r="G228" s="15"/>
      <c r="H228" s="15"/>
      <c r="I228" s="339"/>
      <c r="J228" s="146"/>
      <c r="K228" s="15"/>
      <c r="L228" s="15"/>
      <c r="M228" s="339"/>
      <c r="N228" s="146"/>
      <c r="O228" s="15"/>
      <c r="P228" s="15"/>
      <c r="Q228" s="15"/>
      <c r="R228" s="105"/>
    </row>
    <row r="229" spans="1:18" x14ac:dyDescent="0.35">
      <c r="A229" s="332" t="s">
        <v>57</v>
      </c>
      <c r="B229" s="74"/>
      <c r="C229" s="15"/>
      <c r="D229" s="26"/>
      <c r="E229" s="340">
        <f>C53*Assumptions!B7</f>
        <v>10.070958333333335</v>
      </c>
      <c r="F229" s="146"/>
      <c r="G229" s="15"/>
      <c r="H229" s="15"/>
      <c r="I229" s="340">
        <f>D53*Assumptions!B7</f>
        <v>0.16784930555555561</v>
      </c>
      <c r="J229" s="146"/>
      <c r="K229" s="15"/>
      <c r="L229" s="15"/>
      <c r="M229" s="339"/>
      <c r="N229" s="146"/>
      <c r="O229" s="15"/>
      <c r="P229" s="15"/>
      <c r="Q229" s="15"/>
      <c r="R229" s="105"/>
    </row>
    <row r="230" spans="1:18" x14ac:dyDescent="0.35">
      <c r="A230" s="332" t="s">
        <v>178</v>
      </c>
      <c r="B230" s="338">
        <f t="shared" ref="B230:B236" si="8">D158</f>
        <v>0.24208333333333332</v>
      </c>
      <c r="D230" s="15"/>
      <c r="E230" s="339"/>
      <c r="F230" s="346">
        <f t="shared" ref="F230:F236" si="9">E158</f>
        <v>1.2044492040000001E-3</v>
      </c>
      <c r="G230" s="15"/>
      <c r="H230" s="15"/>
      <c r="I230" s="339"/>
      <c r="J230" s="146"/>
      <c r="K230" s="15"/>
      <c r="L230" s="15"/>
      <c r="M230" s="339"/>
      <c r="N230" s="146"/>
      <c r="O230" s="26">
        <f>G166</f>
        <v>16559.3</v>
      </c>
      <c r="P230" s="15"/>
      <c r="Q230" s="15"/>
      <c r="R230" s="105"/>
    </row>
    <row r="231" spans="1:18" x14ac:dyDescent="0.35">
      <c r="A231" s="332" t="s">
        <v>213</v>
      </c>
      <c r="B231" s="338">
        <f t="shared" si="8"/>
        <v>0.1072</v>
      </c>
      <c r="C231" s="15"/>
      <c r="D231" s="15"/>
      <c r="E231" s="339"/>
      <c r="F231" s="346">
        <f t="shared" si="9"/>
        <v>1.1806419384966127E-4</v>
      </c>
      <c r="G231" s="15"/>
      <c r="H231" s="15"/>
      <c r="I231" s="339"/>
      <c r="J231" s="146"/>
      <c r="K231" s="15"/>
      <c r="L231" s="15"/>
      <c r="M231" s="339"/>
      <c r="N231" s="146"/>
      <c r="P231" s="15"/>
      <c r="Q231" s="15"/>
      <c r="R231" s="105"/>
    </row>
    <row r="232" spans="1:18" x14ac:dyDescent="0.35">
      <c r="A232" s="332" t="s">
        <v>214</v>
      </c>
      <c r="B232" s="338">
        <f t="shared" si="8"/>
        <v>1.0582010582010584</v>
      </c>
      <c r="C232" s="15"/>
      <c r="D232" s="15"/>
      <c r="E232" s="339"/>
      <c r="F232" s="346">
        <f t="shared" si="9"/>
        <v>2.0035546250298216E-3</v>
      </c>
      <c r="G232" s="15"/>
      <c r="H232" s="15"/>
      <c r="I232" s="339"/>
      <c r="J232" s="146"/>
      <c r="K232" s="15"/>
      <c r="L232" s="15"/>
      <c r="M232" s="339"/>
      <c r="N232" s="146"/>
      <c r="O232" s="15"/>
      <c r="P232" s="15"/>
      <c r="Q232" s="15"/>
      <c r="R232" s="105"/>
    </row>
    <row r="233" spans="1:18" x14ac:dyDescent="0.35">
      <c r="A233" s="332" t="s">
        <v>215</v>
      </c>
      <c r="B233" s="338">
        <f t="shared" si="8"/>
        <v>0.31809999999999999</v>
      </c>
      <c r="C233" s="15"/>
      <c r="D233" s="15"/>
      <c r="E233" s="339"/>
      <c r="F233" s="346">
        <f t="shared" si="9"/>
        <v>7.5448773833333347E-4</v>
      </c>
      <c r="G233" s="15"/>
      <c r="H233" s="15"/>
      <c r="I233" s="339"/>
      <c r="J233" s="146"/>
      <c r="K233" s="15"/>
      <c r="L233" s="15"/>
      <c r="M233" s="339"/>
      <c r="N233" s="146"/>
      <c r="O233" s="15"/>
      <c r="P233" s="15"/>
      <c r="Q233" s="15"/>
      <c r="R233" s="105"/>
    </row>
    <row r="234" spans="1:18" x14ac:dyDescent="0.35">
      <c r="A234" s="332" t="s">
        <v>216</v>
      </c>
      <c r="B234" s="338">
        <f t="shared" si="8"/>
        <v>1.5166666666666668E-3</v>
      </c>
      <c r="C234" s="15"/>
      <c r="D234" s="15"/>
      <c r="E234" s="339"/>
      <c r="F234" s="346">
        <f t="shared" si="9"/>
        <v>6.3711499014801012E-6</v>
      </c>
      <c r="G234" s="15"/>
      <c r="H234" s="15"/>
      <c r="I234" s="339"/>
      <c r="J234" s="146"/>
      <c r="K234" s="15"/>
      <c r="L234" s="15"/>
      <c r="M234" s="339"/>
      <c r="N234" s="146"/>
      <c r="O234" s="15"/>
      <c r="P234" s="15"/>
      <c r="Q234" s="15"/>
      <c r="R234" s="105"/>
    </row>
    <row r="235" spans="1:18" x14ac:dyDescent="0.35">
      <c r="A235" s="332" t="s">
        <v>217</v>
      </c>
      <c r="B235" s="338">
        <f t="shared" si="8"/>
        <v>3.5416666666666666E-2</v>
      </c>
      <c r="C235" s="15"/>
      <c r="D235" s="15"/>
      <c r="E235" s="339"/>
      <c r="F235" s="346">
        <f t="shared" si="9"/>
        <v>6.5548256000000002E-4</v>
      </c>
      <c r="G235" s="15"/>
      <c r="H235" s="15"/>
      <c r="I235" s="339"/>
      <c r="J235" s="146"/>
      <c r="K235" s="15"/>
      <c r="L235" s="15"/>
      <c r="M235" s="339"/>
      <c r="N235" s="146"/>
      <c r="O235" s="15"/>
      <c r="P235" s="15"/>
      <c r="Q235" s="15"/>
      <c r="R235" s="105"/>
    </row>
    <row r="236" spans="1:18" x14ac:dyDescent="0.35">
      <c r="A236" s="332" t="s">
        <v>218</v>
      </c>
      <c r="B236" s="338">
        <f t="shared" si="8"/>
        <v>4.0500000000000006E-3</v>
      </c>
      <c r="C236" s="15"/>
      <c r="D236" s="15"/>
      <c r="E236" s="339"/>
      <c r="F236" s="346">
        <f t="shared" si="9"/>
        <v>7.0669213500000011E-5</v>
      </c>
      <c r="G236" s="15"/>
      <c r="H236" s="15"/>
      <c r="I236" s="339"/>
      <c r="J236" s="146"/>
      <c r="K236" s="15"/>
      <c r="L236" s="15"/>
      <c r="M236" s="339"/>
      <c r="N236" s="146"/>
      <c r="O236" s="15"/>
      <c r="P236" s="15"/>
      <c r="Q236" s="15"/>
      <c r="R236" s="105"/>
    </row>
    <row r="237" spans="1:18" x14ac:dyDescent="0.35">
      <c r="A237" s="332" t="s">
        <v>191</v>
      </c>
      <c r="B237" s="338"/>
      <c r="C237" s="26">
        <f>D166</f>
        <v>106.75823662222224</v>
      </c>
      <c r="D237" s="15"/>
      <c r="E237" s="340">
        <f>D170</f>
        <v>104.85957467999999</v>
      </c>
      <c r="F237" s="146"/>
      <c r="G237" s="26">
        <f>E166</f>
        <v>0</v>
      </c>
      <c r="H237" s="15"/>
      <c r="I237" s="340">
        <f>E170</f>
        <v>0</v>
      </c>
      <c r="J237" s="146"/>
      <c r="K237" s="15"/>
      <c r="L237" s="15"/>
      <c r="M237" s="339"/>
      <c r="N237" s="146"/>
      <c r="P237" s="15"/>
      <c r="Q237" s="15"/>
      <c r="R237" s="105"/>
    </row>
    <row r="238" spans="1:18" x14ac:dyDescent="0.35">
      <c r="A238" s="332" t="s">
        <v>193</v>
      </c>
      <c r="B238" s="338"/>
      <c r="C238" s="26">
        <f t="shared" ref="C238:C240" si="10">D167</f>
        <v>61.231999999999999</v>
      </c>
      <c r="D238" s="15"/>
      <c r="E238" s="340">
        <f>D171</f>
        <v>61.231999999999999</v>
      </c>
      <c r="F238" s="146"/>
      <c r="G238" s="26">
        <f>E167</f>
        <v>2.8585023999999997E-2</v>
      </c>
      <c r="H238" s="15"/>
      <c r="I238" s="340">
        <f t="shared" ref="I238:I240" si="11">E171</f>
        <v>2.8585023999999997E-2</v>
      </c>
      <c r="J238" s="146"/>
      <c r="K238" s="15"/>
      <c r="L238" s="15"/>
      <c r="M238" s="339"/>
      <c r="N238" s="146"/>
      <c r="O238" s="15"/>
      <c r="P238" s="15"/>
      <c r="Q238" s="15"/>
      <c r="R238" s="105"/>
    </row>
    <row r="239" spans="1:18" x14ac:dyDescent="0.35">
      <c r="A239" s="332" t="s">
        <v>231</v>
      </c>
      <c r="B239" s="338"/>
      <c r="C239" s="26">
        <f t="shared" si="10"/>
        <v>86.192834933333344</v>
      </c>
      <c r="D239" s="15"/>
      <c r="E239" s="340">
        <f>D172</f>
        <v>86.192834933333344</v>
      </c>
      <c r="F239" s="146"/>
      <c r="G239" s="26">
        <f>E168</f>
        <v>7.5799713936589708</v>
      </c>
      <c r="H239" s="15"/>
      <c r="I239" s="340">
        <f t="shared" si="11"/>
        <v>7.5799713936589708</v>
      </c>
      <c r="J239" s="146"/>
      <c r="K239" s="15"/>
      <c r="L239" s="15"/>
      <c r="M239" s="339"/>
      <c r="N239" s="146"/>
      <c r="O239" s="15"/>
      <c r="P239" s="15"/>
      <c r="Q239" s="15"/>
      <c r="R239" s="105"/>
    </row>
    <row r="240" spans="1:18" ht="15" thickBot="1" x14ac:dyDescent="0.4">
      <c r="A240" s="333" t="s">
        <v>554</v>
      </c>
      <c r="B240" s="341"/>
      <c r="C240" s="44">
        <f t="shared" si="10"/>
        <v>14.823567733333332</v>
      </c>
      <c r="D240" s="69"/>
      <c r="E240" s="348">
        <f>D173</f>
        <v>14.823567733333332</v>
      </c>
      <c r="F240" s="347"/>
      <c r="G240" s="44">
        <f>E169</f>
        <v>0</v>
      </c>
      <c r="H240" s="69"/>
      <c r="I240" s="348">
        <f t="shared" si="11"/>
        <v>0</v>
      </c>
      <c r="J240" s="347"/>
      <c r="K240" s="69"/>
      <c r="L240" s="69"/>
      <c r="M240" s="342"/>
      <c r="N240" s="347"/>
      <c r="O240" s="69"/>
      <c r="P240" s="69"/>
      <c r="Q240" s="69"/>
      <c r="R240" s="73"/>
    </row>
  </sheetData>
  <mergeCells count="19">
    <mergeCell ref="A198:H198"/>
    <mergeCell ref="F46:F51"/>
    <mergeCell ref="A3:C3"/>
    <mergeCell ref="A30:A31"/>
    <mergeCell ref="A1:H1"/>
    <mergeCell ref="A11:C11"/>
    <mergeCell ref="H30:H31"/>
    <mergeCell ref="A38:A44"/>
    <mergeCell ref="A82:C82"/>
    <mergeCell ref="A12:C12"/>
    <mergeCell ref="A22:C22"/>
    <mergeCell ref="A32:A34"/>
    <mergeCell ref="A36:B36"/>
    <mergeCell ref="A46:A53"/>
    <mergeCell ref="A209:H209"/>
    <mergeCell ref="B212:E212"/>
    <mergeCell ref="F212:I212"/>
    <mergeCell ref="J212:M212"/>
    <mergeCell ref="N212:R212"/>
  </mergeCells>
  <hyperlinks>
    <hyperlink ref="N114" r:id="rId1" xr:uid="{00000000-0004-0000-0400-000000000000}"/>
  </hyperlinks>
  <pageMargins left="0.7" right="0.7" top="0.75" bottom="0.75" header="0.3" footer="0.3"/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L681"/>
  <sheetViews>
    <sheetView topLeftCell="A277" zoomScale="85" zoomScaleNormal="85" workbookViewId="0">
      <selection activeCell="E286" sqref="E286"/>
    </sheetView>
  </sheetViews>
  <sheetFormatPr defaultRowHeight="14.5" x14ac:dyDescent="0.35"/>
  <cols>
    <col min="1" max="1" width="42.6328125" customWidth="1"/>
    <col min="2" max="2" width="29.90625" customWidth="1"/>
    <col min="3" max="3" width="25.36328125" bestFit="1" customWidth="1"/>
    <col min="4" max="4" width="23.54296875" bestFit="1" customWidth="1"/>
    <col min="5" max="5" width="21.26953125" customWidth="1"/>
    <col min="6" max="6" width="20.90625" customWidth="1"/>
    <col min="7" max="7" width="23.08984375" customWidth="1"/>
    <col min="8" max="8" width="18.81640625" customWidth="1"/>
    <col min="9" max="9" width="35.7265625" customWidth="1"/>
    <col min="10" max="14" width="8.7265625" customWidth="1"/>
    <col min="15" max="15" width="17.1796875" bestFit="1" customWidth="1"/>
    <col min="16" max="16" width="8.7265625" customWidth="1"/>
  </cols>
  <sheetData>
    <row r="1" spans="1:8" ht="26" customHeight="1" x14ac:dyDescent="0.35">
      <c r="A1" s="396" t="s">
        <v>104</v>
      </c>
      <c r="B1" s="359"/>
      <c r="C1" s="359"/>
      <c r="D1" s="359"/>
      <c r="E1" s="359"/>
      <c r="F1" s="359"/>
      <c r="G1" s="359"/>
      <c r="H1" s="359"/>
    </row>
    <row r="2" spans="1:8" ht="15" customHeight="1" x14ac:dyDescent="0.35">
      <c r="A2" s="91"/>
    </row>
    <row r="3" spans="1:8" ht="15" customHeight="1" thickBot="1" x14ac:dyDescent="0.4">
      <c r="A3" s="372" t="s">
        <v>1</v>
      </c>
      <c r="B3" s="359"/>
      <c r="C3" s="359"/>
    </row>
    <row r="4" spans="1:8" ht="15" customHeight="1" thickBot="1" x14ac:dyDescent="0.4">
      <c r="A4" s="294"/>
      <c r="B4" s="295" t="s">
        <v>2</v>
      </c>
      <c r="C4" s="296" t="s">
        <v>3</v>
      </c>
      <c r="E4" s="297" t="s">
        <v>4</v>
      </c>
    </row>
    <row r="5" spans="1:8" x14ac:dyDescent="0.35">
      <c r="A5" s="133" t="s">
        <v>5</v>
      </c>
      <c r="B5" s="135">
        <f>Assumptions!B8</f>
        <v>5</v>
      </c>
      <c r="C5" s="86" t="s">
        <v>579</v>
      </c>
      <c r="E5" s="4" t="s">
        <v>6</v>
      </c>
    </row>
    <row r="6" spans="1:8" ht="15" customHeight="1" thickBot="1" x14ac:dyDescent="0.4">
      <c r="A6" s="134" t="s">
        <v>8</v>
      </c>
      <c r="B6" s="136">
        <f>Assumptions!C20</f>
        <v>373</v>
      </c>
      <c r="C6" s="7" t="s">
        <v>144</v>
      </c>
      <c r="E6" s="8" t="s">
        <v>7</v>
      </c>
    </row>
    <row r="7" spans="1:8" ht="15" customHeight="1" x14ac:dyDescent="0.35"/>
    <row r="8" spans="1:8" s="88" customFormat="1" ht="15" customHeight="1" thickBot="1" x14ac:dyDescent="0.4"/>
    <row r="9" spans="1:8" ht="19" customHeight="1" thickBot="1" x14ac:dyDescent="0.4">
      <c r="A9" s="245" t="s">
        <v>9</v>
      </c>
      <c r="B9" s="151"/>
      <c r="C9" s="151"/>
      <c r="D9" s="151"/>
      <c r="E9" s="151"/>
      <c r="F9" s="151"/>
      <c r="G9" s="152"/>
    </row>
    <row r="10" spans="1:8" ht="15" customHeight="1" thickBot="1" x14ac:dyDescent="0.4"/>
    <row r="11" spans="1:8" ht="15" customHeight="1" x14ac:dyDescent="0.35">
      <c r="A11" s="376" t="s">
        <v>135</v>
      </c>
      <c r="B11" s="377"/>
      <c r="C11" s="378"/>
    </row>
    <row r="12" spans="1:8" x14ac:dyDescent="0.35">
      <c r="A12" s="379" t="s">
        <v>11</v>
      </c>
      <c r="B12" s="380"/>
      <c r="C12" s="381"/>
      <c r="D12" s="9"/>
    </row>
    <row r="13" spans="1:8" ht="16.5" customHeight="1" thickBot="1" x14ac:dyDescent="0.4">
      <c r="A13" s="153"/>
      <c r="B13" s="147" t="s">
        <v>2</v>
      </c>
      <c r="C13" s="148" t="s">
        <v>3</v>
      </c>
      <c r="D13" s="9"/>
    </row>
    <row r="14" spans="1:8" x14ac:dyDescent="0.35">
      <c r="A14" s="12" t="s">
        <v>12</v>
      </c>
      <c r="B14" s="15">
        <v>5</v>
      </c>
      <c r="C14" s="11" t="s">
        <v>13</v>
      </c>
      <c r="D14" s="9"/>
    </row>
    <row r="15" spans="1:8" ht="16.5" x14ac:dyDescent="0.35">
      <c r="A15" s="12" t="s">
        <v>136</v>
      </c>
      <c r="B15" s="13">
        <f>(320/16)*(1/0.0929)*(9830000/982000)*(1/1000)</f>
        <v>2.1550448437866532</v>
      </c>
      <c r="C15" s="11" t="s">
        <v>508</v>
      </c>
      <c r="D15" s="9"/>
    </row>
    <row r="16" spans="1:8" x14ac:dyDescent="0.35">
      <c r="A16" s="12" t="s">
        <v>16</v>
      </c>
      <c r="B16" s="13">
        <f>(9830000/982000)*(1/1000)</f>
        <v>1.0010183299389002E-2</v>
      </c>
      <c r="C16" s="11" t="s">
        <v>17</v>
      </c>
      <c r="D16" s="9"/>
    </row>
    <row r="17" spans="1:8" ht="17" customHeight="1" x14ac:dyDescent="0.35">
      <c r="A17" s="12" t="s">
        <v>18</v>
      </c>
      <c r="B17" s="13">
        <f>B5*(1/B6)</f>
        <v>1.3404825737265416E-2</v>
      </c>
      <c r="C17" s="11" t="s">
        <v>19</v>
      </c>
      <c r="D17" s="9"/>
    </row>
    <row r="18" spans="1:8" ht="15" customHeight="1" x14ac:dyDescent="0.35">
      <c r="A18" s="12" t="s">
        <v>20</v>
      </c>
      <c r="B18" s="15">
        <f>ROUNDUP(B17/B16,0)</f>
        <v>2</v>
      </c>
      <c r="C18" s="11" t="s">
        <v>21</v>
      </c>
      <c r="D18" s="9"/>
    </row>
    <row r="19" spans="1:8" ht="15" customHeight="1" thickBot="1" x14ac:dyDescent="0.4">
      <c r="A19" s="12" t="s">
        <v>23</v>
      </c>
      <c r="B19" s="13">
        <f>B17/B15</f>
        <v>6.2202073316078412E-3</v>
      </c>
      <c r="C19" s="11" t="s">
        <v>510</v>
      </c>
      <c r="D19" s="19"/>
      <c r="E19" s="20"/>
      <c r="F19" s="20"/>
    </row>
    <row r="20" spans="1:8" x14ac:dyDescent="0.35">
      <c r="A20" s="382" t="s">
        <v>137</v>
      </c>
      <c r="B20" s="383"/>
      <c r="C20" s="384"/>
      <c r="D20" s="9"/>
    </row>
    <row r="21" spans="1:8" ht="15" customHeight="1" thickBot="1" x14ac:dyDescent="0.4">
      <c r="A21" s="171"/>
      <c r="B21" s="147" t="s">
        <v>2</v>
      </c>
      <c r="C21" s="148" t="s">
        <v>3</v>
      </c>
      <c r="D21" s="9"/>
      <c r="G21" s="20"/>
      <c r="H21" s="20"/>
    </row>
    <row r="22" spans="1:8" ht="17" customHeight="1" x14ac:dyDescent="0.35">
      <c r="A22" s="12" t="s">
        <v>25</v>
      </c>
      <c r="B22" s="21">
        <f>B18*B14</f>
        <v>10</v>
      </c>
      <c r="C22" s="11" t="s">
        <v>26</v>
      </c>
      <c r="D22" s="9"/>
      <c r="G22" s="20"/>
      <c r="H22" s="20"/>
    </row>
    <row r="23" spans="1:8" x14ac:dyDescent="0.35">
      <c r="A23" s="12" t="s">
        <v>27</v>
      </c>
      <c r="B23" s="22">
        <f>B16*B22</f>
        <v>0.10010183299389003</v>
      </c>
      <c r="C23" s="11" t="s">
        <v>28</v>
      </c>
      <c r="D23" s="9"/>
      <c r="G23" s="20"/>
      <c r="H23" s="20"/>
    </row>
    <row r="24" spans="1:8" ht="15" customHeight="1" thickBot="1" x14ac:dyDescent="0.4">
      <c r="A24" s="5" t="s">
        <v>23</v>
      </c>
      <c r="B24" s="23">
        <f>B23/B15</f>
        <v>4.6449999999999991E-2</v>
      </c>
      <c r="C24" s="24" t="s">
        <v>510</v>
      </c>
      <c r="D24" s="9"/>
      <c r="G24" s="20"/>
      <c r="H24" s="20"/>
    </row>
    <row r="25" spans="1:8" ht="17" customHeight="1" thickBot="1" x14ac:dyDescent="0.4">
      <c r="B25" s="15"/>
      <c r="C25" s="15"/>
    </row>
    <row r="26" spans="1:8" x14ac:dyDescent="0.35">
      <c r="A26" s="155" t="s">
        <v>29</v>
      </c>
      <c r="B26" s="156"/>
      <c r="C26" s="156"/>
      <c r="D26" s="156"/>
      <c r="E26" s="156"/>
      <c r="F26" s="156"/>
      <c r="G26" s="157"/>
    </row>
    <row r="27" spans="1:8" ht="17" customHeight="1" thickBot="1" x14ac:dyDescent="0.5">
      <c r="A27" s="154" t="s">
        <v>30</v>
      </c>
      <c r="B27" s="147" t="s">
        <v>31</v>
      </c>
      <c r="C27" s="147" t="s">
        <v>32</v>
      </c>
      <c r="D27" s="147" t="s">
        <v>33</v>
      </c>
      <c r="E27" s="147" t="s">
        <v>498</v>
      </c>
      <c r="F27" s="147" t="s">
        <v>499</v>
      </c>
      <c r="G27" s="148" t="s">
        <v>34</v>
      </c>
    </row>
    <row r="28" spans="1:8" x14ac:dyDescent="0.35">
      <c r="A28" s="391" t="s">
        <v>35</v>
      </c>
      <c r="B28" t="s">
        <v>36</v>
      </c>
      <c r="C28" s="15">
        <v>1</v>
      </c>
      <c r="D28" s="25">
        <f>(101.5-22.9-8.4)*B24</f>
        <v>3.2607899999999987</v>
      </c>
      <c r="E28" s="25">
        <f>(1.03-0.25)*B24</f>
        <v>3.6230999999999992E-2</v>
      </c>
      <c r="F28" s="26">
        <f>(2.6-2.1-0.075)*B24</f>
        <v>1.9741249999999995E-2</v>
      </c>
      <c r="G28" s="27"/>
      <c r="H28" s="393"/>
    </row>
    <row r="29" spans="1:8" x14ac:dyDescent="0.35">
      <c r="A29" s="374"/>
      <c r="B29" s="28" t="s">
        <v>37</v>
      </c>
      <c r="C29" s="29">
        <f>ROUNDUP(B24*9,0)</f>
        <v>1</v>
      </c>
      <c r="D29" s="30">
        <f>0.243*C29</f>
        <v>0.24299999999999999</v>
      </c>
      <c r="E29" s="31">
        <f>(0.3*0.3*0.001)*C29</f>
        <v>8.9999999999999992E-5</v>
      </c>
      <c r="F29" s="31">
        <f>50.7*C29*(1/1000)</f>
        <v>5.0700000000000002E-2</v>
      </c>
      <c r="G29" s="32"/>
      <c r="H29" s="386"/>
    </row>
    <row r="30" spans="1:8" ht="15" customHeight="1" thickBot="1" x14ac:dyDescent="0.4">
      <c r="A30" s="385" t="s">
        <v>38</v>
      </c>
      <c r="B30" s="38" t="s">
        <v>546</v>
      </c>
      <c r="C30" s="34">
        <f>IF((0.003785*C32*2) &lt;= 0.0187, 1, CEILING((0.003785*C32*2)/0.0187, 1))</f>
        <v>1</v>
      </c>
      <c r="D30" s="35">
        <f>0.75*B17*C30</f>
        <v>1.0053619302949061E-2</v>
      </c>
      <c r="E30" s="36">
        <f>0.00393*B17*C30</f>
        <v>5.2680965147453091E-5</v>
      </c>
      <c r="F30" s="35">
        <f>0.00033*B17*C30</f>
        <v>4.4235924932975873E-6</v>
      </c>
      <c r="G30" s="37"/>
      <c r="H30" s="78"/>
    </row>
    <row r="31" spans="1:8" x14ac:dyDescent="0.35">
      <c r="A31" s="364"/>
      <c r="B31" s="38" t="s">
        <v>39</v>
      </c>
      <c r="C31" s="39">
        <f>IF(F44 &lt;= 2, 1, CEILING(F44 / 2, 1))</f>
        <v>1</v>
      </c>
      <c r="D31" s="26">
        <f>0.20411*C31/Assumptions!$B$5</f>
        <v>3.4018333333333338E-2</v>
      </c>
      <c r="E31" s="26">
        <f>0.00064416*C31/Assumptions!$B$5</f>
        <v>1.0735999999999999E-4</v>
      </c>
      <c r="F31" s="40"/>
      <c r="G31" s="41"/>
      <c r="H31" t="s">
        <v>525</v>
      </c>
    </row>
    <row r="32" spans="1:8" ht="15" customHeight="1" thickBot="1" x14ac:dyDescent="0.4">
      <c r="A32" s="365"/>
      <c r="B32" s="42" t="s">
        <v>40</v>
      </c>
      <c r="C32" s="43">
        <f>ROUNDUP(B17/(85*0.003785),0)</f>
        <v>1</v>
      </c>
      <c r="D32" s="44">
        <f>(7.62/250)*(0.45359/1)*C32</f>
        <v>1.3825423199999999E-2</v>
      </c>
      <c r="E32" s="44">
        <f>(10.5*11*0.00394)*0.00001639*C32</f>
        <v>7.4585973E-6</v>
      </c>
      <c r="F32" s="45"/>
      <c r="G32" s="46"/>
      <c r="H32" s="79"/>
    </row>
    <row r="33" spans="1:7" ht="17" customHeight="1" thickBot="1" x14ac:dyDescent="0.4"/>
    <row r="34" spans="1:7" x14ac:dyDescent="0.35">
      <c r="A34" s="387" t="s">
        <v>516</v>
      </c>
      <c r="B34" s="383"/>
      <c r="C34" s="159"/>
      <c r="D34" s="159"/>
      <c r="E34" s="158"/>
      <c r="F34" s="160"/>
    </row>
    <row r="35" spans="1:7" ht="17" customHeight="1" thickBot="1" x14ac:dyDescent="0.5">
      <c r="A35" s="166" t="s">
        <v>30</v>
      </c>
      <c r="B35" s="167" t="s">
        <v>42</v>
      </c>
      <c r="C35" s="167" t="s">
        <v>33</v>
      </c>
      <c r="D35" s="228" t="s">
        <v>498</v>
      </c>
      <c r="E35" s="167" t="s">
        <v>499</v>
      </c>
      <c r="F35" s="168" t="s">
        <v>34</v>
      </c>
    </row>
    <row r="36" spans="1:7" ht="15" customHeight="1" thickBot="1" x14ac:dyDescent="0.4">
      <c r="A36" s="392" t="s">
        <v>35</v>
      </c>
      <c r="B36" t="s">
        <v>236</v>
      </c>
      <c r="C36" s="25">
        <f>0.0004288*B18*2</f>
        <v>1.7152000000000001E-3</v>
      </c>
      <c r="D36" s="25">
        <f>(4/3)*PI()*((0.45/2)^3)*(1/1000^3)</f>
        <v>4.771293842639499E-11</v>
      </c>
      <c r="E36" s="49"/>
      <c r="F36" s="63">
        <f>((1/10)*(B18*2)*(1/60)*1.5)+(4.6*(1/(215*2))*1.5)</f>
        <v>2.6046511627906978E-2</v>
      </c>
    </row>
    <row r="37" spans="1:7" x14ac:dyDescent="0.35">
      <c r="A37" s="364"/>
      <c r="B37" t="s">
        <v>44</v>
      </c>
      <c r="C37" s="26">
        <f>D37*1000</f>
        <v>0.54034941089677324</v>
      </c>
      <c r="D37" s="26">
        <f>(7.3*B19*35)*0.34*0.001</f>
        <v>5.4034941089677328E-4</v>
      </c>
      <c r="E37" s="49"/>
      <c r="F37" s="50">
        <f>90*4*(1/60)*(1/12.5)*(1/365)*35*B19*1.5</f>
        <v>4.2944993083977423E-4</v>
      </c>
    </row>
    <row r="38" spans="1:7" ht="16.5" customHeight="1" x14ac:dyDescent="0.35">
      <c r="A38" s="364"/>
      <c r="B38" t="s">
        <v>45</v>
      </c>
      <c r="C38" s="26">
        <f>((1.166+(12.406*3))*(D37*1000))/1000</f>
        <v>2.0740771787861743E-2</v>
      </c>
      <c r="D38" s="52"/>
      <c r="E38" s="49"/>
      <c r="F38" s="50">
        <f>(20.17/10)*(1/60)*(1/12.5)*B19*35*1.5</f>
        <v>8.7823107314971105E-4</v>
      </c>
    </row>
    <row r="39" spans="1:7" x14ac:dyDescent="0.35">
      <c r="A39" s="364"/>
      <c r="B39" t="s">
        <v>46</v>
      </c>
      <c r="C39" s="26">
        <f>(10.7*B19*35)/1000</f>
        <v>2.3294676456871366E-3</v>
      </c>
      <c r="D39" s="26">
        <f>C39/1.82</f>
        <v>1.2799272778500749E-3</v>
      </c>
      <c r="E39" s="49"/>
      <c r="F39" s="53">
        <f>2.13*365*(1/60)*(1/365)*35*1.5</f>
        <v>1.86375</v>
      </c>
    </row>
    <row r="40" spans="1:7" ht="15" customHeight="1" x14ac:dyDescent="0.45">
      <c r="A40" s="364"/>
      <c r="B40" s="161" t="s">
        <v>47</v>
      </c>
      <c r="C40" s="162" t="s">
        <v>33</v>
      </c>
      <c r="D40" s="227" t="s">
        <v>498</v>
      </c>
      <c r="E40" s="162" t="s">
        <v>499</v>
      </c>
      <c r="F40" s="163" t="s">
        <v>34</v>
      </c>
    </row>
    <row r="41" spans="1:7" ht="17" customHeight="1" x14ac:dyDescent="0.35">
      <c r="A41" s="364"/>
      <c r="B41" s="38" t="s">
        <v>48</v>
      </c>
      <c r="C41" s="26">
        <f>(7.78*B19*35)/1000</f>
        <v>1.6937624563968152E-3</v>
      </c>
      <c r="D41" s="26">
        <f>C41/1.3</f>
        <v>1.3028941972283194E-3</v>
      </c>
      <c r="E41" s="49"/>
      <c r="F41" s="54"/>
    </row>
    <row r="42" spans="1:7" ht="15" thickBot="1" x14ac:dyDescent="0.4">
      <c r="A42" s="365"/>
      <c r="B42" s="38" t="s">
        <v>49</v>
      </c>
      <c r="C42" s="26">
        <f>2.1*B19*35</f>
        <v>0.45718523887317636</v>
      </c>
      <c r="D42" s="26">
        <f>C42/1000</f>
        <v>4.5718523887317637E-4</v>
      </c>
      <c r="E42" s="49"/>
      <c r="F42" s="54"/>
      <c r="G42" s="246"/>
    </row>
    <row r="43" spans="1:7" ht="16.5" customHeight="1" x14ac:dyDescent="0.45">
      <c r="A43" s="149" t="s">
        <v>30</v>
      </c>
      <c r="B43" s="162" t="s">
        <v>47</v>
      </c>
      <c r="C43" s="162" t="s">
        <v>33</v>
      </c>
      <c r="D43" s="227" t="s">
        <v>498</v>
      </c>
      <c r="E43" s="162" t="s">
        <v>499</v>
      </c>
      <c r="F43" s="163" t="s">
        <v>34</v>
      </c>
    </row>
    <row r="44" spans="1:7" ht="15" customHeight="1" thickBot="1" x14ac:dyDescent="0.4">
      <c r="A44" s="371" t="s">
        <v>38</v>
      </c>
      <c r="B44" s="38" t="s">
        <v>50</v>
      </c>
      <c r="C44" s="26">
        <f>B5/1000000</f>
        <v>5.0000000000000004E-6</v>
      </c>
      <c r="D44" s="49"/>
      <c r="E44" s="49"/>
      <c r="F44" s="390">
        <f>(3.97*B19)/60*1.5</f>
        <v>6.1735557766207821E-4</v>
      </c>
    </row>
    <row r="45" spans="1:7" x14ac:dyDescent="0.35">
      <c r="A45" s="364"/>
      <c r="B45" s="38" t="s">
        <v>139</v>
      </c>
      <c r="C45" s="26">
        <f>B15*B19</f>
        <v>1.3404825737265414E-2</v>
      </c>
      <c r="D45" s="26">
        <f>C45*(1/60)</f>
        <v>2.2341376228775689E-4</v>
      </c>
      <c r="E45" s="49"/>
      <c r="F45" s="369"/>
    </row>
    <row r="46" spans="1:7" ht="16.5" customHeight="1" x14ac:dyDescent="0.45">
      <c r="A46" s="364"/>
      <c r="B46" s="161" t="s">
        <v>56</v>
      </c>
      <c r="C46" s="162" t="s">
        <v>33</v>
      </c>
      <c r="D46" s="227" t="s">
        <v>498</v>
      </c>
      <c r="E46" s="162" t="s">
        <v>499</v>
      </c>
      <c r="F46" s="163" t="s">
        <v>34</v>
      </c>
    </row>
    <row r="47" spans="1:7" ht="15" customHeight="1" thickBot="1" x14ac:dyDescent="0.4">
      <c r="A47" s="365"/>
      <c r="B47" s="42" t="s">
        <v>57</v>
      </c>
      <c r="C47" s="44">
        <f>(7.3/1000)*B19*35</f>
        <v>1.5892629732258035E-3</v>
      </c>
      <c r="D47" s="44">
        <f>C47*(1/60)</f>
        <v>2.6487716220430056E-5</v>
      </c>
      <c r="E47" s="55"/>
      <c r="F47" s="57"/>
    </row>
    <row r="48" spans="1:7" ht="15" customHeight="1" thickBot="1" x14ac:dyDescent="0.4"/>
    <row r="49" spans="1:8" x14ac:dyDescent="0.35">
      <c r="A49" s="170" t="s">
        <v>58</v>
      </c>
      <c r="B49" s="158"/>
      <c r="C49" s="158"/>
      <c r="D49" s="158"/>
      <c r="E49" s="158"/>
      <c r="F49" s="229"/>
    </row>
    <row r="50" spans="1:8" ht="15" customHeight="1" thickBot="1" x14ac:dyDescent="0.4">
      <c r="A50" s="154" t="s">
        <v>59</v>
      </c>
      <c r="B50" s="147" t="s">
        <v>60</v>
      </c>
      <c r="C50" s="147" t="s">
        <v>61</v>
      </c>
      <c r="D50" s="147" t="s">
        <v>62</v>
      </c>
      <c r="E50" s="147" t="s">
        <v>63</v>
      </c>
      <c r="F50" s="163" t="s">
        <v>515</v>
      </c>
    </row>
    <row r="51" spans="1:8" x14ac:dyDescent="0.35">
      <c r="A51" s="58" t="s">
        <v>33</v>
      </c>
      <c r="B51" s="26">
        <f>SUM(D28:D32)</f>
        <v>3.5616873758362813</v>
      </c>
      <c r="C51" s="26">
        <f>C36+(C38/5*5)+(C39/5*5)</f>
        <v>2.478543943354888E-2</v>
      </c>
      <c r="D51" s="59"/>
      <c r="E51" s="26">
        <f>SUM((C41/5*5),C44,C45)</f>
        <v>1.510358819366223E-2</v>
      </c>
      <c r="F51" s="61"/>
      <c r="H51" s="15"/>
    </row>
    <row r="52" spans="1:8" ht="16.5" x14ac:dyDescent="0.35">
      <c r="A52" s="58" t="s">
        <v>498</v>
      </c>
      <c r="B52" s="26">
        <f>SUM(E28:E32)</f>
        <v>3.648849956244745E-2</v>
      </c>
      <c r="C52" s="26">
        <f>D36+(D39/5*5)</f>
        <v>1.2799273255630135E-3</v>
      </c>
      <c r="D52" s="52"/>
      <c r="E52" s="26">
        <f>SUM((D41/5*5),(D42/5*5),D45)</f>
        <v>1.9834931983892527E-3</v>
      </c>
      <c r="F52" s="61"/>
      <c r="H52" s="15"/>
    </row>
    <row r="53" spans="1:8" ht="16.5" x14ac:dyDescent="0.45">
      <c r="A53" s="58" t="s">
        <v>499</v>
      </c>
      <c r="B53" s="26">
        <f>SUM(F28:F30)</f>
        <v>7.0445673592493291E-2</v>
      </c>
      <c r="C53" s="60"/>
      <c r="D53" s="49"/>
      <c r="E53" s="213">
        <v>0</v>
      </c>
      <c r="F53" s="54"/>
      <c r="H53" s="15"/>
    </row>
    <row r="54" spans="1:8" ht="16.5" x14ac:dyDescent="0.45">
      <c r="A54" s="58" t="s">
        <v>500</v>
      </c>
      <c r="B54" s="26">
        <f>SUM(F28:F30)</f>
        <v>7.0445673592493291E-2</v>
      </c>
      <c r="C54" s="49"/>
      <c r="D54" s="59"/>
      <c r="E54" s="49"/>
      <c r="F54" s="54"/>
      <c r="H54" s="39"/>
    </row>
    <row r="55" spans="1:8" x14ac:dyDescent="0.35">
      <c r="A55" s="58" t="s">
        <v>511</v>
      </c>
      <c r="B55" s="213">
        <f>+SUM(G28:G32)</f>
        <v>0</v>
      </c>
      <c r="C55" s="62"/>
      <c r="D55" s="62"/>
      <c r="E55" s="62"/>
      <c r="F55" s="230">
        <f>+SUM(F36,(F37/5*5),(F38/5*5),(F39/5))+F44</f>
        <v>0.40072154820955858</v>
      </c>
      <c r="H55" s="39"/>
    </row>
    <row r="56" spans="1:8" ht="15" customHeight="1" x14ac:dyDescent="0.35">
      <c r="A56" s="64" t="s">
        <v>65</v>
      </c>
      <c r="B56" s="65"/>
      <c r="C56" s="224">
        <v>0</v>
      </c>
      <c r="D56" s="49"/>
      <c r="E56" s="26">
        <f>B17</f>
        <v>1.3404825737265416E-2</v>
      </c>
      <c r="F56" s="54"/>
      <c r="H56" s="15"/>
    </row>
    <row r="57" spans="1:8" x14ac:dyDescent="0.35">
      <c r="A57" s="58" t="s">
        <v>66</v>
      </c>
      <c r="B57" s="26">
        <f>C57-C42</f>
        <v>8.3164172023596883E-2</v>
      </c>
      <c r="C57" s="26">
        <f>(C37/4*4)</f>
        <v>0.54034941089677324</v>
      </c>
      <c r="D57" s="49"/>
      <c r="E57" s="26">
        <f>C42/5*5</f>
        <v>0.4571852388731763</v>
      </c>
      <c r="F57" s="54"/>
      <c r="H57" s="15"/>
    </row>
    <row r="58" spans="1:8" ht="15" customHeight="1" thickBot="1" x14ac:dyDescent="0.4">
      <c r="A58" s="66" t="s">
        <v>67</v>
      </c>
      <c r="B58" s="67"/>
      <c r="C58" s="67"/>
      <c r="D58" s="44">
        <f>C47</f>
        <v>1.5892629732258035E-3</v>
      </c>
      <c r="E58" s="67"/>
      <c r="F58" s="212"/>
      <c r="H58" s="15"/>
    </row>
    <row r="59" spans="1:8" ht="19" customHeight="1" thickBot="1" x14ac:dyDescent="0.4"/>
    <row r="60" spans="1:8" ht="15" customHeight="1" x14ac:dyDescent="0.35">
      <c r="A60" s="170" t="s">
        <v>68</v>
      </c>
      <c r="B60" s="159"/>
      <c r="C60" s="159"/>
      <c r="D60" s="159"/>
      <c r="E60" s="159"/>
      <c r="F60" s="159"/>
      <c r="G60" s="158"/>
      <c r="H60" s="160"/>
    </row>
    <row r="61" spans="1:8" ht="17" customHeight="1" thickBot="1" x14ac:dyDescent="0.5">
      <c r="A61" s="154" t="s">
        <v>69</v>
      </c>
      <c r="B61" s="147" t="s">
        <v>502</v>
      </c>
      <c r="C61" s="147" t="s">
        <v>503</v>
      </c>
      <c r="D61" s="147" t="s">
        <v>504</v>
      </c>
      <c r="E61" s="147" t="s">
        <v>505</v>
      </c>
      <c r="F61" s="147" t="s">
        <v>506</v>
      </c>
      <c r="G61" s="147" t="s">
        <v>507</v>
      </c>
      <c r="H61" s="148" t="s">
        <v>76</v>
      </c>
    </row>
    <row r="62" spans="1:8" ht="15" customHeight="1" thickBot="1" x14ac:dyDescent="0.4">
      <c r="A62" s="188" t="s">
        <v>484</v>
      </c>
      <c r="B62" s="69">
        <f>Assumptions!B13</f>
        <v>79.3</v>
      </c>
      <c r="C62" s="69">
        <f>Assumptions!C13</f>
        <v>162</v>
      </c>
      <c r="D62" s="69">
        <f>Assumptions!D13</f>
        <v>96</v>
      </c>
      <c r="E62" s="69">
        <f>Assumptions!E13</f>
        <v>0.21</v>
      </c>
      <c r="F62" s="69">
        <f>Assumptions!F13</f>
        <v>0.93</v>
      </c>
      <c r="G62" s="69">
        <f>Assumptions!G13</f>
        <v>0.3</v>
      </c>
      <c r="H62" s="69">
        <f>Assumptions!H13</f>
        <v>0.94</v>
      </c>
    </row>
    <row r="63" spans="1:8" ht="15" customHeight="1" thickBot="1" x14ac:dyDescent="0.4">
      <c r="B63" s="15"/>
      <c r="C63" s="15"/>
      <c r="D63" s="15"/>
      <c r="E63" s="15"/>
      <c r="F63" s="15"/>
    </row>
    <row r="64" spans="1:8" ht="15" customHeight="1" x14ac:dyDescent="0.35">
      <c r="A64" s="187" t="s">
        <v>78</v>
      </c>
      <c r="B64" s="71">
        <v>1</v>
      </c>
      <c r="C64" s="15"/>
      <c r="D64" s="26"/>
      <c r="E64" s="26"/>
      <c r="F64" s="26"/>
    </row>
    <row r="65" spans="1:8" ht="17" customHeight="1" thickBot="1" x14ac:dyDescent="0.4">
      <c r="A65" s="72" t="s">
        <v>582</v>
      </c>
      <c r="B65" s="73">
        <f>B64*Assumptions!B7</f>
        <v>86</v>
      </c>
      <c r="C65" s="15"/>
      <c r="D65" s="15"/>
      <c r="E65" s="15"/>
      <c r="F65" s="15"/>
    </row>
    <row r="66" spans="1:8" ht="15" customHeight="1" thickBot="1" x14ac:dyDescent="0.4">
      <c r="B66" s="15"/>
      <c r="C66" s="15"/>
      <c r="D66" s="15"/>
      <c r="E66" s="15"/>
      <c r="F66" s="15"/>
    </row>
    <row r="67" spans="1:8" ht="17" customHeight="1" thickBot="1" x14ac:dyDescent="0.5">
      <c r="A67" s="164" t="s">
        <v>79</v>
      </c>
      <c r="B67" s="145" t="s">
        <v>501</v>
      </c>
    </row>
    <row r="68" spans="1:8" x14ac:dyDescent="0.35">
      <c r="A68" s="82" t="s">
        <v>60</v>
      </c>
      <c r="B68" s="231">
        <f>B51+(B52*B62)+(B53*C62)+(B54*D62)+(B55*H62)+(B57*G62)</f>
        <v>24.655158429608711</v>
      </c>
    </row>
    <row r="69" spans="1:8" x14ac:dyDescent="0.35">
      <c r="A69" s="82" t="s">
        <v>515</v>
      </c>
      <c r="B69" s="231">
        <f>+B65*F55*H62</f>
        <v>32.394329957260709</v>
      </c>
    </row>
    <row r="70" spans="1:8" x14ac:dyDescent="0.35">
      <c r="A70" s="82" t="s">
        <v>81</v>
      </c>
      <c r="B70" s="232">
        <f>B65*(C51+(C52*B62)+(C56*E62)+(C57*G62))</f>
        <v>24.80141096729659</v>
      </c>
    </row>
    <row r="71" spans="1:8" ht="17" customHeight="1" x14ac:dyDescent="0.35">
      <c r="A71" s="82" t="s">
        <v>82</v>
      </c>
      <c r="B71" s="232">
        <f>B65*((D58*F62))</f>
        <v>0.12710925259859976</v>
      </c>
    </row>
    <row r="72" spans="1:8" x14ac:dyDescent="0.35">
      <c r="A72" s="83" t="s">
        <v>83</v>
      </c>
      <c r="B72" s="233">
        <f>B65*(E51+(E52*B62)+(E53*C62)-(E56*E62)+(E57*G62))</f>
        <v>26.379223509142911</v>
      </c>
    </row>
    <row r="73" spans="1:8" ht="17" customHeight="1" thickBot="1" x14ac:dyDescent="0.5">
      <c r="A73" s="84" t="s">
        <v>530</v>
      </c>
      <c r="B73" s="234">
        <f>B68+B69+B70+B71-B72</f>
        <v>55.598785097621708</v>
      </c>
    </row>
    <row r="75" spans="1:8" s="88" customFormat="1" ht="15" customHeight="1" thickBot="1" x14ac:dyDescent="0.4">
      <c r="A75" s="185"/>
      <c r="B75" s="186"/>
    </row>
    <row r="76" spans="1:8" ht="19" customHeight="1" thickBot="1" x14ac:dyDescent="0.4">
      <c r="A76" s="397" t="s">
        <v>237</v>
      </c>
      <c r="B76" s="395"/>
      <c r="C76" s="395"/>
      <c r="D76" s="257"/>
      <c r="E76" s="257"/>
      <c r="F76" s="257"/>
      <c r="G76" s="257"/>
      <c r="H76" s="258"/>
    </row>
    <row r="77" spans="1:8" ht="15" customHeight="1" thickBot="1" x14ac:dyDescent="0.4">
      <c r="A77" s="9"/>
      <c r="B77" s="9"/>
      <c r="C77" s="9"/>
    </row>
    <row r="78" spans="1:8" x14ac:dyDescent="0.35">
      <c r="A78" s="259" t="s">
        <v>238</v>
      </c>
      <c r="B78" s="260"/>
      <c r="C78" s="260"/>
      <c r="D78" s="263"/>
      <c r="E78" s="264"/>
    </row>
    <row r="79" spans="1:8" ht="15" customHeight="1" thickBot="1" x14ac:dyDescent="0.4">
      <c r="A79" s="273" t="s">
        <v>142</v>
      </c>
      <c r="B79" s="274" t="s">
        <v>86</v>
      </c>
      <c r="C79" s="274" t="s">
        <v>3</v>
      </c>
      <c r="D79" s="274" t="s">
        <v>113</v>
      </c>
      <c r="E79" s="275" t="s">
        <v>239</v>
      </c>
    </row>
    <row r="80" spans="1:8" x14ac:dyDescent="0.35">
      <c r="A80" s="169" t="s">
        <v>240</v>
      </c>
      <c r="B80" s="15">
        <f>Assumptions!B7</f>
        <v>86</v>
      </c>
      <c r="C80" s="15" t="s">
        <v>241</v>
      </c>
      <c r="D80" s="15"/>
      <c r="E80" s="11"/>
    </row>
    <row r="81" spans="1:5" x14ac:dyDescent="0.35">
      <c r="A81" s="169" t="s">
        <v>242</v>
      </c>
      <c r="B81" s="15">
        <v>1</v>
      </c>
      <c r="C81" s="15" t="s">
        <v>243</v>
      </c>
      <c r="D81" s="15"/>
      <c r="E81" s="11"/>
    </row>
    <row r="82" spans="1:5" x14ac:dyDescent="0.35">
      <c r="A82" s="169" t="s">
        <v>242</v>
      </c>
      <c r="B82" s="39">
        <v>1000</v>
      </c>
      <c r="C82" s="39" t="s">
        <v>244</v>
      </c>
      <c r="D82" s="15"/>
      <c r="E82" s="11"/>
    </row>
    <row r="83" spans="1:5" x14ac:dyDescent="0.35">
      <c r="A83" s="177" t="s">
        <v>245</v>
      </c>
      <c r="B83" s="15">
        <v>1000</v>
      </c>
      <c r="C83" s="39" t="s">
        <v>246</v>
      </c>
      <c r="D83" s="15"/>
      <c r="E83" s="11"/>
    </row>
    <row r="84" spans="1:5" x14ac:dyDescent="0.35">
      <c r="A84" s="177" t="s">
        <v>247</v>
      </c>
      <c r="B84" s="15">
        <f>1/20</f>
        <v>0.05</v>
      </c>
      <c r="C84" s="39" t="s">
        <v>248</v>
      </c>
      <c r="D84" s="38" t="s">
        <v>249</v>
      </c>
      <c r="E84" s="11"/>
    </row>
    <row r="85" spans="1:5" x14ac:dyDescent="0.35">
      <c r="A85" s="177" t="s">
        <v>250</v>
      </c>
      <c r="B85" s="15">
        <f>B84*0.1</f>
        <v>5.000000000000001E-3</v>
      </c>
      <c r="C85" s="39" t="s">
        <v>248</v>
      </c>
      <c r="D85" s="38" t="s">
        <v>251</v>
      </c>
      <c r="E85" s="11"/>
    </row>
    <row r="86" spans="1:5" x14ac:dyDescent="0.35">
      <c r="A86" s="177" t="s">
        <v>252</v>
      </c>
      <c r="B86" s="15">
        <v>1.1000000000000001</v>
      </c>
      <c r="C86" s="39" t="s">
        <v>243</v>
      </c>
      <c r="D86" s="38" t="s">
        <v>253</v>
      </c>
      <c r="E86" s="176" t="s">
        <v>254</v>
      </c>
    </row>
    <row r="87" spans="1:5" x14ac:dyDescent="0.35">
      <c r="A87" s="177" t="s">
        <v>255</v>
      </c>
      <c r="B87" s="15">
        <v>196.19</v>
      </c>
      <c r="C87" s="39" t="s">
        <v>256</v>
      </c>
      <c r="D87" s="38"/>
      <c r="E87" s="11"/>
    </row>
    <row r="88" spans="1:5" x14ac:dyDescent="0.35">
      <c r="A88" s="177" t="s">
        <v>257</v>
      </c>
      <c r="B88" s="15">
        <v>195.2</v>
      </c>
      <c r="C88" s="39" t="s">
        <v>256</v>
      </c>
      <c r="D88" s="38"/>
      <c r="E88" s="11"/>
    </row>
    <row r="89" spans="1:5" x14ac:dyDescent="0.35">
      <c r="A89" s="177" t="s">
        <v>258</v>
      </c>
      <c r="B89" s="15">
        <v>95.21</v>
      </c>
      <c r="C89" s="39" t="s">
        <v>256</v>
      </c>
      <c r="D89" s="38"/>
      <c r="E89" s="11"/>
    </row>
    <row r="90" spans="1:5" x14ac:dyDescent="0.35">
      <c r="A90" s="177" t="s">
        <v>259</v>
      </c>
      <c r="B90" s="15">
        <v>5</v>
      </c>
      <c r="C90" s="39" t="s">
        <v>260</v>
      </c>
      <c r="D90" s="38"/>
      <c r="E90" s="11"/>
    </row>
    <row r="91" spans="1:5" x14ac:dyDescent="0.35">
      <c r="A91" s="177" t="s">
        <v>261</v>
      </c>
      <c r="B91" s="15">
        <v>250</v>
      </c>
      <c r="C91" s="39" t="s">
        <v>260</v>
      </c>
      <c r="D91" s="38"/>
      <c r="E91" s="11"/>
    </row>
    <row r="92" spans="1:5" x14ac:dyDescent="0.35">
      <c r="A92" s="177" t="s">
        <v>262</v>
      </c>
      <c r="B92" s="15">
        <v>20</v>
      </c>
      <c r="C92" s="39"/>
      <c r="D92" s="38"/>
      <c r="E92" s="11"/>
    </row>
    <row r="93" spans="1:5" x14ac:dyDescent="0.35">
      <c r="A93" s="177" t="s">
        <v>263</v>
      </c>
      <c r="B93" s="15">
        <f>B90+(B91/B92)</f>
        <v>17.5</v>
      </c>
      <c r="C93" s="39" t="s">
        <v>260</v>
      </c>
      <c r="D93" s="38"/>
      <c r="E93" s="11"/>
    </row>
    <row r="94" spans="1:5" x14ac:dyDescent="0.35">
      <c r="A94" s="177" t="s">
        <v>264</v>
      </c>
      <c r="B94" s="15">
        <f>B93/1000</f>
        <v>1.7500000000000002E-2</v>
      </c>
      <c r="C94" s="39" t="s">
        <v>260</v>
      </c>
      <c r="D94" s="38" t="s">
        <v>265</v>
      </c>
      <c r="E94" s="11"/>
    </row>
    <row r="95" spans="1:5" x14ac:dyDescent="0.35">
      <c r="A95" s="177" t="s">
        <v>266</v>
      </c>
      <c r="B95" s="15">
        <f>1.5*B84</f>
        <v>7.5000000000000011E-2</v>
      </c>
      <c r="C95" s="39" t="s">
        <v>260</v>
      </c>
      <c r="D95" s="38" t="s">
        <v>267</v>
      </c>
      <c r="E95" s="11"/>
    </row>
    <row r="96" spans="1:5" x14ac:dyDescent="0.35">
      <c r="A96" s="177" t="s">
        <v>268</v>
      </c>
      <c r="B96" s="15">
        <f>10*B84</f>
        <v>0.5</v>
      </c>
      <c r="C96" s="39" t="s">
        <v>260</v>
      </c>
      <c r="D96" s="38" t="s">
        <v>269</v>
      </c>
      <c r="E96" s="11"/>
    </row>
    <row r="97" spans="1:5" x14ac:dyDescent="0.35">
      <c r="A97" s="177" t="s">
        <v>270</v>
      </c>
      <c r="B97" s="15">
        <f>20*B84</f>
        <v>1</v>
      </c>
      <c r="C97" s="39" t="s">
        <v>260</v>
      </c>
      <c r="D97" s="38" t="s">
        <v>269</v>
      </c>
      <c r="E97" s="11"/>
    </row>
    <row r="98" spans="1:5" x14ac:dyDescent="0.35">
      <c r="A98" s="177" t="s">
        <v>271</v>
      </c>
      <c r="B98" s="15">
        <f>0.0002*B84</f>
        <v>1.0000000000000001E-5</v>
      </c>
      <c r="C98" s="39" t="s">
        <v>248</v>
      </c>
      <c r="D98" s="38" t="s">
        <v>272</v>
      </c>
      <c r="E98" s="11"/>
    </row>
    <row r="99" spans="1:5" x14ac:dyDescent="0.35">
      <c r="A99" s="177" t="s">
        <v>273</v>
      </c>
      <c r="B99" s="15">
        <f>B93</f>
        <v>17.5</v>
      </c>
      <c r="C99" s="39" t="s">
        <v>260</v>
      </c>
      <c r="D99" s="38"/>
      <c r="E99" s="11"/>
    </row>
    <row r="100" spans="1:5" x14ac:dyDescent="0.35">
      <c r="A100" s="177" t="s">
        <v>274</v>
      </c>
      <c r="B100" s="15">
        <f>(B84*1000)-B95-B96-B97</f>
        <v>48.424999999999997</v>
      </c>
      <c r="C100" s="39" t="s">
        <v>260</v>
      </c>
      <c r="D100" s="38"/>
      <c r="E100" s="11"/>
    </row>
    <row r="101" spans="1:5" x14ac:dyDescent="0.35">
      <c r="A101" s="177" t="s">
        <v>275</v>
      </c>
      <c r="B101" s="15">
        <f>B99+B100</f>
        <v>65.924999999999997</v>
      </c>
      <c r="C101" s="39" t="s">
        <v>260</v>
      </c>
      <c r="D101" s="38"/>
      <c r="E101" s="11"/>
    </row>
    <row r="102" spans="1:5" x14ac:dyDescent="0.35">
      <c r="A102" s="177" t="s">
        <v>276</v>
      </c>
      <c r="B102" s="15">
        <f>25*(B93/1000)</f>
        <v>0.43750000000000006</v>
      </c>
      <c r="C102" s="39" t="s">
        <v>277</v>
      </c>
      <c r="D102" s="38" t="s">
        <v>278</v>
      </c>
      <c r="E102" s="11"/>
    </row>
    <row r="103" spans="1:5" x14ac:dyDescent="0.35">
      <c r="A103" s="169" t="s">
        <v>279</v>
      </c>
      <c r="B103" s="15">
        <v>1.5</v>
      </c>
      <c r="C103" s="15"/>
      <c r="D103" s="38"/>
      <c r="E103" s="11" t="s">
        <v>280</v>
      </c>
    </row>
    <row r="104" spans="1:5" x14ac:dyDescent="0.35">
      <c r="A104" s="177" t="s">
        <v>281</v>
      </c>
      <c r="B104" s="15">
        <v>20</v>
      </c>
      <c r="C104" s="39" t="s">
        <v>282</v>
      </c>
      <c r="D104" s="38" t="s">
        <v>283</v>
      </c>
      <c r="E104" s="11"/>
    </row>
    <row r="105" spans="1:5" x14ac:dyDescent="0.35">
      <c r="A105" s="177" t="s">
        <v>281</v>
      </c>
      <c r="B105" s="15">
        <f>B104/60</f>
        <v>0.33333333333333331</v>
      </c>
      <c r="C105" s="39" t="s">
        <v>284</v>
      </c>
      <c r="D105" s="38" t="s">
        <v>285</v>
      </c>
      <c r="E105" s="11"/>
    </row>
    <row r="106" spans="1:5" x14ac:dyDescent="0.35">
      <c r="A106" s="177" t="s">
        <v>286</v>
      </c>
      <c r="B106" s="15">
        <v>35</v>
      </c>
      <c r="C106" s="39" t="s">
        <v>282</v>
      </c>
      <c r="D106" s="38" t="s">
        <v>287</v>
      </c>
      <c r="E106" s="11"/>
    </row>
    <row r="107" spans="1:5" x14ac:dyDescent="0.35">
      <c r="A107" s="177" t="s">
        <v>286</v>
      </c>
      <c r="B107" s="15">
        <f>B106/60</f>
        <v>0.58333333333333337</v>
      </c>
      <c r="C107" s="39" t="s">
        <v>284</v>
      </c>
      <c r="D107" s="38" t="s">
        <v>287</v>
      </c>
      <c r="E107" s="11"/>
    </row>
    <row r="108" spans="1:5" x14ac:dyDescent="0.35">
      <c r="A108" s="177" t="s">
        <v>288</v>
      </c>
      <c r="B108" s="15">
        <v>30</v>
      </c>
      <c r="C108" s="39" t="s">
        <v>282</v>
      </c>
      <c r="D108" s="38" t="s">
        <v>289</v>
      </c>
      <c r="E108" s="11"/>
    </row>
    <row r="109" spans="1:5" x14ac:dyDescent="0.35">
      <c r="A109" s="177" t="s">
        <v>288</v>
      </c>
      <c r="B109" s="15">
        <f>B108/60</f>
        <v>0.5</v>
      </c>
      <c r="C109" s="39" t="s">
        <v>284</v>
      </c>
      <c r="D109" s="38" t="s">
        <v>289</v>
      </c>
      <c r="E109" s="11"/>
    </row>
    <row r="110" spans="1:5" x14ac:dyDescent="0.35">
      <c r="A110" s="177" t="s">
        <v>290</v>
      </c>
      <c r="B110" s="15">
        <v>65</v>
      </c>
      <c r="C110" s="39" t="s">
        <v>282</v>
      </c>
      <c r="D110" s="38" t="s">
        <v>291</v>
      </c>
      <c r="E110" s="11"/>
    </row>
    <row r="111" spans="1:5" x14ac:dyDescent="0.35">
      <c r="A111" s="177" t="s">
        <v>290</v>
      </c>
      <c r="B111" s="15">
        <f>B110/60</f>
        <v>1.0833333333333333</v>
      </c>
      <c r="C111" s="39" t="s">
        <v>284</v>
      </c>
      <c r="D111" s="38" t="s">
        <v>291</v>
      </c>
      <c r="E111" s="11"/>
    </row>
    <row r="112" spans="1:5" x14ac:dyDescent="0.35">
      <c r="A112" s="177" t="s">
        <v>292</v>
      </c>
      <c r="B112" s="15">
        <v>5</v>
      </c>
      <c r="C112" s="39" t="s">
        <v>293</v>
      </c>
      <c r="D112" s="38" t="s">
        <v>294</v>
      </c>
      <c r="E112" s="11"/>
    </row>
    <row r="113" spans="1:5" x14ac:dyDescent="0.35">
      <c r="A113" s="177" t="s">
        <v>292</v>
      </c>
      <c r="B113" s="15">
        <f>B112/60</f>
        <v>8.3333333333333329E-2</v>
      </c>
      <c r="C113" s="39" t="s">
        <v>295</v>
      </c>
      <c r="D113" s="38" t="s">
        <v>294</v>
      </c>
      <c r="E113" s="11"/>
    </row>
    <row r="114" spans="1:5" x14ac:dyDescent="0.35">
      <c r="A114" s="172" t="s">
        <v>547</v>
      </c>
      <c r="B114" s="25">
        <f>321+91</f>
        <v>412</v>
      </c>
      <c r="C114" s="39" t="s">
        <v>162</v>
      </c>
      <c r="D114" s="122"/>
      <c r="E114" s="189"/>
    </row>
    <row r="115" spans="1:5" x14ac:dyDescent="0.35">
      <c r="A115" s="172" t="s">
        <v>548</v>
      </c>
      <c r="B115" s="25">
        <v>2</v>
      </c>
      <c r="C115" s="39" t="s">
        <v>129</v>
      </c>
      <c r="D115" s="122"/>
      <c r="E115" s="189"/>
    </row>
    <row r="116" spans="1:5" x14ac:dyDescent="0.35">
      <c r="A116" s="172" t="s">
        <v>549</v>
      </c>
      <c r="B116" s="25">
        <v>0.61399999999999999</v>
      </c>
      <c r="C116" s="39" t="s">
        <v>129</v>
      </c>
      <c r="D116" s="122"/>
      <c r="E116" s="189"/>
    </row>
    <row r="117" spans="1:5" x14ac:dyDescent="0.35">
      <c r="A117" s="172" t="s">
        <v>550</v>
      </c>
      <c r="B117" s="25">
        <v>0.20499999999999999</v>
      </c>
      <c r="C117" s="39" t="s">
        <v>163</v>
      </c>
      <c r="D117" s="122"/>
      <c r="E117" s="189"/>
    </row>
    <row r="118" spans="1:5" x14ac:dyDescent="0.35">
      <c r="A118" s="172" t="s">
        <v>296</v>
      </c>
      <c r="B118" s="15">
        <v>0.9</v>
      </c>
      <c r="C118" s="15"/>
      <c r="E118" s="189" t="s">
        <v>297</v>
      </c>
    </row>
    <row r="119" spans="1:5" x14ac:dyDescent="0.35">
      <c r="A119" s="172" t="s">
        <v>298</v>
      </c>
      <c r="B119" s="15">
        <v>800</v>
      </c>
      <c r="C119" s="15" t="s">
        <v>299</v>
      </c>
      <c r="E119" s="3" t="s">
        <v>300</v>
      </c>
    </row>
    <row r="120" spans="1:5" x14ac:dyDescent="0.35">
      <c r="A120" s="172" t="s">
        <v>298</v>
      </c>
      <c r="B120" s="15">
        <f>B118*B119</f>
        <v>720</v>
      </c>
      <c r="C120" s="15" t="s">
        <v>301</v>
      </c>
      <c r="E120" s="3" t="s">
        <v>300</v>
      </c>
    </row>
    <row r="121" spans="1:5" x14ac:dyDescent="0.35">
      <c r="A121" s="172" t="s">
        <v>302</v>
      </c>
      <c r="B121" s="15">
        <v>60</v>
      </c>
      <c r="C121" s="15" t="s">
        <v>162</v>
      </c>
      <c r="E121" s="3" t="s">
        <v>300</v>
      </c>
    </row>
    <row r="122" spans="1:5" x14ac:dyDescent="0.35">
      <c r="A122" s="172" t="s">
        <v>303</v>
      </c>
      <c r="B122" s="15">
        <f>Q185</f>
        <v>0.25983437999999998</v>
      </c>
      <c r="C122" s="15" t="s">
        <v>129</v>
      </c>
      <c r="E122" s="3" t="s">
        <v>300</v>
      </c>
    </row>
    <row r="123" spans="1:5" x14ac:dyDescent="0.35">
      <c r="A123" s="172" t="s">
        <v>304</v>
      </c>
      <c r="B123" s="15">
        <v>130</v>
      </c>
      <c r="C123" s="15" t="s">
        <v>162</v>
      </c>
      <c r="E123" s="3" t="s">
        <v>305</v>
      </c>
    </row>
    <row r="124" spans="1:5" x14ac:dyDescent="0.35">
      <c r="A124" s="172" t="s">
        <v>306</v>
      </c>
      <c r="B124" s="15">
        <f>Q184</f>
        <v>0.58239999999999992</v>
      </c>
      <c r="C124" s="15" t="s">
        <v>129</v>
      </c>
      <c r="E124" s="3" t="s">
        <v>305</v>
      </c>
    </row>
    <row r="125" spans="1:5" x14ac:dyDescent="0.35">
      <c r="A125" s="172" t="s">
        <v>307</v>
      </c>
      <c r="B125" s="15">
        <v>700</v>
      </c>
      <c r="C125" s="15" t="s">
        <v>301</v>
      </c>
      <c r="E125" s="3" t="s">
        <v>305</v>
      </c>
    </row>
    <row r="126" spans="1:5" x14ac:dyDescent="0.35">
      <c r="A126" s="172" t="s">
        <v>308</v>
      </c>
      <c r="B126" s="15">
        <f>G186</f>
        <v>6.5759637188208613</v>
      </c>
      <c r="C126" s="15" t="s">
        <v>162</v>
      </c>
      <c r="E126" s="3" t="s">
        <v>309</v>
      </c>
    </row>
    <row r="127" spans="1:5" x14ac:dyDescent="0.35">
      <c r="A127" s="172" t="s">
        <v>310</v>
      </c>
      <c r="B127" s="15">
        <f>Q186</f>
        <v>5.1146517577728007E-3</v>
      </c>
      <c r="C127" s="15" t="s">
        <v>129</v>
      </c>
      <c r="E127" s="3" t="s">
        <v>309</v>
      </c>
    </row>
    <row r="128" spans="1:5" x14ac:dyDescent="0.35">
      <c r="A128" s="172" t="s">
        <v>311</v>
      </c>
      <c r="B128" s="15">
        <v>115</v>
      </c>
      <c r="C128" s="15" t="s">
        <v>312</v>
      </c>
      <c r="E128" s="3" t="s">
        <v>309</v>
      </c>
    </row>
    <row r="129" spans="1:5" x14ac:dyDescent="0.35">
      <c r="A129" s="172" t="s">
        <v>311</v>
      </c>
      <c r="B129" s="15">
        <v>4.2</v>
      </c>
      <c r="C129" s="15" t="s">
        <v>313</v>
      </c>
      <c r="E129" s="3" t="s">
        <v>309</v>
      </c>
    </row>
    <row r="130" spans="1:5" x14ac:dyDescent="0.35">
      <c r="A130" s="172" t="s">
        <v>311</v>
      </c>
      <c r="B130" s="15">
        <f>(B128*B129)*B118</f>
        <v>434.7</v>
      </c>
      <c r="C130" s="15" t="s">
        <v>301</v>
      </c>
      <c r="E130" s="3" t="s">
        <v>309</v>
      </c>
    </row>
    <row r="131" spans="1:5" x14ac:dyDescent="0.35">
      <c r="A131" s="172" t="s">
        <v>314</v>
      </c>
      <c r="B131" s="15">
        <v>48</v>
      </c>
      <c r="C131" s="15" t="s">
        <v>162</v>
      </c>
      <c r="E131" s="3" t="s">
        <v>315</v>
      </c>
    </row>
    <row r="132" spans="1:5" x14ac:dyDescent="0.35">
      <c r="A132" s="172" t="s">
        <v>316</v>
      </c>
      <c r="B132" s="15">
        <f>Q187</f>
        <v>0.121278</v>
      </c>
      <c r="C132" s="15" t="s">
        <v>129</v>
      </c>
      <c r="E132" s="3" t="s">
        <v>315</v>
      </c>
    </row>
    <row r="133" spans="1:5" x14ac:dyDescent="0.35">
      <c r="A133" s="172" t="s">
        <v>317</v>
      </c>
      <c r="B133" s="15">
        <v>1400</v>
      </c>
      <c r="C133" s="15" t="s">
        <v>301</v>
      </c>
      <c r="E133" s="3" t="s">
        <v>315</v>
      </c>
    </row>
    <row r="134" spans="1:5" x14ac:dyDescent="0.35">
      <c r="A134" s="172" t="s">
        <v>318</v>
      </c>
      <c r="B134" s="15">
        <v>0.61</v>
      </c>
      <c r="C134" s="15" t="s">
        <v>162</v>
      </c>
      <c r="E134" s="3" t="s">
        <v>319</v>
      </c>
    </row>
    <row r="135" spans="1:5" x14ac:dyDescent="0.35">
      <c r="A135" s="172" t="s">
        <v>320</v>
      </c>
      <c r="B135" s="15">
        <f>Q188</f>
        <v>5.4000000000000001E-4</v>
      </c>
      <c r="C135" s="15" t="s">
        <v>129</v>
      </c>
      <c r="E135" s="3" t="s">
        <v>319</v>
      </c>
    </row>
    <row r="136" spans="1:5" x14ac:dyDescent="0.35">
      <c r="A136" s="172" t="s">
        <v>321</v>
      </c>
      <c r="B136" s="15">
        <v>0</v>
      </c>
      <c r="C136" s="15" t="s">
        <v>301</v>
      </c>
      <c r="D136" t="s">
        <v>322</v>
      </c>
      <c r="E136" s="3" t="s">
        <v>319</v>
      </c>
    </row>
    <row r="137" spans="1:5" x14ac:dyDescent="0.35">
      <c r="A137" s="172" t="s">
        <v>323</v>
      </c>
      <c r="B137" s="15">
        <f>G189</f>
        <v>71.679999999999993</v>
      </c>
      <c r="C137" s="15" t="s">
        <v>162</v>
      </c>
      <c r="E137" s="3" t="s">
        <v>324</v>
      </c>
    </row>
    <row r="138" spans="1:5" x14ac:dyDescent="0.35">
      <c r="A138" s="172" t="s">
        <v>325</v>
      </c>
      <c r="B138" s="15">
        <f>Q189</f>
        <v>0.11222159999999999</v>
      </c>
      <c r="C138" s="15" t="s">
        <v>129</v>
      </c>
      <c r="E138" s="3" t="s">
        <v>324</v>
      </c>
    </row>
    <row r="139" spans="1:5" x14ac:dyDescent="0.35">
      <c r="A139" s="172" t="s">
        <v>326</v>
      </c>
      <c r="B139" s="15">
        <v>950</v>
      </c>
      <c r="C139" s="15" t="s">
        <v>301</v>
      </c>
      <c r="E139" s="3" t="s">
        <v>324</v>
      </c>
    </row>
    <row r="140" spans="1:5" x14ac:dyDescent="0.35">
      <c r="A140" s="172" t="s">
        <v>327</v>
      </c>
      <c r="B140" s="15">
        <f>B18*Assumptions!B7</f>
        <v>172</v>
      </c>
      <c r="C140" s="15" t="s">
        <v>116</v>
      </c>
      <c r="E140" s="3"/>
    </row>
    <row r="141" spans="1:5" x14ac:dyDescent="0.35">
      <c r="A141" s="172" t="s">
        <v>328</v>
      </c>
      <c r="B141" s="15">
        <f>B140*(B102/1000)</f>
        <v>7.5250000000000011E-2</v>
      </c>
      <c r="C141" s="15" t="s">
        <v>162</v>
      </c>
      <c r="E141" s="3"/>
    </row>
    <row r="142" spans="1:5" x14ac:dyDescent="0.35">
      <c r="A142" s="172" t="s">
        <v>329</v>
      </c>
      <c r="B142" s="15">
        <f>B140*B94</f>
        <v>3.0100000000000002</v>
      </c>
      <c r="C142" s="15" t="s">
        <v>260</v>
      </c>
      <c r="E142" s="3"/>
    </row>
    <row r="143" spans="1:5" x14ac:dyDescent="0.35">
      <c r="A143" s="172" t="s">
        <v>330</v>
      </c>
      <c r="B143" s="15">
        <f>ROUNDUP(B142/D181,)</f>
        <v>2</v>
      </c>
      <c r="C143" s="15" t="s">
        <v>116</v>
      </c>
      <c r="E143" s="3"/>
    </row>
    <row r="144" spans="1:5" x14ac:dyDescent="0.35">
      <c r="A144" s="172" t="s">
        <v>331</v>
      </c>
      <c r="B144" s="15">
        <f>B80*2</f>
        <v>172</v>
      </c>
      <c r="C144" s="15" t="s">
        <v>116</v>
      </c>
      <c r="E144" s="3"/>
    </row>
    <row r="145" spans="1:22" x14ac:dyDescent="0.35">
      <c r="A145" s="172" t="s">
        <v>332</v>
      </c>
      <c r="B145" s="15">
        <f>$B$140*B95</f>
        <v>12.900000000000002</v>
      </c>
      <c r="C145" s="15" t="s">
        <v>260</v>
      </c>
      <c r="E145" s="3"/>
    </row>
    <row r="146" spans="1:22" x14ac:dyDescent="0.35">
      <c r="A146" s="172" t="s">
        <v>333</v>
      </c>
      <c r="B146" s="15">
        <f>$B$140*B96</f>
        <v>86</v>
      </c>
      <c r="C146" s="15" t="s">
        <v>260</v>
      </c>
      <c r="E146" s="3"/>
    </row>
    <row r="147" spans="1:22" x14ac:dyDescent="0.35">
      <c r="A147" s="172" t="s">
        <v>334</v>
      </c>
      <c r="B147" s="15">
        <f>$B$140*B97</f>
        <v>172</v>
      </c>
      <c r="C147" s="15" t="s">
        <v>260</v>
      </c>
      <c r="E147" s="3"/>
    </row>
    <row r="148" spans="1:22" x14ac:dyDescent="0.35">
      <c r="A148" s="172" t="s">
        <v>335</v>
      </c>
      <c r="B148" s="15">
        <f>$B$140*B98</f>
        <v>1.7200000000000002E-3</v>
      </c>
      <c r="C148" s="15" t="s">
        <v>260</v>
      </c>
      <c r="E148" s="3"/>
    </row>
    <row r="149" spans="1:22" x14ac:dyDescent="0.35">
      <c r="A149" s="172" t="s">
        <v>336</v>
      </c>
      <c r="B149" s="15">
        <f>ROUNDUP(B145/D178,)</f>
        <v>1</v>
      </c>
      <c r="C149" s="15" t="s">
        <v>116</v>
      </c>
      <c r="E149" s="3"/>
    </row>
    <row r="150" spans="1:22" x14ac:dyDescent="0.35">
      <c r="A150" s="172" t="s">
        <v>337</v>
      </c>
      <c r="B150" s="15">
        <f>ROUNDUP(B146/D179,)</f>
        <v>2</v>
      </c>
      <c r="C150" s="15" t="s">
        <v>116</v>
      </c>
      <c r="E150" s="3"/>
    </row>
    <row r="151" spans="1:22" x14ac:dyDescent="0.35">
      <c r="A151" s="172" t="s">
        <v>338</v>
      </c>
      <c r="B151" s="15">
        <f>ROUNDUP(B147/D180,)</f>
        <v>4</v>
      </c>
      <c r="C151" s="15" t="s">
        <v>116</v>
      </c>
      <c r="E151" s="3"/>
    </row>
    <row r="152" spans="1:22" x14ac:dyDescent="0.35">
      <c r="A152" s="172" t="s">
        <v>339</v>
      </c>
      <c r="B152" s="15">
        <f>ROUNDUP(B148/D181,)</f>
        <v>1</v>
      </c>
      <c r="C152" s="15" t="s">
        <v>116</v>
      </c>
      <c r="E152" s="3"/>
    </row>
    <row r="153" spans="1:22" x14ac:dyDescent="0.35">
      <c r="A153" s="172" t="s">
        <v>340</v>
      </c>
      <c r="B153" s="15">
        <f>(B144*B101)/1000</f>
        <v>11.3391</v>
      </c>
      <c r="C153" s="15" t="s">
        <v>248</v>
      </c>
      <c r="E153" s="3"/>
    </row>
    <row r="154" spans="1:22" x14ac:dyDescent="0.35">
      <c r="A154" s="38" t="s">
        <v>552</v>
      </c>
      <c r="B154" s="15">
        <f>ROUNDUP(((SUM(E235:E240,E242))/B116),)</f>
        <v>1</v>
      </c>
      <c r="C154" s="15" t="s">
        <v>116</v>
      </c>
      <c r="E154" s="3"/>
    </row>
    <row r="155" spans="1:22" ht="15" customHeight="1" thickBot="1" x14ac:dyDescent="0.4">
      <c r="A155" s="190" t="s">
        <v>341</v>
      </c>
      <c r="B155" s="69">
        <f>ROUNDUP(B141/G167,)</f>
        <v>1</v>
      </c>
      <c r="C155" s="69" t="s">
        <v>116</v>
      </c>
      <c r="D155" s="48"/>
      <c r="E155" s="7"/>
    </row>
    <row r="156" spans="1:22" ht="15" customHeight="1" thickBot="1" x14ac:dyDescent="0.4">
      <c r="A156" s="33"/>
      <c r="B156" s="15"/>
      <c r="C156" s="39"/>
      <c r="D156" s="38"/>
      <c r="E156" s="38"/>
    </row>
    <row r="157" spans="1:22" x14ac:dyDescent="0.35">
      <c r="A157" s="259" t="s">
        <v>167</v>
      </c>
      <c r="B157" s="262"/>
      <c r="C157" s="262"/>
      <c r="D157" s="263"/>
      <c r="E157" s="263"/>
      <c r="F157" s="263"/>
      <c r="G157" s="263"/>
      <c r="H157" s="263"/>
      <c r="I157" s="263"/>
      <c r="J157" s="263"/>
      <c r="K157" s="263"/>
      <c r="L157" s="263"/>
      <c r="M157" s="263"/>
      <c r="N157" s="263"/>
      <c r="O157" s="263"/>
      <c r="P157" s="263"/>
      <c r="Q157" s="263"/>
      <c r="R157" s="263"/>
      <c r="S157" s="263"/>
      <c r="T157" s="263"/>
      <c r="U157" s="263"/>
      <c r="V157" s="264"/>
    </row>
    <row r="158" spans="1:22" ht="15" customHeight="1" thickBot="1" x14ac:dyDescent="0.4">
      <c r="A158" s="273" t="s">
        <v>168</v>
      </c>
      <c r="B158" s="274" t="s">
        <v>342</v>
      </c>
      <c r="C158" s="274" t="s">
        <v>3</v>
      </c>
      <c r="D158" s="274" t="s">
        <v>526</v>
      </c>
      <c r="E158" s="274" t="s">
        <v>343</v>
      </c>
      <c r="F158" s="274" t="s">
        <v>116</v>
      </c>
      <c r="G158" s="274" t="s">
        <v>33</v>
      </c>
      <c r="H158" s="274"/>
      <c r="I158" s="274" t="s">
        <v>170</v>
      </c>
      <c r="J158" s="274" t="s">
        <v>248</v>
      </c>
      <c r="K158" s="274" t="s">
        <v>344</v>
      </c>
      <c r="L158" s="274" t="s">
        <v>345</v>
      </c>
      <c r="M158" s="274" t="s">
        <v>116</v>
      </c>
      <c r="N158" s="274" t="s">
        <v>174</v>
      </c>
      <c r="O158" s="274" t="s">
        <v>175</v>
      </c>
      <c r="P158" s="274" t="s">
        <v>176</v>
      </c>
      <c r="Q158" s="274" t="s">
        <v>519</v>
      </c>
      <c r="R158" s="274"/>
      <c r="S158" s="274" t="s">
        <v>113</v>
      </c>
      <c r="T158" s="303"/>
      <c r="U158" s="274" t="s">
        <v>346</v>
      </c>
      <c r="V158" s="275" t="s">
        <v>347</v>
      </c>
    </row>
    <row r="159" spans="1:22" x14ac:dyDescent="0.35">
      <c r="A159" s="114" t="s">
        <v>348</v>
      </c>
      <c r="B159" s="104"/>
      <c r="C159" s="104"/>
      <c r="D159" s="104"/>
      <c r="E159" s="104">
        <v>1.121</v>
      </c>
      <c r="F159" s="104" t="s">
        <v>277</v>
      </c>
      <c r="G159" s="104">
        <f t="shared" ref="G159:G183" si="0">E159/1000</f>
        <v>1.121E-3</v>
      </c>
      <c r="H159" s="104"/>
      <c r="I159" s="104" t="s">
        <v>349</v>
      </c>
      <c r="J159" s="104"/>
      <c r="K159" s="104">
        <v>1.2</v>
      </c>
      <c r="L159" s="104">
        <v>4.2</v>
      </c>
      <c r="M159" s="104" t="s">
        <v>350</v>
      </c>
      <c r="N159" s="104">
        <f t="shared" ref="N159:P164" si="1">J159/100</f>
        <v>0</v>
      </c>
      <c r="O159" s="104">
        <f t="shared" si="1"/>
        <v>1.2E-2</v>
      </c>
      <c r="P159" s="104">
        <f t="shared" si="1"/>
        <v>4.2000000000000003E-2</v>
      </c>
      <c r="Q159" s="104">
        <f>PI()*((O159/2)^2)*P159</f>
        <v>4.7500880922277672E-6</v>
      </c>
      <c r="R159" s="115"/>
      <c r="S159" s="115"/>
      <c r="T159" s="115"/>
      <c r="U159" s="115">
        <v>2.54</v>
      </c>
      <c r="V159" s="86">
        <v>2.2050000000000001</v>
      </c>
    </row>
    <row r="160" spans="1:22" x14ac:dyDescent="0.35">
      <c r="A160" s="82" t="s">
        <v>351</v>
      </c>
      <c r="B160" s="15"/>
      <c r="C160" s="15"/>
      <c r="D160" s="15"/>
      <c r="E160" s="15">
        <v>6.1769999999999996</v>
      </c>
      <c r="F160" s="15" t="s">
        <v>277</v>
      </c>
      <c r="G160" s="15">
        <f t="shared" si="0"/>
        <v>6.1769999999999993E-3</v>
      </c>
      <c r="H160" s="15"/>
      <c r="I160" s="15" t="s">
        <v>349</v>
      </c>
      <c r="J160" s="15"/>
      <c r="K160" s="15">
        <v>2.1</v>
      </c>
      <c r="L160" s="15">
        <v>12</v>
      </c>
      <c r="M160" s="15" t="s">
        <v>350</v>
      </c>
      <c r="N160" s="15">
        <f t="shared" si="1"/>
        <v>0</v>
      </c>
      <c r="O160" s="15">
        <f t="shared" si="1"/>
        <v>2.1000000000000001E-2</v>
      </c>
      <c r="P160" s="15">
        <f t="shared" si="1"/>
        <v>0.12</v>
      </c>
      <c r="Q160" s="15">
        <f>PI()*((O160/2)^2)*P160</f>
        <v>4.1563270806992968E-5</v>
      </c>
      <c r="V160" s="3"/>
    </row>
    <row r="161" spans="1:22" x14ac:dyDescent="0.35">
      <c r="A161" s="82" t="s">
        <v>352</v>
      </c>
      <c r="B161" s="15"/>
      <c r="C161" s="15"/>
      <c r="D161" s="15"/>
      <c r="E161" s="15">
        <v>347.7</v>
      </c>
      <c r="F161" s="15" t="s">
        <v>277</v>
      </c>
      <c r="G161" s="15">
        <f t="shared" si="0"/>
        <v>0.34770000000000001</v>
      </c>
      <c r="H161" s="15"/>
      <c r="I161" s="15" t="s">
        <v>353</v>
      </c>
      <c r="J161" s="15">
        <v>24</v>
      </c>
      <c r="K161" s="15">
        <v>13</v>
      </c>
      <c r="L161" s="15">
        <v>7</v>
      </c>
      <c r="M161" s="15" t="s">
        <v>350</v>
      </c>
      <c r="N161" s="15">
        <f t="shared" si="1"/>
        <v>0.24</v>
      </c>
      <c r="O161" s="15">
        <f t="shared" si="1"/>
        <v>0.13</v>
      </c>
      <c r="P161" s="15">
        <f t="shared" si="1"/>
        <v>7.0000000000000007E-2</v>
      </c>
      <c r="Q161" s="15">
        <f>N161*O161*P161</f>
        <v>2.1840000000000002E-3</v>
      </c>
      <c r="V161" s="3"/>
    </row>
    <row r="162" spans="1:22" x14ac:dyDescent="0.35">
      <c r="A162" s="82" t="s">
        <v>354</v>
      </c>
      <c r="B162" s="15"/>
      <c r="C162" s="15"/>
      <c r="D162" s="15"/>
      <c r="E162" s="15">
        <v>13.041</v>
      </c>
      <c r="F162" s="15" t="s">
        <v>277</v>
      </c>
      <c r="G162" s="15">
        <f t="shared" si="0"/>
        <v>1.3041000000000001E-2</v>
      </c>
      <c r="H162" s="15"/>
      <c r="I162" s="15" t="s">
        <v>349</v>
      </c>
      <c r="J162" s="15"/>
      <c r="K162" s="15">
        <v>3.4</v>
      </c>
      <c r="L162" s="15">
        <v>11.6</v>
      </c>
      <c r="M162" s="15" t="s">
        <v>350</v>
      </c>
      <c r="N162" s="15">
        <f t="shared" si="1"/>
        <v>0</v>
      </c>
      <c r="O162" s="15">
        <f t="shared" si="1"/>
        <v>3.4000000000000002E-2</v>
      </c>
      <c r="P162" s="15">
        <f t="shared" si="1"/>
        <v>0.11599999999999999</v>
      </c>
      <c r="Q162" s="15">
        <f>PI()*((O162/2)^2)*P162</f>
        <v>1.0531875211894423E-4</v>
      </c>
      <c r="V162" s="3"/>
    </row>
    <row r="163" spans="1:22" x14ac:dyDescent="0.35">
      <c r="A163" s="82" t="s">
        <v>355</v>
      </c>
      <c r="B163" s="15"/>
      <c r="C163" s="15"/>
      <c r="D163" s="15"/>
      <c r="E163" s="15">
        <v>338.6</v>
      </c>
      <c r="F163" s="15" t="s">
        <v>277</v>
      </c>
      <c r="G163" s="15">
        <f t="shared" si="0"/>
        <v>0.33860000000000001</v>
      </c>
      <c r="H163" s="15"/>
      <c r="I163" s="15" t="s">
        <v>353</v>
      </c>
      <c r="J163" s="15">
        <v>28</v>
      </c>
      <c r="K163" s="15">
        <v>14</v>
      </c>
      <c r="L163" s="15">
        <v>7</v>
      </c>
      <c r="M163" s="15" t="s">
        <v>350</v>
      </c>
      <c r="N163" s="15">
        <f t="shared" si="1"/>
        <v>0.28000000000000003</v>
      </c>
      <c r="O163" s="15">
        <f t="shared" si="1"/>
        <v>0.14000000000000001</v>
      </c>
      <c r="P163" s="15">
        <f t="shared" si="1"/>
        <v>7.0000000000000007E-2</v>
      </c>
      <c r="Q163" s="15">
        <f>N163*O163*P163</f>
        <v>2.7440000000000008E-3</v>
      </c>
      <c r="V163" s="3"/>
    </row>
    <row r="164" spans="1:22" x14ac:dyDescent="0.35">
      <c r="A164" s="82" t="s">
        <v>356</v>
      </c>
      <c r="B164" s="15"/>
      <c r="C164" s="15"/>
      <c r="D164" s="15"/>
      <c r="E164" s="15">
        <v>152.19999999999999</v>
      </c>
      <c r="F164" s="15" t="s">
        <v>277</v>
      </c>
      <c r="G164" s="15">
        <f t="shared" si="0"/>
        <v>0.1522</v>
      </c>
      <c r="H164" s="15"/>
      <c r="I164" s="15" t="s">
        <v>349</v>
      </c>
      <c r="J164" s="15"/>
      <c r="K164" s="15">
        <v>9</v>
      </c>
      <c r="L164" s="15">
        <v>22</v>
      </c>
      <c r="M164" s="15" t="s">
        <v>350</v>
      </c>
      <c r="N164" s="15">
        <f t="shared" si="1"/>
        <v>0</v>
      </c>
      <c r="O164" s="15">
        <f t="shared" si="1"/>
        <v>0.09</v>
      </c>
      <c r="P164" s="15">
        <f t="shared" si="1"/>
        <v>0.22</v>
      </c>
      <c r="Q164" s="15">
        <f>PI()*((O164/2)^2)*P164</f>
        <v>1.3995795271742528E-3</v>
      </c>
      <c r="V164" s="3"/>
    </row>
    <row r="165" spans="1:22" x14ac:dyDescent="0.35">
      <c r="A165" s="82" t="s">
        <v>357</v>
      </c>
      <c r="B165" s="15"/>
      <c r="C165" s="15"/>
      <c r="D165" s="15"/>
      <c r="E165" s="15">
        <v>2.3517999999999999</v>
      </c>
      <c r="F165" s="15" t="s">
        <v>277</v>
      </c>
      <c r="G165" s="15">
        <f t="shared" si="0"/>
        <v>2.3517999999999998E-3</v>
      </c>
      <c r="H165" s="15"/>
      <c r="I165" s="15"/>
      <c r="J165" s="15"/>
      <c r="K165" s="15"/>
      <c r="L165" s="15"/>
      <c r="M165" s="15"/>
      <c r="N165" s="15"/>
      <c r="O165" s="15"/>
      <c r="P165" s="15"/>
      <c r="Q165" s="15">
        <v>7.1000000000000002E-4</v>
      </c>
      <c r="V165" s="3"/>
    </row>
    <row r="166" spans="1:22" x14ac:dyDescent="0.35">
      <c r="A166" s="82" t="s">
        <v>358</v>
      </c>
      <c r="B166" s="15">
        <f>1+0.025</f>
        <v>1.0249999999999999</v>
      </c>
      <c r="C166" s="15" t="s">
        <v>243</v>
      </c>
      <c r="D166" s="15">
        <v>1000</v>
      </c>
      <c r="E166" s="15">
        <f>B166*D166</f>
        <v>1025</v>
      </c>
      <c r="F166" s="15" t="s">
        <v>277</v>
      </c>
      <c r="G166" s="15">
        <f t="shared" si="0"/>
        <v>1.0249999999999999</v>
      </c>
      <c r="H166" s="15"/>
      <c r="I166" s="191" t="s">
        <v>359</v>
      </c>
      <c r="J166" s="15"/>
      <c r="K166" s="15"/>
      <c r="L166" s="15"/>
      <c r="M166" s="15"/>
      <c r="N166" s="15">
        <f t="shared" ref="N166:N174" si="2">J166/100</f>
        <v>0</v>
      </c>
      <c r="O166" s="15">
        <f t="shared" ref="O166:O174" si="3">K166/100</f>
        <v>0</v>
      </c>
      <c r="P166" s="15">
        <f t="shared" ref="P166:P174" si="4">L166/100</f>
        <v>0</v>
      </c>
      <c r="Q166" s="15">
        <v>0</v>
      </c>
      <c r="S166" s="247" t="s">
        <v>360</v>
      </c>
      <c r="V166" s="3"/>
    </row>
    <row r="167" spans="1:22" x14ac:dyDescent="0.35">
      <c r="A167" s="82" t="s">
        <v>361</v>
      </c>
      <c r="B167" s="15">
        <f>0.5+(2*2.16)+(2*0.49)</f>
        <v>5.8000000000000007</v>
      </c>
      <c r="C167" s="15" t="s">
        <v>243</v>
      </c>
      <c r="D167" s="15">
        <v>710</v>
      </c>
      <c r="E167" s="15">
        <f>B167*D167</f>
        <v>4118.0000000000009</v>
      </c>
      <c r="F167" s="15" t="s">
        <v>277</v>
      </c>
      <c r="G167" s="15">
        <f t="shared" si="0"/>
        <v>4.1180000000000012</v>
      </c>
      <c r="H167" s="15"/>
      <c r="I167" s="191" t="s">
        <v>359</v>
      </c>
      <c r="J167" s="15"/>
      <c r="K167" s="15"/>
      <c r="L167" s="15"/>
      <c r="M167" s="15"/>
      <c r="N167" s="15">
        <f t="shared" si="2"/>
        <v>0</v>
      </c>
      <c r="O167" s="15">
        <f t="shared" si="3"/>
        <v>0</v>
      </c>
      <c r="P167" s="15">
        <f t="shared" si="4"/>
        <v>0</v>
      </c>
      <c r="Q167" s="15">
        <v>1</v>
      </c>
      <c r="S167" s="247"/>
      <c r="V167" s="3"/>
    </row>
    <row r="168" spans="1:22" x14ac:dyDescent="0.35">
      <c r="A168" s="82" t="s">
        <v>362</v>
      </c>
      <c r="B168" s="15"/>
      <c r="C168" s="15"/>
      <c r="D168" s="15"/>
      <c r="E168" s="15">
        <v>4.9250999999999996</v>
      </c>
      <c r="F168" s="15" t="s">
        <v>277</v>
      </c>
      <c r="G168" s="15">
        <f t="shared" si="0"/>
        <v>4.9251E-3</v>
      </c>
      <c r="H168" s="15"/>
      <c r="I168" s="15" t="s">
        <v>349</v>
      </c>
      <c r="J168" s="15"/>
      <c r="K168" s="15">
        <v>2</v>
      </c>
      <c r="L168" s="15">
        <v>9.8000000000000007</v>
      </c>
      <c r="M168" s="15" t="s">
        <v>350</v>
      </c>
      <c r="N168" s="15">
        <f t="shared" si="2"/>
        <v>0</v>
      </c>
      <c r="O168" s="15">
        <f t="shared" si="3"/>
        <v>0.02</v>
      </c>
      <c r="P168" s="15">
        <f t="shared" si="4"/>
        <v>9.8000000000000004E-2</v>
      </c>
      <c r="Q168" s="15">
        <f>PI()*((O168/2)^2)*P168</f>
        <v>3.0787608005179971E-5</v>
      </c>
      <c r="V168" s="3"/>
    </row>
    <row r="169" spans="1:22" x14ac:dyDescent="0.35">
      <c r="A169" s="82" t="s">
        <v>363</v>
      </c>
      <c r="B169" s="15"/>
      <c r="C169" s="15"/>
      <c r="D169" s="15"/>
      <c r="E169" s="15">
        <v>329</v>
      </c>
      <c r="F169" s="15" t="s">
        <v>277</v>
      </c>
      <c r="G169" s="15">
        <f t="shared" si="0"/>
        <v>0.32900000000000001</v>
      </c>
      <c r="H169" s="15"/>
      <c r="I169" s="15" t="s">
        <v>349</v>
      </c>
      <c r="J169" s="15"/>
      <c r="K169" s="15">
        <v>12</v>
      </c>
      <c r="L169" s="15">
        <v>21</v>
      </c>
      <c r="M169" s="15" t="s">
        <v>350</v>
      </c>
      <c r="N169" s="15">
        <f t="shared" si="2"/>
        <v>0</v>
      </c>
      <c r="O169" s="15">
        <f t="shared" si="3"/>
        <v>0.12</v>
      </c>
      <c r="P169" s="15">
        <f t="shared" si="4"/>
        <v>0.21</v>
      </c>
      <c r="Q169" s="15">
        <f>PI()*((O169/2)^2)*P169</f>
        <v>2.3750440461138833E-3</v>
      </c>
      <c r="S169" t="s">
        <v>364</v>
      </c>
      <c r="V169" s="3"/>
    </row>
    <row r="170" spans="1:22" x14ac:dyDescent="0.35">
      <c r="A170" s="82" t="s">
        <v>365</v>
      </c>
      <c r="B170" s="15"/>
      <c r="C170" s="15"/>
      <c r="D170" s="15"/>
      <c r="E170" s="15">
        <v>26.187000000000001</v>
      </c>
      <c r="F170" s="15" t="s">
        <v>277</v>
      </c>
      <c r="G170" s="15">
        <f t="shared" si="0"/>
        <v>2.6187000000000002E-2</v>
      </c>
      <c r="H170" s="15"/>
      <c r="I170" s="15" t="s">
        <v>349</v>
      </c>
      <c r="J170" s="15">
        <v>6.4</v>
      </c>
      <c r="K170" s="15">
        <v>4</v>
      </c>
      <c r="L170" s="15">
        <v>2.5</v>
      </c>
      <c r="M170" s="15" t="s">
        <v>350</v>
      </c>
      <c r="N170" s="15">
        <f t="shared" si="2"/>
        <v>6.4000000000000001E-2</v>
      </c>
      <c r="O170" s="15">
        <f t="shared" si="3"/>
        <v>0.04</v>
      </c>
      <c r="P170" s="15">
        <f t="shared" si="4"/>
        <v>2.5000000000000001E-2</v>
      </c>
      <c r="Q170" s="15">
        <f>N170*O170*P170</f>
        <v>6.4000000000000011E-5</v>
      </c>
      <c r="V170" s="3"/>
    </row>
    <row r="171" spans="1:22" x14ac:dyDescent="0.35">
      <c r="A171" s="82" t="s">
        <v>366</v>
      </c>
      <c r="B171" s="15"/>
      <c r="C171" s="15"/>
      <c r="D171" s="15"/>
      <c r="E171" s="15">
        <v>577</v>
      </c>
      <c r="F171" s="15" t="s">
        <v>277</v>
      </c>
      <c r="G171" s="15">
        <f t="shared" si="0"/>
        <v>0.57699999999999996</v>
      </c>
      <c r="H171" s="15"/>
      <c r="I171" s="15" t="s">
        <v>349</v>
      </c>
      <c r="J171" s="15"/>
      <c r="K171" s="15">
        <v>10</v>
      </c>
      <c r="L171" s="15">
        <v>23</v>
      </c>
      <c r="M171" s="15" t="s">
        <v>350</v>
      </c>
      <c r="N171" s="15">
        <f t="shared" si="2"/>
        <v>0</v>
      </c>
      <c r="O171" s="15">
        <f t="shared" si="3"/>
        <v>0.1</v>
      </c>
      <c r="P171" s="15">
        <f t="shared" si="4"/>
        <v>0.23</v>
      </c>
      <c r="Q171" s="15">
        <f>PI()*((O171/2)^2)*P171</f>
        <v>1.8064157758141313E-3</v>
      </c>
      <c r="V171" s="3"/>
    </row>
    <row r="172" spans="1:22" x14ac:dyDescent="0.35">
      <c r="A172" s="82" t="s">
        <v>367</v>
      </c>
      <c r="B172" s="15"/>
      <c r="C172" s="15"/>
      <c r="D172" s="15"/>
      <c r="E172" s="15">
        <v>117</v>
      </c>
      <c r="F172" s="15" t="s">
        <v>277</v>
      </c>
      <c r="G172" s="15">
        <f t="shared" si="0"/>
        <v>0.11700000000000001</v>
      </c>
      <c r="H172" s="15"/>
      <c r="I172" s="15" t="s">
        <v>349</v>
      </c>
      <c r="J172" s="15"/>
      <c r="K172" s="15">
        <v>13</v>
      </c>
      <c r="L172" s="15">
        <v>15</v>
      </c>
      <c r="M172" s="15" t="s">
        <v>350</v>
      </c>
      <c r="N172" s="15">
        <f t="shared" si="2"/>
        <v>0</v>
      </c>
      <c r="O172" s="15">
        <f t="shared" si="3"/>
        <v>0.13</v>
      </c>
      <c r="P172" s="15">
        <f t="shared" si="4"/>
        <v>0.15</v>
      </c>
      <c r="Q172" s="15">
        <f>PI()*((O172/2)^2)*P172</f>
        <v>1.9909843442125316E-3</v>
      </c>
      <c r="V172" s="3"/>
    </row>
    <row r="173" spans="1:22" x14ac:dyDescent="0.35">
      <c r="A173" s="172" t="s">
        <v>368</v>
      </c>
      <c r="B173" s="15">
        <v>1.0069999999999999</v>
      </c>
      <c r="C173" s="15" t="s">
        <v>243</v>
      </c>
      <c r="D173" s="15">
        <v>2</v>
      </c>
      <c r="E173" s="15">
        <f>B173*D173</f>
        <v>2.0139999999999998</v>
      </c>
      <c r="F173" s="15" t="s">
        <v>277</v>
      </c>
      <c r="G173" s="15">
        <f t="shared" si="0"/>
        <v>2.0139999999999997E-3</v>
      </c>
      <c r="H173" s="15"/>
      <c r="I173" s="191" t="s">
        <v>359</v>
      </c>
      <c r="J173" s="15"/>
      <c r="K173" s="15"/>
      <c r="L173" s="15"/>
      <c r="M173" s="15"/>
      <c r="N173" s="15">
        <f t="shared" si="2"/>
        <v>0</v>
      </c>
      <c r="O173" s="15">
        <f t="shared" si="3"/>
        <v>0</v>
      </c>
      <c r="P173" s="15">
        <f t="shared" si="4"/>
        <v>0</v>
      </c>
      <c r="Q173" s="15">
        <v>0</v>
      </c>
      <c r="S173" t="s">
        <v>369</v>
      </c>
      <c r="V173" s="3"/>
    </row>
    <row r="174" spans="1:22" x14ac:dyDescent="0.35">
      <c r="A174" s="82" t="s">
        <v>370</v>
      </c>
      <c r="B174" s="15"/>
      <c r="C174" s="15"/>
      <c r="D174" s="15"/>
      <c r="E174" s="15">
        <v>10.61</v>
      </c>
      <c r="F174" s="15" t="s">
        <v>277</v>
      </c>
      <c r="G174" s="15">
        <f t="shared" si="0"/>
        <v>1.061E-2</v>
      </c>
      <c r="H174" s="15"/>
      <c r="I174" s="15" t="s">
        <v>353</v>
      </c>
      <c r="J174" s="15">
        <v>16</v>
      </c>
      <c r="K174" s="15">
        <v>1.6</v>
      </c>
      <c r="L174" s="15">
        <v>0.7</v>
      </c>
      <c r="M174" s="15" t="s">
        <v>350</v>
      </c>
      <c r="N174" s="15">
        <f t="shared" si="2"/>
        <v>0.16</v>
      </c>
      <c r="O174" s="15">
        <f t="shared" si="3"/>
        <v>1.6E-2</v>
      </c>
      <c r="P174" s="15">
        <f t="shared" si="4"/>
        <v>6.9999999999999993E-3</v>
      </c>
      <c r="Q174" s="15">
        <f>N174*O174*P174</f>
        <v>1.7920000000000001E-5</v>
      </c>
      <c r="V174" s="3"/>
    </row>
    <row r="175" spans="1:22" x14ac:dyDescent="0.35">
      <c r="A175" s="82" t="s">
        <v>371</v>
      </c>
      <c r="B175" s="15"/>
      <c r="C175" s="15"/>
      <c r="D175" s="15"/>
      <c r="E175" s="15">
        <f>2740.3+246.5</f>
        <v>2986.8</v>
      </c>
      <c r="F175" s="15" t="s">
        <v>277</v>
      </c>
      <c r="G175" s="15">
        <f t="shared" si="0"/>
        <v>2.9868000000000001</v>
      </c>
      <c r="H175" s="15"/>
      <c r="I175" s="15" t="s">
        <v>349</v>
      </c>
      <c r="J175" s="15"/>
      <c r="K175" s="15">
        <v>13.5</v>
      </c>
      <c r="L175" s="15">
        <v>13</v>
      </c>
      <c r="M175" s="15" t="s">
        <v>180</v>
      </c>
      <c r="N175" s="15">
        <f>J175/100</f>
        <v>0</v>
      </c>
      <c r="O175" s="15">
        <f>(K175*$U$159)/100</f>
        <v>0.34289999999999998</v>
      </c>
      <c r="P175" s="15">
        <f>(L175*$U$159)/100</f>
        <v>0.33020000000000005</v>
      </c>
      <c r="Q175" s="15">
        <f>PI()*((O175/2)^2)*P175</f>
        <v>3.049312404923436E-2</v>
      </c>
      <c r="V175" s="3"/>
    </row>
    <row r="176" spans="1:22" x14ac:dyDescent="0.35">
      <c r="A176" s="82" t="s">
        <v>372</v>
      </c>
      <c r="B176" s="15"/>
      <c r="C176" s="15"/>
      <c r="D176" s="15"/>
      <c r="E176" s="15">
        <v>2.0125000000000002</v>
      </c>
      <c r="F176" s="15" t="s">
        <v>277</v>
      </c>
      <c r="G176" s="15">
        <f t="shared" si="0"/>
        <v>2.0125E-3</v>
      </c>
      <c r="H176" s="15"/>
      <c r="I176" s="15" t="s">
        <v>349</v>
      </c>
      <c r="J176" s="15"/>
      <c r="K176" s="15">
        <v>1.1000000000000001</v>
      </c>
      <c r="L176" s="15">
        <v>4.9000000000000004</v>
      </c>
      <c r="M176" s="15" t="s">
        <v>350</v>
      </c>
      <c r="N176" s="15">
        <f>J176/100</f>
        <v>0</v>
      </c>
      <c r="O176" s="15">
        <f>K176/100</f>
        <v>1.1000000000000001E-2</v>
      </c>
      <c r="P176" s="15">
        <f>L176/100</f>
        <v>4.9000000000000002E-2</v>
      </c>
      <c r="Q176" s="15">
        <f>PI()*((O176/2)^2)*P176</f>
        <v>4.6566257107834723E-6</v>
      </c>
      <c r="V176" s="3"/>
    </row>
    <row r="177" spans="1:22" x14ac:dyDescent="0.35">
      <c r="A177" s="82" t="s">
        <v>373</v>
      </c>
      <c r="B177" s="15">
        <f>0.5*1+0.5*1.1</f>
        <v>1.05</v>
      </c>
      <c r="C177" s="15" t="s">
        <v>243</v>
      </c>
      <c r="D177" s="15">
        <v>2</v>
      </c>
      <c r="E177" s="15">
        <f>B177*D177</f>
        <v>2.1</v>
      </c>
      <c r="F177" s="15" t="s">
        <v>277</v>
      </c>
      <c r="G177" s="15">
        <f t="shared" si="0"/>
        <v>2.1000000000000003E-3</v>
      </c>
      <c r="H177" s="15"/>
      <c r="I177" s="191" t="s">
        <v>359</v>
      </c>
      <c r="J177" s="15"/>
      <c r="K177" s="15"/>
      <c r="L177" s="15"/>
      <c r="M177" s="15"/>
      <c r="N177" s="15">
        <v>0</v>
      </c>
      <c r="O177" s="15">
        <v>0</v>
      </c>
      <c r="P177" s="15">
        <v>0</v>
      </c>
      <c r="Q177" s="15">
        <v>0</v>
      </c>
      <c r="V177" s="3"/>
    </row>
    <row r="178" spans="1:22" x14ac:dyDescent="0.35">
      <c r="A178" s="172" t="s">
        <v>374</v>
      </c>
      <c r="B178" s="15">
        <v>0.1</v>
      </c>
      <c r="C178" s="15" t="s">
        <v>375</v>
      </c>
      <c r="D178" s="15">
        <v>15</v>
      </c>
      <c r="E178" s="15">
        <f>(((B178/1000)*D178)*B87)+(D178*$B$81)</f>
        <v>15.294285</v>
      </c>
      <c r="F178" s="15" t="s">
        <v>277</v>
      </c>
      <c r="G178" s="15">
        <f t="shared" si="0"/>
        <v>1.5294285000000001E-2</v>
      </c>
      <c r="H178" s="15"/>
      <c r="I178" s="191" t="s">
        <v>359</v>
      </c>
      <c r="J178" s="15"/>
      <c r="K178" s="15"/>
      <c r="L178" s="15"/>
      <c r="M178" s="15"/>
      <c r="N178" s="15">
        <v>0</v>
      </c>
      <c r="O178" s="15">
        <v>0</v>
      </c>
      <c r="P178" s="15">
        <v>0</v>
      </c>
      <c r="Q178" s="15">
        <v>0</v>
      </c>
      <c r="V178" s="3"/>
    </row>
    <row r="179" spans="1:22" x14ac:dyDescent="0.35">
      <c r="A179" s="172" t="s">
        <v>376</v>
      </c>
      <c r="B179" s="15">
        <v>0.5</v>
      </c>
      <c r="C179" s="15" t="s">
        <v>375</v>
      </c>
      <c r="D179" s="15">
        <v>50</v>
      </c>
      <c r="E179" s="15">
        <f>(((B179/1000)*D179)*B88)+(D179*$B$81)</f>
        <v>54.88</v>
      </c>
      <c r="F179" s="15" t="s">
        <v>277</v>
      </c>
      <c r="G179" s="15">
        <f t="shared" si="0"/>
        <v>5.4880000000000005E-2</v>
      </c>
      <c r="H179" s="15"/>
      <c r="I179" s="191" t="s">
        <v>359</v>
      </c>
      <c r="J179" s="15"/>
      <c r="K179" s="15"/>
      <c r="L179" s="15"/>
      <c r="M179" s="15"/>
      <c r="N179" s="15">
        <v>0</v>
      </c>
      <c r="O179" s="15">
        <v>0</v>
      </c>
      <c r="P179" s="15">
        <v>0</v>
      </c>
      <c r="Q179" s="15">
        <v>0</v>
      </c>
      <c r="V179" s="3"/>
    </row>
    <row r="180" spans="1:22" x14ac:dyDescent="0.35">
      <c r="A180" s="172" t="s">
        <v>377</v>
      </c>
      <c r="B180" s="15">
        <v>1</v>
      </c>
      <c r="C180" s="15" t="s">
        <v>375</v>
      </c>
      <c r="D180" s="15">
        <v>50</v>
      </c>
      <c r="E180" s="15">
        <f>(((B180/1000)*D180)*B89)+(D180*$B$81)</f>
        <v>54.7605</v>
      </c>
      <c r="F180" s="15" t="s">
        <v>277</v>
      </c>
      <c r="G180" s="15">
        <f t="shared" si="0"/>
        <v>5.4760500000000004E-2</v>
      </c>
      <c r="H180" s="15"/>
      <c r="I180" s="191" t="s">
        <v>359</v>
      </c>
      <c r="J180" s="15"/>
      <c r="K180" s="15"/>
      <c r="L180" s="15"/>
      <c r="M180" s="15"/>
      <c r="N180" s="15">
        <v>0</v>
      </c>
      <c r="O180" s="15">
        <v>0</v>
      </c>
      <c r="P180" s="15">
        <v>0</v>
      </c>
      <c r="Q180" s="15">
        <v>0</v>
      </c>
      <c r="V180" s="3"/>
    </row>
    <row r="181" spans="1:22" x14ac:dyDescent="0.35">
      <c r="A181" s="82" t="s">
        <v>378</v>
      </c>
      <c r="B181" s="15">
        <v>1.05</v>
      </c>
      <c r="C181" s="15" t="s">
        <v>243</v>
      </c>
      <c r="D181" s="15">
        <v>2</v>
      </c>
      <c r="E181" s="15">
        <f>B181*D181</f>
        <v>2.1</v>
      </c>
      <c r="F181" s="15" t="s">
        <v>277</v>
      </c>
      <c r="G181" s="15">
        <f t="shared" si="0"/>
        <v>2.1000000000000003E-3</v>
      </c>
      <c r="H181" s="15"/>
      <c r="I181" s="191"/>
      <c r="J181" s="15"/>
      <c r="K181" s="15"/>
      <c r="L181" s="15"/>
      <c r="M181" s="15"/>
      <c r="N181" s="15"/>
      <c r="O181" s="15"/>
      <c r="P181" s="15"/>
      <c r="Q181" s="15"/>
      <c r="V181" s="3"/>
    </row>
    <row r="182" spans="1:22" x14ac:dyDescent="0.35">
      <c r="A182" s="82" t="s">
        <v>379</v>
      </c>
      <c r="B182" s="15">
        <v>1.01</v>
      </c>
      <c r="C182" s="15" t="s">
        <v>380</v>
      </c>
      <c r="D182" s="15">
        <v>2</v>
      </c>
      <c r="E182" s="15">
        <f>B182*D182</f>
        <v>2.02</v>
      </c>
      <c r="F182" s="15" t="s">
        <v>277</v>
      </c>
      <c r="G182" s="15">
        <f t="shared" si="0"/>
        <v>2.0200000000000001E-3</v>
      </c>
      <c r="H182" s="15"/>
      <c r="I182" s="191"/>
      <c r="J182" s="15"/>
      <c r="K182" s="15"/>
      <c r="L182" s="15"/>
      <c r="M182" s="15"/>
      <c r="N182" s="15"/>
      <c r="O182" s="15"/>
      <c r="P182" s="15"/>
      <c r="Q182" s="15"/>
      <c r="V182" s="3"/>
    </row>
    <row r="183" spans="1:22" x14ac:dyDescent="0.35">
      <c r="A183" s="82" t="s">
        <v>381</v>
      </c>
      <c r="B183" s="15">
        <v>1.01</v>
      </c>
      <c r="C183" s="15" t="s">
        <v>382</v>
      </c>
      <c r="D183" s="15">
        <v>2</v>
      </c>
      <c r="E183" s="15">
        <f>B183*D183</f>
        <v>2.02</v>
      </c>
      <c r="F183" s="15" t="s">
        <v>277</v>
      </c>
      <c r="G183" s="15">
        <f t="shared" si="0"/>
        <v>2.0200000000000001E-3</v>
      </c>
      <c r="H183" s="15"/>
      <c r="I183" s="191"/>
      <c r="J183" s="15"/>
      <c r="K183" s="15"/>
      <c r="L183" s="15"/>
      <c r="M183" s="15"/>
      <c r="N183" s="15"/>
      <c r="O183" s="15"/>
      <c r="P183" s="15"/>
      <c r="Q183" s="15"/>
      <c r="V183" s="3"/>
    </row>
    <row r="184" spans="1:22" x14ac:dyDescent="0.35">
      <c r="A184" s="82" t="s">
        <v>383</v>
      </c>
      <c r="B184" s="15"/>
      <c r="C184" s="15"/>
      <c r="D184" s="15"/>
      <c r="E184" s="15"/>
      <c r="F184" s="15"/>
      <c r="G184" s="15">
        <v>130</v>
      </c>
      <c r="H184" s="15"/>
      <c r="I184" s="15" t="s">
        <v>384</v>
      </c>
      <c r="J184" s="15">
        <v>70</v>
      </c>
      <c r="K184" s="15">
        <v>65</v>
      </c>
      <c r="L184" s="15">
        <v>128</v>
      </c>
      <c r="M184" s="15" t="s">
        <v>350</v>
      </c>
      <c r="N184" s="15">
        <f t="shared" ref="N184:P185" si="5">J184/100</f>
        <v>0.7</v>
      </c>
      <c r="O184" s="15">
        <f t="shared" si="5"/>
        <v>0.65</v>
      </c>
      <c r="P184" s="15">
        <f t="shared" si="5"/>
        <v>1.28</v>
      </c>
      <c r="Q184" s="15">
        <f t="shared" ref="Q184:Q189" si="6">N184*O184*P184</f>
        <v>0.58239999999999992</v>
      </c>
      <c r="V184" s="3"/>
    </row>
    <row r="185" spans="1:22" x14ac:dyDescent="0.35">
      <c r="A185" s="82" t="s">
        <v>385</v>
      </c>
      <c r="B185" s="15"/>
      <c r="C185" s="15"/>
      <c r="D185" s="15"/>
      <c r="E185" s="15"/>
      <c r="F185" s="15"/>
      <c r="G185" s="15">
        <v>60</v>
      </c>
      <c r="H185" s="15"/>
      <c r="I185" s="15" t="s">
        <v>384</v>
      </c>
      <c r="J185" s="15">
        <v>55.9</v>
      </c>
      <c r="K185" s="15">
        <v>76.2</v>
      </c>
      <c r="L185" s="15">
        <v>61</v>
      </c>
      <c r="M185" s="15" t="s">
        <v>350</v>
      </c>
      <c r="N185" s="15">
        <f t="shared" si="5"/>
        <v>0.55899999999999994</v>
      </c>
      <c r="O185" s="15">
        <f t="shared" si="5"/>
        <v>0.76200000000000001</v>
      </c>
      <c r="P185" s="15">
        <f t="shared" si="5"/>
        <v>0.61</v>
      </c>
      <c r="Q185" s="15">
        <f t="shared" si="6"/>
        <v>0.25983437999999998</v>
      </c>
      <c r="V185" s="3"/>
    </row>
    <row r="186" spans="1:22" x14ac:dyDescent="0.35">
      <c r="A186" s="82" t="s">
        <v>386</v>
      </c>
      <c r="B186" s="15"/>
      <c r="C186" s="15"/>
      <c r="D186" s="15"/>
      <c r="E186" s="15">
        <v>14.5</v>
      </c>
      <c r="F186" s="15" t="s">
        <v>387</v>
      </c>
      <c r="G186" s="15">
        <f>E186/V159</f>
        <v>6.5759637188208613</v>
      </c>
      <c r="H186" s="15"/>
      <c r="I186" s="15" t="s">
        <v>384</v>
      </c>
      <c r="J186" s="15">
        <v>7.62</v>
      </c>
      <c r="K186" s="15">
        <v>5.12</v>
      </c>
      <c r="L186" s="15">
        <v>8</v>
      </c>
      <c r="M186" s="15" t="s">
        <v>180</v>
      </c>
      <c r="N186" s="15">
        <f>(J186*$U$159)/100</f>
        <v>0.193548</v>
      </c>
      <c r="O186" s="15">
        <f>(K186*$U$159)/100</f>
        <v>0.13004800000000002</v>
      </c>
      <c r="P186" s="15">
        <f>(L186*$U$159)/100</f>
        <v>0.20319999999999999</v>
      </c>
      <c r="Q186" s="15">
        <f t="shared" si="6"/>
        <v>5.1146517577728007E-3</v>
      </c>
      <c r="V186" s="3"/>
    </row>
    <row r="187" spans="1:22" x14ac:dyDescent="0.35">
      <c r="A187" s="82" t="s">
        <v>388</v>
      </c>
      <c r="B187" s="15"/>
      <c r="C187" s="15"/>
      <c r="D187" s="15"/>
      <c r="E187" s="15"/>
      <c r="F187" s="15"/>
      <c r="G187" s="15">
        <v>48</v>
      </c>
      <c r="H187" s="15"/>
      <c r="I187" s="15" t="s">
        <v>384</v>
      </c>
      <c r="J187" s="15">
        <v>58</v>
      </c>
      <c r="K187" s="15">
        <v>51</v>
      </c>
      <c r="L187" s="15">
        <v>41</v>
      </c>
      <c r="M187" s="15" t="s">
        <v>350</v>
      </c>
      <c r="N187" s="15">
        <f t="shared" ref="N187:P189" si="7">J187/100</f>
        <v>0.57999999999999996</v>
      </c>
      <c r="O187" s="15">
        <f t="shared" si="7"/>
        <v>0.51</v>
      </c>
      <c r="P187" s="15">
        <f t="shared" si="7"/>
        <v>0.41</v>
      </c>
      <c r="Q187" s="15">
        <f t="shared" si="6"/>
        <v>0.121278</v>
      </c>
      <c r="V187" s="3"/>
    </row>
    <row r="188" spans="1:22" x14ac:dyDescent="0.35">
      <c r="A188" s="82" t="s">
        <v>389</v>
      </c>
      <c r="B188" s="15"/>
      <c r="C188" s="15"/>
      <c r="D188" s="15"/>
      <c r="E188" s="15">
        <v>610</v>
      </c>
      <c r="F188" s="15" t="s">
        <v>277</v>
      </c>
      <c r="G188" s="15">
        <f>E188/1000</f>
        <v>0.61</v>
      </c>
      <c r="H188" s="15"/>
      <c r="I188" s="15" t="s">
        <v>384</v>
      </c>
      <c r="J188" s="15">
        <v>15</v>
      </c>
      <c r="K188" s="15">
        <v>9</v>
      </c>
      <c r="L188" s="15">
        <v>4</v>
      </c>
      <c r="M188" s="15" t="s">
        <v>350</v>
      </c>
      <c r="N188" s="15">
        <f t="shared" si="7"/>
        <v>0.15</v>
      </c>
      <c r="O188" s="15">
        <f t="shared" si="7"/>
        <v>0.09</v>
      </c>
      <c r="P188" s="15">
        <f t="shared" si="7"/>
        <v>0.04</v>
      </c>
      <c r="Q188" s="15">
        <f t="shared" si="6"/>
        <v>5.4000000000000001E-4</v>
      </c>
      <c r="V188" s="3"/>
    </row>
    <row r="189" spans="1:22" x14ac:dyDescent="0.35">
      <c r="A189" s="82" t="s">
        <v>390</v>
      </c>
      <c r="B189" s="15"/>
      <c r="C189" s="15"/>
      <c r="D189" s="15"/>
      <c r="E189" s="15"/>
      <c r="F189" s="15"/>
      <c r="G189" s="15">
        <f>68+3.1+(2*0.29)</f>
        <v>71.679999999999993</v>
      </c>
      <c r="H189" s="15"/>
      <c r="I189" s="15" t="s">
        <v>384</v>
      </c>
      <c r="J189" s="15">
        <v>53.5</v>
      </c>
      <c r="K189" s="15">
        <v>60.8</v>
      </c>
      <c r="L189" s="15">
        <v>34.5</v>
      </c>
      <c r="M189" s="15" t="s">
        <v>350</v>
      </c>
      <c r="N189" s="15">
        <f t="shared" si="7"/>
        <v>0.53500000000000003</v>
      </c>
      <c r="O189" s="15">
        <f t="shared" si="7"/>
        <v>0.60799999999999998</v>
      </c>
      <c r="P189" s="15">
        <f t="shared" si="7"/>
        <v>0.34499999999999997</v>
      </c>
      <c r="Q189" s="15">
        <f t="shared" si="6"/>
        <v>0.11222159999999999</v>
      </c>
      <c r="V189" s="3"/>
    </row>
    <row r="190" spans="1:22" ht="15" customHeight="1" thickBot="1" x14ac:dyDescent="0.4">
      <c r="A190" s="82"/>
      <c r="B190" s="15"/>
      <c r="C190" s="15"/>
      <c r="D190" s="15"/>
      <c r="E190" s="15"/>
      <c r="F190" s="15"/>
      <c r="G190" s="15"/>
      <c r="H190" s="15"/>
      <c r="I190" s="15"/>
      <c r="J190" s="15"/>
      <c r="K190" s="15"/>
      <c r="L190" s="15"/>
      <c r="M190" s="15"/>
      <c r="N190" s="15"/>
      <c r="O190" s="15"/>
      <c r="P190" s="15"/>
      <c r="Q190" s="15"/>
      <c r="V190" s="3"/>
    </row>
    <row r="191" spans="1:22" x14ac:dyDescent="0.35">
      <c r="A191" s="259" t="s">
        <v>210</v>
      </c>
      <c r="B191" s="262"/>
      <c r="C191" s="262"/>
      <c r="D191" s="263"/>
      <c r="E191" s="263"/>
      <c r="F191" s="263"/>
      <c r="G191" s="263"/>
      <c r="H191" s="263"/>
      <c r="I191" s="264"/>
      <c r="V191" s="3"/>
    </row>
    <row r="192" spans="1:22" ht="15" customHeight="1" thickBot="1" x14ac:dyDescent="0.4">
      <c r="A192" s="273" t="s">
        <v>211</v>
      </c>
      <c r="B192" s="274" t="s">
        <v>79</v>
      </c>
      <c r="C192" s="274" t="s">
        <v>33</v>
      </c>
      <c r="D192" s="286" t="s">
        <v>498</v>
      </c>
      <c r="E192" s="286" t="s">
        <v>499</v>
      </c>
      <c r="F192" s="274" t="s">
        <v>34</v>
      </c>
      <c r="G192" s="274" t="s">
        <v>212</v>
      </c>
      <c r="H192" s="274"/>
      <c r="I192" s="275" t="s">
        <v>391</v>
      </c>
      <c r="V192" s="3"/>
    </row>
    <row r="193" spans="1:22" x14ac:dyDescent="0.35">
      <c r="A193" s="82" t="s">
        <v>546</v>
      </c>
      <c r="B193" s="15" t="s">
        <v>60</v>
      </c>
      <c r="C193" s="15">
        <f>B114</f>
        <v>412</v>
      </c>
      <c r="D193" s="15">
        <f>B115</f>
        <v>2</v>
      </c>
      <c r="E193" s="15">
        <f>B117</f>
        <v>0.20499999999999999</v>
      </c>
      <c r="F193" s="15"/>
      <c r="G193" s="15"/>
      <c r="I193" t="s">
        <v>392</v>
      </c>
      <c r="V193" s="3"/>
    </row>
    <row r="194" spans="1:22" x14ac:dyDescent="0.35">
      <c r="A194" s="82" t="s">
        <v>383</v>
      </c>
      <c r="B194" s="15" t="s">
        <v>60</v>
      </c>
      <c r="C194" s="15">
        <f>G184</f>
        <v>130</v>
      </c>
      <c r="D194" s="15">
        <f>Q184</f>
        <v>0.58239999999999992</v>
      </c>
      <c r="E194" s="15">
        <f>B125/1000</f>
        <v>0.7</v>
      </c>
      <c r="F194" s="15"/>
      <c r="G194" s="15"/>
      <c r="V194" s="3"/>
    </row>
    <row r="195" spans="1:22" x14ac:dyDescent="0.35">
      <c r="A195" s="82" t="s">
        <v>393</v>
      </c>
      <c r="B195" s="15" t="s">
        <v>60</v>
      </c>
      <c r="C195" s="15">
        <f>G185</f>
        <v>60</v>
      </c>
      <c r="D195" s="15">
        <f>Q185</f>
        <v>0.25983437999999998</v>
      </c>
      <c r="E195" s="15">
        <f>B120/1000</f>
        <v>0.72</v>
      </c>
      <c r="F195" s="15"/>
      <c r="G195" s="15"/>
      <c r="V195" s="3"/>
    </row>
    <row r="196" spans="1:22" x14ac:dyDescent="0.35">
      <c r="A196" s="82" t="s">
        <v>394</v>
      </c>
      <c r="B196" s="15" t="s">
        <v>60</v>
      </c>
      <c r="C196" s="15">
        <f>G186</f>
        <v>6.5759637188208613</v>
      </c>
      <c r="D196" s="15">
        <f>Q186</f>
        <v>5.1146517577728007E-3</v>
      </c>
      <c r="E196" s="15">
        <f>B130/1000</f>
        <v>0.43469999999999998</v>
      </c>
      <c r="F196" s="15"/>
      <c r="G196" s="15"/>
      <c r="V196" s="3"/>
    </row>
    <row r="197" spans="1:22" x14ac:dyDescent="0.35">
      <c r="A197" s="82" t="s">
        <v>395</v>
      </c>
      <c r="B197" s="15" t="s">
        <v>60</v>
      </c>
      <c r="C197" s="15">
        <f>G187</f>
        <v>48</v>
      </c>
      <c r="D197" s="15">
        <f>Q187</f>
        <v>0.121278</v>
      </c>
      <c r="E197" s="15">
        <f>B133/1000</f>
        <v>1.4</v>
      </c>
      <c r="F197" s="15"/>
      <c r="G197" s="15"/>
      <c r="V197" s="3"/>
    </row>
    <row r="198" spans="1:22" x14ac:dyDescent="0.35">
      <c r="A198" s="82" t="s">
        <v>396</v>
      </c>
      <c r="B198" s="15" t="s">
        <v>60</v>
      </c>
      <c r="C198" s="15">
        <f>G189</f>
        <v>71.679999999999993</v>
      </c>
      <c r="D198" s="15">
        <f>Q189</f>
        <v>0.11222159999999999</v>
      </c>
      <c r="E198" s="15">
        <f>B139/1000</f>
        <v>0.95</v>
      </c>
      <c r="F198" s="15"/>
      <c r="G198" s="15"/>
      <c r="V198" s="3"/>
    </row>
    <row r="199" spans="1:22" x14ac:dyDescent="0.35">
      <c r="A199" s="82" t="s">
        <v>397</v>
      </c>
      <c r="B199" s="15" t="s">
        <v>60</v>
      </c>
      <c r="C199" s="15">
        <f>G188</f>
        <v>0.61</v>
      </c>
      <c r="D199" s="15">
        <f>Q188</f>
        <v>5.4000000000000001E-4</v>
      </c>
      <c r="E199" s="15"/>
      <c r="F199" s="15"/>
      <c r="G199" s="15"/>
      <c r="V199" s="3"/>
    </row>
    <row r="200" spans="1:22" x14ac:dyDescent="0.35">
      <c r="A200" s="82" t="s">
        <v>398</v>
      </c>
      <c r="B200" s="15" t="s">
        <v>60</v>
      </c>
      <c r="C200" s="15">
        <f>G169*2</f>
        <v>0.65800000000000003</v>
      </c>
      <c r="D200" s="15">
        <f>Q169*2</f>
        <v>4.7500880922277666E-3</v>
      </c>
      <c r="E200" s="15"/>
      <c r="F200" s="15"/>
      <c r="G200" s="15"/>
      <c r="V200" s="3"/>
    </row>
    <row r="201" spans="1:22" x14ac:dyDescent="0.35">
      <c r="A201" s="82" t="s">
        <v>399</v>
      </c>
      <c r="B201" s="15" t="s">
        <v>60</v>
      </c>
      <c r="C201" s="15">
        <f>G170</f>
        <v>2.6187000000000002E-2</v>
      </c>
      <c r="D201" s="15">
        <f>Q170</f>
        <v>6.4000000000000011E-5</v>
      </c>
      <c r="E201" s="15"/>
      <c r="F201" s="15"/>
      <c r="G201" s="15"/>
      <c r="V201" s="3"/>
    </row>
    <row r="202" spans="1:22" x14ac:dyDescent="0.35">
      <c r="A202" s="82" t="s">
        <v>400</v>
      </c>
      <c r="B202" s="15" t="s">
        <v>60</v>
      </c>
      <c r="C202" s="15">
        <f>G171</f>
        <v>0.57699999999999996</v>
      </c>
      <c r="D202" s="15">
        <f>Q171</f>
        <v>1.8064157758141313E-3</v>
      </c>
      <c r="E202" s="15"/>
      <c r="F202" s="15"/>
      <c r="G202" s="15"/>
      <c r="V202" s="3"/>
    </row>
    <row r="203" spans="1:22" x14ac:dyDescent="0.35">
      <c r="A203" s="82" t="s">
        <v>401</v>
      </c>
      <c r="B203" s="15" t="s">
        <v>60</v>
      </c>
      <c r="C203" s="15">
        <f>G172</f>
        <v>0.11700000000000001</v>
      </c>
      <c r="D203" s="15">
        <f>Q172</f>
        <v>1.9909843442125316E-3</v>
      </c>
      <c r="E203" s="15"/>
      <c r="F203" s="15"/>
      <c r="G203" s="15"/>
      <c r="I203" t="s">
        <v>402</v>
      </c>
      <c r="V203" s="3"/>
    </row>
    <row r="204" spans="1:22" x14ac:dyDescent="0.35">
      <c r="A204" s="82" t="s">
        <v>403</v>
      </c>
      <c r="B204" s="15" t="s">
        <v>60</v>
      </c>
      <c r="C204" s="15">
        <f>G174</f>
        <v>1.061E-2</v>
      </c>
      <c r="D204" s="15">
        <f>Q174</f>
        <v>1.7920000000000001E-5</v>
      </c>
      <c r="E204" s="15"/>
      <c r="F204" s="15"/>
      <c r="G204" s="15"/>
      <c r="I204" t="s">
        <v>404</v>
      </c>
      <c r="V204" s="3"/>
    </row>
    <row r="205" spans="1:22" x14ac:dyDescent="0.35">
      <c r="A205" s="82" t="s">
        <v>405</v>
      </c>
      <c r="B205" s="15" t="s">
        <v>60</v>
      </c>
      <c r="C205" s="15">
        <f>G175</f>
        <v>2.9868000000000001</v>
      </c>
      <c r="D205" s="15">
        <f>Q175</f>
        <v>3.049312404923436E-2</v>
      </c>
      <c r="E205" s="15"/>
      <c r="F205" s="15"/>
      <c r="G205" s="15"/>
      <c r="I205" t="s">
        <v>406</v>
      </c>
      <c r="V205" s="3"/>
    </row>
    <row r="206" spans="1:22" x14ac:dyDescent="0.35">
      <c r="A206" s="82" t="s">
        <v>407</v>
      </c>
      <c r="B206" s="15" t="s">
        <v>60</v>
      </c>
      <c r="C206" s="15">
        <f>G162*12</f>
        <v>0.15649200000000002</v>
      </c>
      <c r="D206" s="15">
        <f>Q162*12</f>
        <v>1.2638250254273307E-3</v>
      </c>
      <c r="E206" s="15"/>
      <c r="F206" s="15"/>
      <c r="G206" s="15"/>
      <c r="I206" t="s">
        <v>408</v>
      </c>
      <c r="V206" s="3"/>
    </row>
    <row r="207" spans="1:22" x14ac:dyDescent="0.35">
      <c r="A207" s="82" t="s">
        <v>409</v>
      </c>
      <c r="B207" s="15" t="s">
        <v>42</v>
      </c>
      <c r="C207" s="15">
        <f>G165+G167</f>
        <v>4.1203518000000008</v>
      </c>
      <c r="D207" s="15">
        <f>Q165</f>
        <v>7.1000000000000002E-4</v>
      </c>
      <c r="E207" s="15"/>
      <c r="F207" s="15"/>
      <c r="G207" s="15"/>
      <c r="V207" s="3"/>
    </row>
    <row r="208" spans="1:22" x14ac:dyDescent="0.35">
      <c r="A208" s="172" t="s">
        <v>410</v>
      </c>
      <c r="B208" s="15" t="s">
        <v>42</v>
      </c>
      <c r="C208" s="15">
        <f>SUM(G181:G183)+(3*G159)</f>
        <v>9.503000000000001E-3</v>
      </c>
      <c r="D208" s="15">
        <f>Q159*3</f>
        <v>1.4250264276683302E-5</v>
      </c>
      <c r="E208" s="15"/>
      <c r="F208" s="15"/>
      <c r="G208" s="15"/>
      <c r="I208" t="s">
        <v>411</v>
      </c>
      <c r="V208" s="3"/>
    </row>
    <row r="209" spans="1:22" x14ac:dyDescent="0.35">
      <c r="A209" s="82" t="s">
        <v>412</v>
      </c>
      <c r="B209" s="15" t="s">
        <v>42</v>
      </c>
      <c r="C209" s="15">
        <f>G168</f>
        <v>4.9251E-3</v>
      </c>
      <c r="D209" s="15">
        <f>Q168</f>
        <v>3.0787608005179971E-5</v>
      </c>
      <c r="E209" s="15"/>
      <c r="F209" s="15"/>
      <c r="G209" s="15"/>
      <c r="V209" s="3"/>
    </row>
    <row r="210" spans="1:22" x14ac:dyDescent="0.35">
      <c r="A210" s="172" t="s">
        <v>413</v>
      </c>
      <c r="B210" s="15" t="s">
        <v>42</v>
      </c>
      <c r="C210" s="15">
        <f>G160+G178</f>
        <v>2.1471285E-2</v>
      </c>
      <c r="D210" s="15">
        <f>Q160</f>
        <v>4.1563270806992968E-5</v>
      </c>
      <c r="E210" s="15"/>
      <c r="F210" s="15"/>
      <c r="G210" s="15"/>
      <c r="I210" t="s">
        <v>411</v>
      </c>
      <c r="V210" s="3"/>
    </row>
    <row r="211" spans="1:22" x14ac:dyDescent="0.35">
      <c r="A211" s="172" t="s">
        <v>414</v>
      </c>
      <c r="B211" s="15" t="s">
        <v>42</v>
      </c>
      <c r="C211" s="15">
        <f>G162+G179</f>
        <v>6.7921000000000009E-2</v>
      </c>
      <c r="D211" s="15">
        <f>Q162</f>
        <v>1.0531875211894423E-4</v>
      </c>
      <c r="E211" s="15"/>
      <c r="F211" s="15"/>
      <c r="G211" s="15"/>
      <c r="V211" s="3"/>
    </row>
    <row r="212" spans="1:22" x14ac:dyDescent="0.35">
      <c r="A212" s="172" t="s">
        <v>415</v>
      </c>
      <c r="B212" s="15" t="s">
        <v>42</v>
      </c>
      <c r="C212" s="15">
        <f>G162+G180</f>
        <v>6.7801500000000001E-2</v>
      </c>
      <c r="D212" s="15">
        <f>Q162</f>
        <v>1.0531875211894423E-4</v>
      </c>
      <c r="E212" s="15"/>
      <c r="F212" s="15"/>
      <c r="G212" s="15"/>
      <c r="V212" s="3"/>
    </row>
    <row r="213" spans="1:22" x14ac:dyDescent="0.35">
      <c r="A213" s="172" t="s">
        <v>416</v>
      </c>
      <c r="B213" s="15" t="s">
        <v>42</v>
      </c>
      <c r="C213" s="15">
        <f>G159+G173</f>
        <v>3.1349999999999998E-3</v>
      </c>
      <c r="D213" s="15">
        <f>Q159</f>
        <v>4.7500880922277672E-6</v>
      </c>
      <c r="E213" s="15"/>
      <c r="F213" s="15"/>
      <c r="G213" s="15"/>
      <c r="V213" s="3"/>
    </row>
    <row r="214" spans="1:22" ht="15" customHeight="1" thickBot="1" x14ac:dyDescent="0.4">
      <c r="A214" s="190" t="s">
        <v>417</v>
      </c>
      <c r="B214" s="69" t="s">
        <v>42</v>
      </c>
      <c r="C214" s="69">
        <f>G176+G177</f>
        <v>4.1124999999999998E-3</v>
      </c>
      <c r="D214" s="69">
        <f>Q176</f>
        <v>4.6566257107834723E-6</v>
      </c>
      <c r="E214" s="69"/>
      <c r="F214" s="69"/>
      <c r="G214" s="69"/>
      <c r="H214" s="48"/>
      <c r="I214" s="48" t="s">
        <v>418</v>
      </c>
      <c r="J214" s="48"/>
      <c r="K214" s="48"/>
      <c r="L214" s="48"/>
      <c r="M214" s="48"/>
      <c r="N214" s="48"/>
      <c r="O214" s="48"/>
      <c r="P214" s="48"/>
      <c r="Q214" s="48"/>
      <c r="R214" s="48"/>
      <c r="S214" s="48"/>
      <c r="T214" s="48"/>
      <c r="U214" s="48"/>
      <c r="V214" s="7"/>
    </row>
    <row r="215" spans="1:22" ht="15" customHeight="1" thickBot="1" x14ac:dyDescent="0.4">
      <c r="C215" s="15"/>
    </row>
    <row r="216" spans="1:22" x14ac:dyDescent="0.35">
      <c r="A216" s="269" t="s">
        <v>228</v>
      </c>
      <c r="B216" s="263"/>
      <c r="C216" s="263"/>
      <c r="D216" s="263"/>
      <c r="E216" s="263"/>
      <c r="F216" s="263"/>
      <c r="G216" s="264"/>
    </row>
    <row r="217" spans="1:22" ht="15" customHeight="1" thickBot="1" x14ac:dyDescent="0.4">
      <c r="A217" s="300" t="s">
        <v>211</v>
      </c>
      <c r="B217" s="282" t="s">
        <v>79</v>
      </c>
      <c r="C217" s="282" t="s">
        <v>32</v>
      </c>
      <c r="D217" s="282" t="s">
        <v>33</v>
      </c>
      <c r="E217" s="301" t="s">
        <v>495</v>
      </c>
      <c r="F217" s="301" t="s">
        <v>497</v>
      </c>
      <c r="G217" s="302" t="s">
        <v>34</v>
      </c>
    </row>
    <row r="218" spans="1:22" s="15" customFormat="1" x14ac:dyDescent="0.35">
      <c r="A218" s="82" t="s">
        <v>546</v>
      </c>
      <c r="B218" s="104" t="s">
        <v>60</v>
      </c>
      <c r="C218" s="104">
        <f>B154</f>
        <v>1</v>
      </c>
      <c r="D218" s="104">
        <f>$C218*C193</f>
        <v>412</v>
      </c>
      <c r="E218" s="104">
        <f>$C218*D193</f>
        <v>2</v>
      </c>
      <c r="F218" s="104">
        <f>$C218*E193</f>
        <v>0.20499999999999999</v>
      </c>
      <c r="G218" s="71"/>
    </row>
    <row r="219" spans="1:22" s="15" customFormat="1" x14ac:dyDescent="0.35">
      <c r="A219" s="82" t="s">
        <v>383</v>
      </c>
      <c r="B219" s="15" t="s">
        <v>60</v>
      </c>
      <c r="C219" s="15">
        <v>1</v>
      </c>
      <c r="D219" s="15">
        <f>$C219*C194/Assumptions!$B$5</f>
        <v>21.666666666666668</v>
      </c>
      <c r="E219" s="15">
        <f>$C219*D194/Assumptions!$B$5</f>
        <v>9.7066666666666648E-2</v>
      </c>
      <c r="F219" s="15">
        <f>$C219*E194/Assumptions!$B$5</f>
        <v>0.11666666666666665</v>
      </c>
      <c r="G219" s="105"/>
      <c r="H219" t="s">
        <v>525</v>
      </c>
    </row>
    <row r="220" spans="1:22" s="15" customFormat="1" x14ac:dyDescent="0.35">
      <c r="A220" s="82" t="s">
        <v>393</v>
      </c>
      <c r="B220" s="15" t="s">
        <v>60</v>
      </c>
      <c r="C220" s="15">
        <v>1</v>
      </c>
      <c r="D220" s="15">
        <f>$C220*C195/Assumptions!$B$5</f>
        <v>10</v>
      </c>
      <c r="E220" s="15">
        <f>$C220*D195/Assumptions!$B$5</f>
        <v>4.3305729999999994E-2</v>
      </c>
      <c r="F220" s="15">
        <f>$C220*E195/Assumptions!$B$5</f>
        <v>0.12</v>
      </c>
      <c r="G220" s="105"/>
      <c r="H220" t="s">
        <v>525</v>
      </c>
    </row>
    <row r="221" spans="1:22" s="15" customFormat="1" x14ac:dyDescent="0.35">
      <c r="A221" s="82" t="s">
        <v>394</v>
      </c>
      <c r="B221" s="15" t="s">
        <v>60</v>
      </c>
      <c r="C221" s="15">
        <v>1</v>
      </c>
      <c r="D221" s="15">
        <f>$C221*C196/Assumptions!$B$5</f>
        <v>1.0959939531368101</v>
      </c>
      <c r="E221" s="15">
        <f>$C221*D196/Assumptions!$B$5</f>
        <v>8.5244195962880015E-4</v>
      </c>
      <c r="F221" s="15">
        <f>$C221*E196/Assumptions!$B$5</f>
        <v>7.2450000000000001E-2</v>
      </c>
      <c r="G221" s="105"/>
      <c r="H221" t="s">
        <v>525</v>
      </c>
    </row>
    <row r="222" spans="1:22" s="15" customFormat="1" x14ac:dyDescent="0.35">
      <c r="A222" s="82" t="s">
        <v>395</v>
      </c>
      <c r="B222" s="15" t="s">
        <v>60</v>
      </c>
      <c r="C222" s="15">
        <v>1</v>
      </c>
      <c r="D222" s="15">
        <f>$C222*C197/Assumptions!$B$5</f>
        <v>8</v>
      </c>
      <c r="E222" s="15">
        <f>$C222*D197/Assumptions!$B$5</f>
        <v>2.0212999999999998E-2</v>
      </c>
      <c r="F222" s="15">
        <f>$C222*E197/Assumptions!$B$5</f>
        <v>0.23333333333333331</v>
      </c>
      <c r="G222" s="105"/>
      <c r="H222" t="s">
        <v>525</v>
      </c>
    </row>
    <row r="223" spans="1:22" s="15" customFormat="1" x14ac:dyDescent="0.35">
      <c r="A223" s="82" t="s">
        <v>396</v>
      </c>
      <c r="B223" s="15" t="s">
        <v>60</v>
      </c>
      <c r="C223" s="15">
        <v>1</v>
      </c>
      <c r="D223" s="15">
        <f>$C223*C198/Assumptions!$B$5</f>
        <v>11.946666666666665</v>
      </c>
      <c r="E223" s="15">
        <f>$C223*D198/Assumptions!$B$5</f>
        <v>1.8703599999999997E-2</v>
      </c>
      <c r="F223" s="15">
        <f>$C223*E198/Assumptions!$B$5</f>
        <v>0.15833333333333333</v>
      </c>
      <c r="G223" s="105"/>
      <c r="H223" t="s">
        <v>525</v>
      </c>
    </row>
    <row r="224" spans="1:22" s="15" customFormat="1" x14ac:dyDescent="0.35">
      <c r="A224" s="82" t="s">
        <v>397</v>
      </c>
      <c r="B224" s="15" t="s">
        <v>60</v>
      </c>
      <c r="C224" s="15">
        <v>1</v>
      </c>
      <c r="D224" s="15">
        <f>$C224*C199/Assumptions!$B$5</f>
        <v>0.10166666666666667</v>
      </c>
      <c r="E224" s="15">
        <f>$C224*D199/Assumptions!$B$5</f>
        <v>9.0000000000000006E-5</v>
      </c>
      <c r="G224" s="105"/>
      <c r="H224" t="s">
        <v>525</v>
      </c>
    </row>
    <row r="225" spans="1:38" s="15" customFormat="1" x14ac:dyDescent="0.35">
      <c r="A225" s="82" t="s">
        <v>419</v>
      </c>
      <c r="B225" s="15" t="s">
        <v>60</v>
      </c>
      <c r="C225" s="15">
        <v>2</v>
      </c>
      <c r="D225" s="15">
        <f>$C225*C200/Assumptions!$B$5</f>
        <v>0.21933333333333335</v>
      </c>
      <c r="E225" s="15">
        <f>$C225*D200/Assumptions!$B$5</f>
        <v>1.5833626974092556E-3</v>
      </c>
      <c r="G225" s="105"/>
      <c r="H225" t="s">
        <v>525</v>
      </c>
    </row>
    <row r="226" spans="1:38" s="15" customFormat="1" x14ac:dyDescent="0.35">
      <c r="A226" s="82" t="s">
        <v>420</v>
      </c>
      <c r="B226" s="15" t="s">
        <v>60</v>
      </c>
      <c r="C226" s="15">
        <v>1</v>
      </c>
      <c r="D226" s="15">
        <f>$C226*C201/Assumptions!$B$5</f>
        <v>4.3645000000000003E-3</v>
      </c>
      <c r="E226" s="15">
        <f>$C226*D201/Assumptions!$B$5</f>
        <v>1.0666666666666669E-5</v>
      </c>
      <c r="G226" s="105"/>
      <c r="H226" t="s">
        <v>525</v>
      </c>
    </row>
    <row r="227" spans="1:38" s="15" customFormat="1" x14ac:dyDescent="0.35">
      <c r="A227" s="82" t="s">
        <v>400</v>
      </c>
      <c r="B227" s="15" t="s">
        <v>60</v>
      </c>
      <c r="C227" s="15">
        <v>3</v>
      </c>
      <c r="D227" s="15">
        <f>$C227*C202/Assumptions!$B$5</f>
        <v>0.28849999999999998</v>
      </c>
      <c r="E227" s="15">
        <f>$C227*D202/Assumptions!$B$5</f>
        <v>9.0320788790706564E-4</v>
      </c>
      <c r="G227" s="105"/>
      <c r="H227" t="s">
        <v>525</v>
      </c>
    </row>
    <row r="228" spans="1:38" s="15" customFormat="1" x14ac:dyDescent="0.35">
      <c r="A228" s="82" t="s">
        <v>401</v>
      </c>
      <c r="B228" s="15" t="s">
        <v>60</v>
      </c>
      <c r="C228" s="15">
        <v>1</v>
      </c>
      <c r="D228" s="15">
        <f>$C228*C203/Assumptions!$B$5</f>
        <v>1.95E-2</v>
      </c>
      <c r="E228" s="15">
        <f>$C228*D203/Assumptions!$B$5</f>
        <v>3.3183072403542192E-4</v>
      </c>
      <c r="G228" s="105"/>
      <c r="H228" t="s">
        <v>525</v>
      </c>
    </row>
    <row r="229" spans="1:38" s="15" customFormat="1" x14ac:dyDescent="0.35">
      <c r="A229" s="82" t="s">
        <v>403</v>
      </c>
      <c r="B229" s="15" t="s">
        <v>60</v>
      </c>
      <c r="C229" s="15">
        <v>1</v>
      </c>
      <c r="D229" s="15">
        <f>$C229*C204/Assumptions!$B$5</f>
        <v>1.7683333333333333E-3</v>
      </c>
      <c r="E229" s="15">
        <f>$C229*D204/Assumptions!$B$5</f>
        <v>2.9866666666666667E-6</v>
      </c>
      <c r="G229" s="105"/>
      <c r="H229" t="s">
        <v>525</v>
      </c>
    </row>
    <row r="230" spans="1:38" s="15" customFormat="1" x14ac:dyDescent="0.35">
      <c r="A230" s="82" t="s">
        <v>405</v>
      </c>
      <c r="B230" s="15" t="s">
        <v>60</v>
      </c>
      <c r="C230" s="15">
        <v>1</v>
      </c>
      <c r="D230" s="15">
        <f>$C230*C205/Assumptions!$B$5</f>
        <v>0.49780000000000002</v>
      </c>
      <c r="E230" s="15">
        <f>$C230*D205/Assumptions!$B$5</f>
        <v>5.0821873415390602E-3</v>
      </c>
      <c r="G230" s="105"/>
      <c r="H230" t="s">
        <v>525</v>
      </c>
    </row>
    <row r="231" spans="1:38" s="15" customFormat="1" x14ac:dyDescent="0.35">
      <c r="A231" s="82" t="s">
        <v>421</v>
      </c>
      <c r="B231" s="15" t="s">
        <v>60</v>
      </c>
      <c r="C231" s="15">
        <v>12</v>
      </c>
      <c r="D231" s="15">
        <f>$C231*C206/Assumptions!$B$5</f>
        <v>0.31298400000000004</v>
      </c>
      <c r="E231" s="15">
        <f>$C231*D206/Assumptions!$B$5</f>
        <v>2.5276500508546614E-3</v>
      </c>
      <c r="G231" s="105"/>
      <c r="H231" t="s">
        <v>525</v>
      </c>
    </row>
    <row r="232" spans="1:38" s="15" customFormat="1" x14ac:dyDescent="0.35">
      <c r="A232" s="82" t="s">
        <v>422</v>
      </c>
      <c r="B232" s="15" t="s">
        <v>60</v>
      </c>
      <c r="C232" s="15">
        <v>1</v>
      </c>
      <c r="D232" s="15">
        <f>7.5/Assumptions!$B$5</f>
        <v>1.25</v>
      </c>
      <c r="E232" s="15">
        <f>0.029700714/Assumptions!$B$5</f>
        <v>4.9501190000000002E-3</v>
      </c>
      <c r="F232" s="15">
        <f>0.0022/Assumptions!$B$5</f>
        <v>3.6666666666666667E-4</v>
      </c>
      <c r="G232" s="105"/>
      <c r="H232" t="s">
        <v>525</v>
      </c>
    </row>
    <row r="233" spans="1:38" x14ac:dyDescent="0.35">
      <c r="A233" s="82" t="s">
        <v>423</v>
      </c>
      <c r="B233" s="15" t="s">
        <v>42</v>
      </c>
      <c r="C233" s="15">
        <f>B155</f>
        <v>1</v>
      </c>
      <c r="D233" s="15">
        <f>B141+(C233*G165)</f>
        <v>7.7601800000000012E-2</v>
      </c>
      <c r="E233" s="15">
        <f>Q165*C233</f>
        <v>7.1000000000000002E-4</v>
      </c>
      <c r="F233" s="15"/>
      <c r="G233" s="105">
        <f>((B105+B107+B109+B111+(B113*B18))*B103)*B80</f>
        <v>344</v>
      </c>
      <c r="H233" s="15"/>
      <c r="I233" s="15"/>
      <c r="J233" s="15"/>
      <c r="K233" s="15"/>
      <c r="L233" s="15"/>
      <c r="M233" s="15"/>
      <c r="N233" s="15"/>
      <c r="O233" s="15"/>
      <c r="P233" s="15"/>
      <c r="Q233" s="15"/>
      <c r="R233" s="15"/>
      <c r="S233" s="15"/>
      <c r="T233" s="15"/>
      <c r="U233" s="15"/>
      <c r="V233" s="15"/>
      <c r="W233" s="15"/>
      <c r="X233" s="15"/>
      <c r="Y233" s="15"/>
      <c r="Z233" s="15"/>
      <c r="AA233" s="15"/>
      <c r="AB233" s="15"/>
      <c r="AC233" s="15"/>
      <c r="AD233" s="15"/>
      <c r="AE233" s="15"/>
      <c r="AF233" s="15"/>
      <c r="AG233" s="15"/>
      <c r="AH233" s="15"/>
      <c r="AI233" s="15"/>
      <c r="AJ233" s="15"/>
      <c r="AK233" s="15"/>
      <c r="AL233" s="15"/>
    </row>
    <row r="234" spans="1:38" x14ac:dyDescent="0.35">
      <c r="A234" s="82" t="s">
        <v>412</v>
      </c>
      <c r="B234" s="15" t="s">
        <v>42</v>
      </c>
      <c r="C234" s="15">
        <f>B144</f>
        <v>172</v>
      </c>
      <c r="D234" s="15">
        <f>C234*C209</f>
        <v>0.84711720000000001</v>
      </c>
      <c r="E234" s="15">
        <f>D209*C234</f>
        <v>5.2954685768909554E-3</v>
      </c>
      <c r="F234" s="15"/>
      <c r="G234" s="105"/>
      <c r="H234" s="15"/>
      <c r="I234" s="15"/>
      <c r="J234" s="15"/>
      <c r="K234" s="15"/>
      <c r="L234" s="15"/>
      <c r="M234" s="15"/>
      <c r="N234" s="15"/>
      <c r="O234" s="15"/>
      <c r="P234" s="15"/>
      <c r="Q234" s="15"/>
      <c r="R234" s="15"/>
      <c r="S234" s="15"/>
      <c r="T234" s="15"/>
      <c r="U234" s="15"/>
      <c r="V234" s="15"/>
      <c r="W234" s="15"/>
      <c r="X234" s="15"/>
      <c r="Y234" s="15"/>
      <c r="Z234" s="15"/>
      <c r="AA234" s="15"/>
      <c r="AB234" s="15"/>
      <c r="AC234" s="15"/>
      <c r="AD234" s="15"/>
      <c r="AE234" s="15"/>
      <c r="AF234" s="15"/>
      <c r="AG234" s="15"/>
      <c r="AH234" s="15"/>
      <c r="AI234" s="15"/>
      <c r="AJ234" s="15"/>
      <c r="AK234" s="15"/>
      <c r="AL234" s="15"/>
    </row>
    <row r="235" spans="1:38" x14ac:dyDescent="0.35">
      <c r="A235" s="82" t="s">
        <v>424</v>
      </c>
      <c r="B235" s="15" t="s">
        <v>42</v>
      </c>
      <c r="C235" s="15">
        <f>$B$143</f>
        <v>2</v>
      </c>
      <c r="D235" s="15">
        <f>C235*G181</f>
        <v>4.2000000000000006E-3</v>
      </c>
      <c r="E235" s="15">
        <f>$D$208*C235</f>
        <v>2.8500528553366603E-5</v>
      </c>
      <c r="F235" s="15"/>
      <c r="G235" s="105"/>
      <c r="H235" s="15"/>
      <c r="I235" s="15"/>
      <c r="J235" s="15"/>
      <c r="K235" s="15"/>
      <c r="L235" s="15"/>
      <c r="M235" s="15"/>
      <c r="N235" s="15"/>
      <c r="O235" s="15"/>
      <c r="P235" s="15"/>
      <c r="Q235" s="15"/>
      <c r="R235" s="15"/>
      <c r="S235" s="15"/>
      <c r="T235" s="15"/>
      <c r="U235" s="15"/>
      <c r="V235" s="15"/>
      <c r="W235" s="15"/>
      <c r="X235" s="15"/>
      <c r="Y235" s="15"/>
      <c r="Z235" s="15"/>
      <c r="AA235" s="15"/>
      <c r="AB235" s="15"/>
      <c r="AC235" s="15"/>
      <c r="AD235" s="15"/>
      <c r="AE235" s="15"/>
      <c r="AF235" s="15"/>
      <c r="AG235" s="15"/>
      <c r="AH235" s="15"/>
      <c r="AI235" s="15"/>
      <c r="AJ235" s="15"/>
      <c r="AK235" s="15"/>
      <c r="AL235" s="15"/>
    </row>
    <row r="236" spans="1:38" x14ac:dyDescent="0.35">
      <c r="A236" s="82" t="s">
        <v>425</v>
      </c>
      <c r="B236" s="15" t="s">
        <v>42</v>
      </c>
      <c r="C236" s="15">
        <f>$B$143</f>
        <v>2</v>
      </c>
      <c r="D236" s="15">
        <f>C236*G182</f>
        <v>4.0400000000000002E-3</v>
      </c>
      <c r="E236" s="15">
        <f>$D$208*C236</f>
        <v>2.8500528553366603E-5</v>
      </c>
      <c r="F236" s="15"/>
      <c r="G236" s="105"/>
      <c r="H236" s="15"/>
      <c r="I236" s="15"/>
      <c r="J236" s="15"/>
      <c r="K236" s="15"/>
      <c r="L236" s="15"/>
      <c r="M236" s="15"/>
      <c r="N236" s="15"/>
      <c r="O236" s="15"/>
      <c r="P236" s="15"/>
      <c r="Q236" s="15"/>
      <c r="R236" s="15"/>
      <c r="S236" s="15"/>
      <c r="T236" s="15"/>
      <c r="U236" s="15"/>
      <c r="V236" s="15"/>
      <c r="W236" s="15"/>
      <c r="X236" s="15"/>
      <c r="Y236" s="15"/>
      <c r="Z236" s="15"/>
      <c r="AA236" s="15"/>
      <c r="AB236" s="15"/>
      <c r="AC236" s="15"/>
      <c r="AD236" s="15"/>
      <c r="AE236" s="15"/>
      <c r="AF236" s="15"/>
      <c r="AG236" s="15"/>
      <c r="AH236" s="15"/>
      <c r="AI236" s="15"/>
      <c r="AJ236" s="15"/>
      <c r="AK236" s="15"/>
      <c r="AL236" s="15"/>
    </row>
    <row r="237" spans="1:38" x14ac:dyDescent="0.35">
      <c r="A237" s="82" t="s">
        <v>426</v>
      </c>
      <c r="B237" s="15" t="s">
        <v>42</v>
      </c>
      <c r="C237" s="15">
        <f>$B$143</f>
        <v>2</v>
      </c>
      <c r="D237" s="15">
        <f>C237*G183</f>
        <v>4.0400000000000002E-3</v>
      </c>
      <c r="E237" s="15">
        <f>$D$208*C237</f>
        <v>2.8500528553366603E-5</v>
      </c>
      <c r="F237" s="15"/>
      <c r="G237" s="105"/>
      <c r="H237" s="15"/>
      <c r="I237" s="15"/>
      <c r="J237" s="15"/>
      <c r="K237" s="15"/>
      <c r="L237" s="15"/>
      <c r="M237" s="15"/>
      <c r="N237" s="15"/>
      <c r="O237" s="15"/>
      <c r="P237" s="15"/>
      <c r="Q237" s="15"/>
      <c r="R237" s="15"/>
      <c r="S237" s="15"/>
      <c r="T237" s="15"/>
      <c r="U237" s="15"/>
      <c r="V237" s="15"/>
      <c r="W237" s="15"/>
      <c r="X237" s="15"/>
      <c r="Y237" s="15"/>
      <c r="Z237" s="15"/>
      <c r="AA237" s="15"/>
      <c r="AB237" s="15"/>
      <c r="AC237" s="15"/>
      <c r="AD237" s="15"/>
      <c r="AE237" s="15"/>
      <c r="AF237" s="15"/>
      <c r="AG237" s="15"/>
      <c r="AH237" s="15"/>
      <c r="AI237" s="15"/>
      <c r="AJ237" s="15"/>
      <c r="AK237" s="15"/>
      <c r="AL237" s="15"/>
    </row>
    <row r="238" spans="1:38" x14ac:dyDescent="0.35">
      <c r="A238" s="172" t="s">
        <v>413</v>
      </c>
      <c r="B238" s="15" t="s">
        <v>42</v>
      </c>
      <c r="C238" s="15">
        <f>B149</f>
        <v>1</v>
      </c>
      <c r="D238" s="15">
        <f>C238*C210</f>
        <v>2.1471285E-2</v>
      </c>
      <c r="E238" s="15">
        <f>D210*C238</f>
        <v>4.1563270806992968E-5</v>
      </c>
      <c r="F238" s="15"/>
      <c r="G238" s="105"/>
      <c r="H238" s="15"/>
      <c r="I238" s="15"/>
      <c r="J238" s="15"/>
      <c r="K238" s="15"/>
      <c r="L238" s="15"/>
      <c r="M238" s="15"/>
      <c r="N238" s="15"/>
      <c r="O238" s="15"/>
      <c r="P238" s="15"/>
      <c r="Q238" s="15"/>
      <c r="R238" s="15"/>
      <c r="S238" s="15"/>
      <c r="T238" s="15"/>
      <c r="U238" s="15"/>
      <c r="V238" s="15"/>
      <c r="W238" s="15"/>
      <c r="X238" s="15"/>
      <c r="Y238" s="15"/>
      <c r="Z238" s="15"/>
      <c r="AA238" s="15"/>
      <c r="AB238" s="15"/>
      <c r="AC238" s="15"/>
      <c r="AD238" s="15"/>
      <c r="AE238" s="15"/>
      <c r="AF238" s="15"/>
      <c r="AG238" s="15"/>
      <c r="AH238" s="15"/>
      <c r="AI238" s="15"/>
      <c r="AJ238" s="15"/>
      <c r="AK238" s="15"/>
      <c r="AL238" s="15"/>
    </row>
    <row r="239" spans="1:38" x14ac:dyDescent="0.35">
      <c r="A239" s="172" t="s">
        <v>414</v>
      </c>
      <c r="B239" s="15" t="s">
        <v>42</v>
      </c>
      <c r="C239" s="15">
        <f>B150</f>
        <v>2</v>
      </c>
      <c r="D239" s="15">
        <f>C239*C211</f>
        <v>0.13584200000000002</v>
      </c>
      <c r="E239" s="15">
        <f>D211*C239</f>
        <v>2.1063750423788846E-4</v>
      </c>
      <c r="F239" s="15"/>
      <c r="G239" s="105"/>
      <c r="H239" s="15"/>
      <c r="I239" s="15"/>
      <c r="J239" s="15"/>
      <c r="K239" s="15"/>
      <c r="L239" s="15"/>
      <c r="M239" s="15"/>
      <c r="N239" s="15"/>
      <c r="O239" s="15"/>
      <c r="P239" s="15"/>
      <c r="Q239" s="15"/>
      <c r="R239" s="15"/>
      <c r="S239" s="15"/>
      <c r="T239" s="15"/>
      <c r="U239" s="15"/>
      <c r="V239" s="15"/>
      <c r="W239" s="15"/>
      <c r="X239" s="15"/>
      <c r="Y239" s="15"/>
      <c r="Z239" s="15"/>
      <c r="AA239" s="15"/>
      <c r="AB239" s="15"/>
      <c r="AC239" s="15"/>
      <c r="AD239" s="15"/>
      <c r="AE239" s="15"/>
      <c r="AF239" s="15"/>
      <c r="AG239" s="15"/>
      <c r="AH239" s="15"/>
      <c r="AI239" s="15"/>
      <c r="AJ239" s="15"/>
      <c r="AK239" s="15"/>
      <c r="AL239" s="15"/>
    </row>
    <row r="240" spans="1:38" x14ac:dyDescent="0.35">
      <c r="A240" s="172" t="s">
        <v>415</v>
      </c>
      <c r="B240" s="15" t="s">
        <v>42</v>
      </c>
      <c r="C240" s="15">
        <f>B151</f>
        <v>4</v>
      </c>
      <c r="D240" s="15">
        <f>C240*C212</f>
        <v>0.271206</v>
      </c>
      <c r="E240" s="15">
        <f>D212*C240</f>
        <v>4.2127500847577692E-4</v>
      </c>
      <c r="F240" s="15"/>
      <c r="G240" s="105"/>
      <c r="H240" s="15"/>
      <c r="I240" s="15"/>
      <c r="J240" s="15"/>
      <c r="K240" s="15"/>
      <c r="L240" s="15"/>
      <c r="M240" s="15"/>
      <c r="N240" s="15"/>
      <c r="O240" s="15"/>
      <c r="P240" s="15"/>
      <c r="Q240" s="15"/>
      <c r="R240" s="15"/>
      <c r="S240" s="15"/>
      <c r="T240" s="15"/>
      <c r="U240" s="15"/>
      <c r="V240" s="15"/>
      <c r="W240" s="15"/>
      <c r="X240" s="15"/>
      <c r="Y240" s="15"/>
      <c r="Z240" s="15"/>
      <c r="AA240" s="15"/>
      <c r="AB240" s="15"/>
      <c r="AC240" s="15"/>
      <c r="AD240" s="15"/>
      <c r="AE240" s="15"/>
      <c r="AF240" s="15"/>
      <c r="AG240" s="15"/>
      <c r="AH240" s="15"/>
      <c r="AI240" s="15"/>
      <c r="AJ240" s="15"/>
      <c r="AK240" s="15"/>
      <c r="AL240" s="15"/>
    </row>
    <row r="241" spans="1:38" x14ac:dyDescent="0.35">
      <c r="A241" s="172" t="s">
        <v>416</v>
      </c>
      <c r="B241" s="15" t="s">
        <v>42</v>
      </c>
      <c r="C241" s="15">
        <f>B152</f>
        <v>1</v>
      </c>
      <c r="D241" s="15">
        <f>C241*C213</f>
        <v>3.1349999999999998E-3</v>
      </c>
      <c r="E241" s="15">
        <f>D213*C241</f>
        <v>4.7500880922277672E-6</v>
      </c>
      <c r="F241" s="15"/>
      <c r="G241" s="105"/>
      <c r="H241" s="15"/>
      <c r="I241" s="15"/>
      <c r="J241" s="15"/>
      <c r="K241" s="15"/>
      <c r="L241" s="15"/>
      <c r="M241" s="15"/>
      <c r="N241" s="15"/>
      <c r="O241" s="15"/>
      <c r="P241" s="15"/>
      <c r="Q241" s="15"/>
      <c r="R241" s="15"/>
      <c r="S241" s="15"/>
      <c r="T241" s="15"/>
      <c r="U241" s="15"/>
      <c r="V241" s="15"/>
      <c r="W241" s="15"/>
      <c r="X241" s="15"/>
      <c r="Y241" s="15"/>
      <c r="Z241" s="15"/>
      <c r="AA241" s="15"/>
      <c r="AB241" s="15"/>
      <c r="AC241" s="15"/>
      <c r="AD241" s="15"/>
      <c r="AE241" s="15"/>
      <c r="AF241" s="15"/>
      <c r="AG241" s="15"/>
      <c r="AH241" s="15"/>
      <c r="AI241" s="15"/>
      <c r="AJ241" s="15"/>
      <c r="AK241" s="15"/>
      <c r="AL241" s="15"/>
    </row>
    <row r="242" spans="1:38" x14ac:dyDescent="0.35">
      <c r="A242" s="172" t="s">
        <v>417</v>
      </c>
      <c r="B242" s="15" t="s">
        <v>42</v>
      </c>
      <c r="C242" s="15">
        <v>2</v>
      </c>
      <c r="D242" s="15">
        <f>C242*C214</f>
        <v>8.2249999999999997E-3</v>
      </c>
      <c r="E242" s="15">
        <f>D214*C242</f>
        <v>9.3132514215669447E-6</v>
      </c>
      <c r="F242" s="15"/>
      <c r="G242" s="105"/>
      <c r="H242" s="15"/>
      <c r="I242" s="15"/>
      <c r="J242" s="15"/>
      <c r="K242" s="15"/>
      <c r="L242" s="15"/>
      <c r="M242" s="15"/>
      <c r="N242" s="15"/>
      <c r="O242" s="15"/>
      <c r="P242" s="15"/>
      <c r="Q242" s="15"/>
      <c r="R242" s="15"/>
      <c r="S242" s="15"/>
      <c r="T242" s="15"/>
      <c r="U242" s="15"/>
      <c r="V242" s="15"/>
      <c r="W242" s="15"/>
      <c r="X242" s="15"/>
      <c r="Y242" s="15"/>
      <c r="Z242" s="15"/>
      <c r="AA242" s="15"/>
      <c r="AB242" s="15"/>
      <c r="AC242" s="15"/>
      <c r="AD242" s="15"/>
      <c r="AE242" s="15"/>
      <c r="AF242" s="15"/>
      <c r="AG242" s="15"/>
      <c r="AH242" s="15"/>
      <c r="AI242" s="15"/>
      <c r="AJ242" s="15"/>
      <c r="AK242" s="15"/>
      <c r="AL242" s="15"/>
    </row>
    <row r="243" spans="1:38" x14ac:dyDescent="0.35">
      <c r="A243" s="169" t="s">
        <v>44</v>
      </c>
      <c r="B243" s="15" t="s">
        <v>42</v>
      </c>
      <c r="C243" s="15"/>
      <c r="D243" s="15">
        <f>B82*E243</f>
        <v>11.3391</v>
      </c>
      <c r="E243" s="15">
        <f>B153/B83</f>
        <v>1.13391E-2</v>
      </c>
      <c r="F243" s="15"/>
      <c r="G243" s="105"/>
      <c r="H243" s="15"/>
      <c r="I243" s="15"/>
      <c r="J243" s="15"/>
      <c r="K243" s="15"/>
      <c r="L243" s="15"/>
      <c r="M243" s="15"/>
      <c r="N243" s="15"/>
      <c r="O243" s="15"/>
      <c r="P243" s="15"/>
      <c r="Q243" s="15"/>
      <c r="R243" s="15"/>
      <c r="S243" s="15"/>
      <c r="T243" s="15"/>
      <c r="U243" s="15"/>
      <c r="V243" s="15"/>
      <c r="W243" s="15"/>
      <c r="X243" s="15"/>
      <c r="Y243" s="15"/>
      <c r="Z243" s="15"/>
      <c r="AA243" s="15"/>
      <c r="AB243" s="15"/>
      <c r="AC243" s="15"/>
      <c r="AD243" s="15"/>
      <c r="AE243" s="15"/>
      <c r="AF243" s="15"/>
      <c r="AG243" s="15"/>
      <c r="AH243" s="15"/>
      <c r="AI243" s="15"/>
      <c r="AJ243" s="15"/>
      <c r="AK243" s="15"/>
      <c r="AL243" s="15"/>
    </row>
    <row r="244" spans="1:38" x14ac:dyDescent="0.35">
      <c r="A244" s="82" t="s">
        <v>423</v>
      </c>
      <c r="B244" s="15" t="s">
        <v>56</v>
      </c>
      <c r="C244" s="15">
        <f t="shared" ref="C244:E253" si="8">C233</f>
        <v>1</v>
      </c>
      <c r="D244" s="15">
        <f t="shared" si="8"/>
        <v>7.7601800000000012E-2</v>
      </c>
      <c r="E244" s="15">
        <f t="shared" si="8"/>
        <v>7.1000000000000002E-4</v>
      </c>
      <c r="F244" s="15"/>
      <c r="G244" s="105"/>
      <c r="H244" s="15"/>
      <c r="I244" s="15"/>
      <c r="J244" s="15"/>
      <c r="K244" s="15"/>
      <c r="L244" s="15"/>
      <c r="M244" s="15"/>
      <c r="N244" s="15"/>
      <c r="O244" s="15"/>
      <c r="P244" s="15"/>
      <c r="Q244" s="15"/>
      <c r="R244" s="15"/>
      <c r="S244" s="15"/>
      <c r="T244" s="15"/>
      <c r="U244" s="15"/>
      <c r="V244" s="15"/>
      <c r="W244" s="15"/>
      <c r="X244" s="15"/>
      <c r="Y244" s="15"/>
      <c r="Z244" s="15"/>
      <c r="AA244" s="15"/>
      <c r="AB244" s="15"/>
      <c r="AC244" s="15"/>
      <c r="AD244" s="15"/>
      <c r="AE244" s="15"/>
      <c r="AF244" s="15"/>
      <c r="AG244" s="15"/>
      <c r="AH244" s="15"/>
      <c r="AI244" s="15"/>
      <c r="AJ244" s="15"/>
      <c r="AK244" s="15"/>
      <c r="AL244" s="15"/>
    </row>
    <row r="245" spans="1:38" x14ac:dyDescent="0.35">
      <c r="A245" s="82" t="s">
        <v>412</v>
      </c>
      <c r="B245" s="15" t="s">
        <v>56</v>
      </c>
      <c r="C245" s="15">
        <f t="shared" si="8"/>
        <v>172</v>
      </c>
      <c r="D245" s="15">
        <f t="shared" si="8"/>
        <v>0.84711720000000001</v>
      </c>
      <c r="E245" s="15">
        <f t="shared" si="8"/>
        <v>5.2954685768909554E-3</v>
      </c>
      <c r="F245" s="15"/>
      <c r="G245" s="105"/>
      <c r="H245" s="15"/>
      <c r="I245" s="15"/>
      <c r="J245" s="15"/>
      <c r="K245" s="15"/>
      <c r="L245" s="15"/>
      <c r="M245" s="15"/>
      <c r="N245" s="15"/>
      <c r="O245" s="15"/>
      <c r="P245" s="15"/>
      <c r="Q245" s="15"/>
      <c r="R245" s="15"/>
      <c r="S245" s="15"/>
      <c r="T245" s="15"/>
      <c r="U245" s="15"/>
      <c r="V245" s="15"/>
      <c r="W245" s="15"/>
      <c r="X245" s="15"/>
      <c r="Y245" s="15"/>
      <c r="Z245" s="15"/>
      <c r="AA245" s="15"/>
      <c r="AB245" s="15"/>
      <c r="AC245" s="15"/>
      <c r="AD245" s="15"/>
      <c r="AE245" s="15"/>
      <c r="AF245" s="15"/>
      <c r="AG245" s="15"/>
      <c r="AH245" s="15"/>
      <c r="AI245" s="15"/>
      <c r="AJ245" s="15"/>
      <c r="AK245" s="15"/>
      <c r="AL245" s="15"/>
    </row>
    <row r="246" spans="1:38" x14ac:dyDescent="0.35">
      <c r="A246" s="82" t="s">
        <v>424</v>
      </c>
      <c r="B246" s="15" t="s">
        <v>56</v>
      </c>
      <c r="C246" s="15">
        <f t="shared" si="8"/>
        <v>2</v>
      </c>
      <c r="D246" s="15">
        <f t="shared" si="8"/>
        <v>4.2000000000000006E-3</v>
      </c>
      <c r="E246" s="15">
        <f t="shared" si="8"/>
        <v>2.8500528553366603E-5</v>
      </c>
      <c r="F246" s="15"/>
      <c r="G246" s="105"/>
      <c r="H246" s="15"/>
      <c r="I246" s="15"/>
      <c r="J246" s="15"/>
      <c r="K246" s="15"/>
      <c r="L246" s="15"/>
      <c r="M246" s="15"/>
      <c r="N246" s="15"/>
      <c r="O246" s="15"/>
      <c r="P246" s="15"/>
      <c r="Q246" s="15"/>
      <c r="R246" s="15"/>
      <c r="S246" s="15"/>
      <c r="T246" s="15"/>
      <c r="U246" s="15"/>
      <c r="V246" s="15"/>
      <c r="W246" s="15"/>
      <c r="X246" s="15"/>
      <c r="Y246" s="15"/>
      <c r="Z246" s="15"/>
      <c r="AA246" s="15"/>
      <c r="AB246" s="15"/>
      <c r="AC246" s="15"/>
      <c r="AD246" s="15"/>
      <c r="AE246" s="15"/>
      <c r="AF246" s="15"/>
      <c r="AG246" s="15"/>
      <c r="AH246" s="15"/>
      <c r="AI246" s="15"/>
      <c r="AJ246" s="15"/>
      <c r="AK246" s="15"/>
      <c r="AL246" s="15"/>
    </row>
    <row r="247" spans="1:38" x14ac:dyDescent="0.35">
      <c r="A247" s="82" t="s">
        <v>425</v>
      </c>
      <c r="B247" s="15" t="s">
        <v>56</v>
      </c>
      <c r="C247" s="15">
        <f t="shared" si="8"/>
        <v>2</v>
      </c>
      <c r="D247" s="15">
        <f t="shared" si="8"/>
        <v>4.0400000000000002E-3</v>
      </c>
      <c r="E247" s="15">
        <f t="shared" si="8"/>
        <v>2.8500528553366603E-5</v>
      </c>
      <c r="F247" s="15"/>
      <c r="G247" s="105"/>
      <c r="H247" s="15"/>
      <c r="I247" s="15"/>
      <c r="J247" s="15"/>
      <c r="K247" s="15"/>
      <c r="L247" s="15"/>
      <c r="M247" s="15"/>
      <c r="N247" s="15"/>
      <c r="O247" s="15"/>
      <c r="P247" s="15"/>
      <c r="Q247" s="15"/>
      <c r="R247" s="15"/>
      <c r="S247" s="15"/>
      <c r="T247" s="15"/>
      <c r="U247" s="15"/>
      <c r="V247" s="15"/>
      <c r="W247" s="15"/>
      <c r="X247" s="15"/>
      <c r="Y247" s="15"/>
      <c r="Z247" s="15"/>
      <c r="AA247" s="15"/>
      <c r="AB247" s="15"/>
      <c r="AC247" s="15"/>
      <c r="AD247" s="15"/>
      <c r="AE247" s="15"/>
      <c r="AF247" s="15"/>
      <c r="AG247" s="15"/>
      <c r="AH247" s="15"/>
      <c r="AI247" s="15"/>
      <c r="AJ247" s="15"/>
      <c r="AK247" s="15"/>
      <c r="AL247" s="15"/>
    </row>
    <row r="248" spans="1:38" x14ac:dyDescent="0.35">
      <c r="A248" s="82" t="s">
        <v>426</v>
      </c>
      <c r="B248" s="15" t="s">
        <v>56</v>
      </c>
      <c r="C248" s="15">
        <f t="shared" si="8"/>
        <v>2</v>
      </c>
      <c r="D248" s="15">
        <f t="shared" si="8"/>
        <v>4.0400000000000002E-3</v>
      </c>
      <c r="E248" s="15">
        <f t="shared" si="8"/>
        <v>2.8500528553366603E-5</v>
      </c>
      <c r="F248" s="15"/>
      <c r="G248" s="105"/>
      <c r="H248" s="15"/>
      <c r="I248" s="15"/>
      <c r="J248" s="15"/>
      <c r="K248" s="15"/>
      <c r="L248" s="15"/>
      <c r="M248" s="15"/>
      <c r="N248" s="15"/>
      <c r="O248" s="15"/>
      <c r="P248" s="15"/>
      <c r="Q248" s="15"/>
      <c r="R248" s="15"/>
      <c r="S248" s="15"/>
      <c r="T248" s="15"/>
      <c r="U248" s="15"/>
      <c r="V248" s="15"/>
      <c r="W248" s="15"/>
      <c r="X248" s="15"/>
      <c r="Y248" s="15"/>
      <c r="Z248" s="15"/>
      <c r="AA248" s="15"/>
      <c r="AB248" s="15"/>
      <c r="AC248" s="15"/>
      <c r="AD248" s="15"/>
      <c r="AE248" s="15"/>
      <c r="AF248" s="15"/>
      <c r="AG248" s="15"/>
      <c r="AH248" s="15"/>
      <c r="AI248" s="15"/>
      <c r="AJ248" s="15"/>
      <c r="AK248" s="15"/>
      <c r="AL248" s="15"/>
    </row>
    <row r="249" spans="1:38" x14ac:dyDescent="0.35">
      <c r="A249" s="82" t="s">
        <v>413</v>
      </c>
      <c r="B249" s="15" t="s">
        <v>56</v>
      </c>
      <c r="C249" s="15">
        <f t="shared" si="8"/>
        <v>1</v>
      </c>
      <c r="D249" s="15">
        <f t="shared" si="8"/>
        <v>2.1471285E-2</v>
      </c>
      <c r="E249" s="15">
        <f t="shared" si="8"/>
        <v>4.1563270806992968E-5</v>
      </c>
      <c r="F249" s="15"/>
      <c r="G249" s="105"/>
      <c r="H249" s="15"/>
      <c r="I249" s="15"/>
      <c r="J249" s="15"/>
      <c r="K249" s="15"/>
      <c r="L249" s="15"/>
      <c r="M249" s="15"/>
      <c r="N249" s="15"/>
      <c r="O249" s="15"/>
      <c r="P249" s="15"/>
      <c r="Q249" s="15"/>
      <c r="R249" s="15"/>
      <c r="S249" s="15"/>
      <c r="T249" s="15"/>
      <c r="U249" s="15"/>
      <c r="V249" s="15"/>
      <c r="W249" s="15"/>
      <c r="X249" s="15"/>
      <c r="Y249" s="15"/>
      <c r="Z249" s="15"/>
      <c r="AA249" s="15"/>
      <c r="AB249" s="15"/>
      <c r="AC249" s="15"/>
      <c r="AD249" s="15"/>
      <c r="AE249" s="15"/>
      <c r="AF249" s="15"/>
      <c r="AG249" s="15"/>
      <c r="AH249" s="15"/>
      <c r="AI249" s="15"/>
      <c r="AJ249" s="15"/>
      <c r="AK249" s="15"/>
      <c r="AL249" s="15"/>
    </row>
    <row r="250" spans="1:38" x14ac:dyDescent="0.35">
      <c r="A250" s="82" t="s">
        <v>414</v>
      </c>
      <c r="B250" s="15" t="s">
        <v>56</v>
      </c>
      <c r="C250" s="15">
        <f t="shared" si="8"/>
        <v>2</v>
      </c>
      <c r="D250" s="15">
        <f t="shared" si="8"/>
        <v>0.13584200000000002</v>
      </c>
      <c r="E250" s="15">
        <f t="shared" si="8"/>
        <v>2.1063750423788846E-4</v>
      </c>
      <c r="F250" s="15"/>
      <c r="G250" s="105"/>
      <c r="H250" s="15"/>
      <c r="I250" s="15"/>
      <c r="J250" s="15"/>
      <c r="K250" s="15"/>
      <c r="L250" s="15"/>
      <c r="M250" s="15"/>
      <c r="N250" s="15"/>
      <c r="O250" s="15"/>
      <c r="P250" s="15"/>
      <c r="Q250" s="15"/>
      <c r="R250" s="15"/>
      <c r="S250" s="15"/>
      <c r="T250" s="15"/>
      <c r="U250" s="15"/>
      <c r="V250" s="15"/>
      <c r="W250" s="15"/>
      <c r="X250" s="15"/>
      <c r="Y250" s="15"/>
      <c r="Z250" s="15"/>
      <c r="AA250" s="15"/>
      <c r="AB250" s="15"/>
      <c r="AC250" s="15"/>
      <c r="AD250" s="15"/>
      <c r="AE250" s="15"/>
      <c r="AF250" s="15"/>
      <c r="AG250" s="15"/>
      <c r="AH250" s="15"/>
      <c r="AI250" s="15"/>
      <c r="AJ250" s="15"/>
      <c r="AK250" s="15"/>
      <c r="AL250" s="15"/>
    </row>
    <row r="251" spans="1:38" x14ac:dyDescent="0.35">
      <c r="A251" s="82" t="s">
        <v>415</v>
      </c>
      <c r="B251" s="15" t="s">
        <v>56</v>
      </c>
      <c r="C251" s="15">
        <f t="shared" si="8"/>
        <v>4</v>
      </c>
      <c r="D251" s="15">
        <f t="shared" si="8"/>
        <v>0.271206</v>
      </c>
      <c r="E251" s="15">
        <f t="shared" si="8"/>
        <v>4.2127500847577692E-4</v>
      </c>
      <c r="F251" s="15"/>
      <c r="G251" s="105"/>
      <c r="H251" s="15"/>
      <c r="I251" s="15"/>
      <c r="J251" s="15"/>
      <c r="K251" s="15"/>
      <c r="L251" s="15"/>
      <c r="M251" s="15"/>
      <c r="N251" s="15"/>
      <c r="O251" s="15"/>
      <c r="P251" s="15"/>
      <c r="Q251" s="15"/>
      <c r="R251" s="15"/>
      <c r="S251" s="15"/>
      <c r="T251" s="15"/>
      <c r="U251" s="15"/>
      <c r="V251" s="15"/>
      <c r="W251" s="15"/>
      <c r="X251" s="15"/>
      <c r="Y251" s="15"/>
      <c r="Z251" s="15"/>
      <c r="AA251" s="15"/>
      <c r="AB251" s="15"/>
      <c r="AC251" s="15"/>
      <c r="AD251" s="15"/>
      <c r="AE251" s="15"/>
      <c r="AF251" s="15"/>
      <c r="AG251" s="15"/>
      <c r="AH251" s="15"/>
      <c r="AI251" s="15"/>
      <c r="AJ251" s="15"/>
      <c r="AK251" s="15"/>
      <c r="AL251" s="15"/>
    </row>
    <row r="252" spans="1:38" x14ac:dyDescent="0.35">
      <c r="A252" s="82" t="s">
        <v>416</v>
      </c>
      <c r="B252" s="15" t="s">
        <v>56</v>
      </c>
      <c r="C252" s="15">
        <f t="shared" si="8"/>
        <v>1</v>
      </c>
      <c r="D252" s="15">
        <f t="shared" si="8"/>
        <v>3.1349999999999998E-3</v>
      </c>
      <c r="E252" s="15">
        <f t="shared" si="8"/>
        <v>4.7500880922277672E-6</v>
      </c>
      <c r="F252" s="15"/>
      <c r="G252" s="105"/>
      <c r="H252" s="15"/>
      <c r="I252" s="15"/>
      <c r="J252" s="15"/>
      <c r="K252" s="15"/>
      <c r="L252" s="15"/>
      <c r="M252" s="15"/>
      <c r="N252" s="15"/>
      <c r="O252" s="15"/>
      <c r="P252" s="15"/>
      <c r="Q252" s="15"/>
      <c r="R252" s="15"/>
      <c r="S252" s="15"/>
      <c r="T252" s="15"/>
      <c r="U252" s="15"/>
      <c r="V252" s="15"/>
      <c r="W252" s="15"/>
      <c r="X252" s="15"/>
      <c r="Y252" s="15"/>
      <c r="Z252" s="15"/>
      <c r="AA252" s="15"/>
      <c r="AB252" s="15"/>
      <c r="AC252" s="15"/>
      <c r="AD252" s="15"/>
      <c r="AE252" s="15"/>
      <c r="AF252" s="15"/>
      <c r="AG252" s="15"/>
      <c r="AH252" s="15"/>
      <c r="AI252" s="15"/>
      <c r="AJ252" s="15"/>
      <c r="AK252" s="15"/>
      <c r="AL252" s="15"/>
    </row>
    <row r="253" spans="1:38" x14ac:dyDescent="0.35">
      <c r="A253" s="82" t="s">
        <v>417</v>
      </c>
      <c r="B253" s="15" t="s">
        <v>56</v>
      </c>
      <c r="C253" s="15">
        <f t="shared" si="8"/>
        <v>2</v>
      </c>
      <c r="D253" s="15">
        <f t="shared" si="8"/>
        <v>8.2249999999999997E-3</v>
      </c>
      <c r="E253" s="15">
        <f t="shared" si="8"/>
        <v>9.3132514215669447E-6</v>
      </c>
      <c r="F253" s="15"/>
      <c r="G253" s="105"/>
      <c r="H253" s="15"/>
      <c r="I253" s="15"/>
      <c r="J253" s="15"/>
      <c r="K253" s="15"/>
      <c r="L253" s="15"/>
      <c r="M253" s="15"/>
      <c r="N253" s="15"/>
      <c r="O253" s="15"/>
      <c r="P253" s="15"/>
      <c r="Q253" s="15"/>
      <c r="R253" s="15"/>
      <c r="S253" s="15"/>
      <c r="T253" s="15"/>
      <c r="U253" s="15"/>
      <c r="V253" s="15"/>
      <c r="W253" s="15"/>
      <c r="X253" s="15"/>
      <c r="Y253" s="15"/>
      <c r="Z253" s="15"/>
      <c r="AA253" s="15"/>
      <c r="AB253" s="15"/>
      <c r="AC253" s="15"/>
      <c r="AD253" s="15"/>
      <c r="AE253" s="15"/>
      <c r="AF253" s="15"/>
      <c r="AG253" s="15"/>
      <c r="AH253" s="15"/>
      <c r="AI253" s="15"/>
      <c r="AJ253" s="15"/>
      <c r="AK253" s="15"/>
      <c r="AL253" s="15"/>
    </row>
    <row r="254" spans="1:38" ht="15" customHeight="1" thickBot="1" x14ac:dyDescent="0.4">
      <c r="A254" s="107" t="s">
        <v>44</v>
      </c>
      <c r="B254" s="69" t="s">
        <v>56</v>
      </c>
      <c r="C254" s="69"/>
      <c r="D254" s="69">
        <f>D243</f>
        <v>11.3391</v>
      </c>
      <c r="E254" s="69">
        <f>E243</f>
        <v>1.13391E-2</v>
      </c>
      <c r="F254" s="69"/>
      <c r="G254" s="73"/>
      <c r="H254" s="15"/>
      <c r="I254" s="15"/>
      <c r="J254" s="15"/>
      <c r="K254" s="15"/>
      <c r="L254" s="15"/>
      <c r="M254" s="15"/>
      <c r="N254" s="15"/>
      <c r="O254" s="15"/>
      <c r="P254" s="15"/>
      <c r="Q254" s="15"/>
      <c r="R254" s="15"/>
      <c r="S254" s="15"/>
      <c r="T254" s="15"/>
      <c r="U254" s="15"/>
      <c r="V254" s="15"/>
      <c r="W254" s="15"/>
      <c r="X254" s="15"/>
      <c r="Y254" s="15"/>
      <c r="Z254" s="15"/>
      <c r="AA254" s="15"/>
      <c r="AB254" s="15"/>
      <c r="AC254" s="15"/>
      <c r="AD254" s="15"/>
      <c r="AE254" s="15"/>
      <c r="AF254" s="15"/>
      <c r="AG254" s="15"/>
      <c r="AH254" s="15"/>
      <c r="AI254" s="15"/>
      <c r="AJ254" s="15"/>
      <c r="AK254" s="15"/>
      <c r="AL254" s="15"/>
    </row>
    <row r="255" spans="1:38" ht="15" customHeight="1" thickBot="1" x14ac:dyDescent="0.4">
      <c r="B255" s="15"/>
      <c r="C255" s="15"/>
      <c r="D255" s="15"/>
      <c r="E255" s="15"/>
      <c r="F255" s="15"/>
      <c r="G255" s="15"/>
      <c r="H255" s="15"/>
      <c r="I255" s="15"/>
      <c r="J255" s="15"/>
      <c r="K255" s="15"/>
      <c r="L255" s="15"/>
      <c r="M255" s="15"/>
      <c r="N255" s="15"/>
      <c r="O255" s="15"/>
      <c r="P255" s="15"/>
      <c r="Q255" s="15"/>
      <c r="R255" s="15"/>
      <c r="S255" s="15"/>
      <c r="T255" s="15"/>
      <c r="U255" s="15"/>
      <c r="V255" s="15"/>
      <c r="W255" s="15"/>
      <c r="X255" s="15"/>
      <c r="Y255" s="15"/>
      <c r="Z255" s="15"/>
      <c r="AA255" s="15"/>
      <c r="AB255" s="15"/>
      <c r="AC255" s="15"/>
      <c r="AD255" s="15"/>
      <c r="AE255" s="15"/>
      <c r="AF255" s="15"/>
      <c r="AG255" s="15"/>
      <c r="AH255" s="15"/>
      <c r="AI255" s="15"/>
      <c r="AJ255" s="15"/>
      <c r="AK255" s="15"/>
      <c r="AL255" s="15"/>
    </row>
    <row r="256" spans="1:38" x14ac:dyDescent="0.35">
      <c r="A256" s="269" t="s">
        <v>427</v>
      </c>
      <c r="B256" s="270"/>
      <c r="C256" s="263"/>
      <c r="D256" s="263"/>
      <c r="E256" s="263"/>
      <c r="F256" s="298"/>
      <c r="G256" s="15"/>
      <c r="H256" s="15"/>
      <c r="I256" s="15"/>
      <c r="J256" s="15"/>
      <c r="K256" s="15"/>
      <c r="L256" s="15"/>
      <c r="M256" s="15"/>
      <c r="N256" s="15"/>
      <c r="O256" s="15"/>
      <c r="P256" s="15"/>
      <c r="Q256" s="15"/>
      <c r="R256" s="15"/>
      <c r="S256" s="15"/>
      <c r="T256" s="15"/>
      <c r="U256" s="15"/>
      <c r="V256" s="15"/>
      <c r="W256" s="15"/>
      <c r="X256" s="15"/>
      <c r="Y256" s="15"/>
      <c r="Z256" s="15"/>
      <c r="AA256" s="15"/>
      <c r="AB256" s="15"/>
      <c r="AC256" s="15"/>
      <c r="AD256" s="15"/>
      <c r="AE256" s="15"/>
      <c r="AF256" s="15"/>
      <c r="AG256" s="15"/>
      <c r="AH256" s="15"/>
      <c r="AI256" s="15"/>
      <c r="AJ256" s="15"/>
      <c r="AK256" s="15"/>
      <c r="AL256" s="15"/>
    </row>
    <row r="257" spans="1:38" ht="15" customHeight="1" thickBot="1" x14ac:dyDescent="0.4">
      <c r="A257" s="300" t="s">
        <v>59</v>
      </c>
      <c r="B257" s="282" t="s">
        <v>60</v>
      </c>
      <c r="C257" s="282" t="s">
        <v>61</v>
      </c>
      <c r="D257" s="282" t="s">
        <v>62</v>
      </c>
      <c r="E257" s="282" t="s">
        <v>63</v>
      </c>
      <c r="F257" s="279" t="s">
        <v>515</v>
      </c>
      <c r="G257" s="15"/>
      <c r="H257" s="15"/>
      <c r="I257" s="15"/>
      <c r="J257" s="15"/>
      <c r="K257" s="15"/>
      <c r="L257" s="15"/>
      <c r="M257" s="15"/>
      <c r="N257" s="15"/>
      <c r="O257" s="15"/>
      <c r="P257" s="15"/>
      <c r="Q257" s="15"/>
      <c r="R257" s="15"/>
      <c r="S257" s="15"/>
      <c r="T257" s="15"/>
      <c r="U257" s="15"/>
      <c r="V257" s="15"/>
      <c r="W257" s="15"/>
      <c r="X257" s="15"/>
      <c r="Y257" s="15"/>
      <c r="Z257" s="15"/>
      <c r="AA257" s="15"/>
      <c r="AB257" s="15"/>
      <c r="AC257" s="15"/>
      <c r="AD257" s="15"/>
      <c r="AE257" s="15"/>
      <c r="AF257" s="15"/>
      <c r="AG257" s="15"/>
      <c r="AH257" s="15"/>
      <c r="AI257" s="15"/>
      <c r="AJ257" s="15"/>
      <c r="AK257" s="15"/>
      <c r="AL257" s="15"/>
    </row>
    <row r="258" spans="1:38" x14ac:dyDescent="0.35">
      <c r="A258" s="58" t="s">
        <v>33</v>
      </c>
      <c r="B258" s="248">
        <f>SUM(D218:D232)</f>
        <v>467.40524411980351</v>
      </c>
      <c r="C258" s="137">
        <f>SUM(D233,D234,D241)</f>
        <v>0.92785400000000007</v>
      </c>
      <c r="D258" s="249"/>
      <c r="E258" s="250">
        <v>0</v>
      </c>
      <c r="F258" s="61"/>
      <c r="G258" s="15"/>
      <c r="H258" s="15"/>
      <c r="I258" s="15"/>
      <c r="J258" s="15"/>
      <c r="K258" s="15"/>
      <c r="L258" s="15"/>
      <c r="M258" s="15"/>
      <c r="N258" s="15"/>
      <c r="O258" s="15"/>
      <c r="P258" s="15"/>
      <c r="Q258" s="15"/>
      <c r="R258" s="15"/>
      <c r="S258" s="15"/>
      <c r="T258" s="15"/>
      <c r="U258" s="15"/>
      <c r="V258" s="15"/>
      <c r="W258" s="15"/>
      <c r="X258" s="15"/>
      <c r="Y258" s="15"/>
      <c r="Z258" s="15"/>
      <c r="AA258" s="15"/>
      <c r="AB258" s="15"/>
      <c r="AC258" s="15"/>
      <c r="AD258" s="15"/>
      <c r="AE258" s="15"/>
      <c r="AF258" s="15"/>
      <c r="AG258" s="15"/>
      <c r="AH258" s="15"/>
      <c r="AI258" s="15"/>
      <c r="AJ258" s="15"/>
      <c r="AK258" s="15"/>
      <c r="AL258" s="15"/>
    </row>
    <row r="259" spans="1:38" ht="16.5" customHeight="1" x14ac:dyDescent="0.35">
      <c r="A259" s="58" t="s">
        <v>498</v>
      </c>
      <c r="B259" s="251">
        <f>SUM(E218:E232)</f>
        <v>2.1956234496613747</v>
      </c>
      <c r="C259" s="22">
        <f>SUM(E233:E243)</f>
        <v>1.8117609285585506E-2</v>
      </c>
      <c r="D259" s="138"/>
      <c r="E259" s="252">
        <v>0</v>
      </c>
      <c r="F259" s="61"/>
      <c r="G259" s="15"/>
      <c r="H259" s="15"/>
      <c r="I259" s="15"/>
      <c r="J259" s="15"/>
      <c r="K259" s="15"/>
      <c r="L259" s="15"/>
      <c r="M259" s="15"/>
      <c r="N259" s="15"/>
      <c r="O259" s="15"/>
      <c r="P259" s="15"/>
      <c r="Q259" s="15"/>
      <c r="R259" s="15"/>
      <c r="S259" s="15"/>
      <c r="T259" s="15"/>
      <c r="U259" s="15"/>
      <c r="V259" s="15"/>
      <c r="W259" s="15"/>
      <c r="X259" s="15"/>
      <c r="Y259" s="15"/>
      <c r="Z259" s="15"/>
      <c r="AA259" s="15"/>
      <c r="AB259" s="15"/>
      <c r="AC259" s="15"/>
      <c r="AD259" s="15"/>
      <c r="AE259" s="15"/>
      <c r="AF259" s="15"/>
      <c r="AG259" s="15"/>
      <c r="AH259" s="15"/>
      <c r="AI259" s="15"/>
      <c r="AJ259" s="15"/>
      <c r="AK259" s="15"/>
      <c r="AL259" s="15"/>
    </row>
    <row r="260" spans="1:38" ht="16.5" x14ac:dyDescent="0.45">
      <c r="A260" s="58" t="s">
        <v>499</v>
      </c>
      <c r="B260" s="251">
        <f>SUM(F218:F223)</f>
        <v>0.90578333333333327</v>
      </c>
      <c r="C260" s="138"/>
      <c r="D260" s="138"/>
      <c r="E260" s="252">
        <v>0</v>
      </c>
      <c r="F260" s="54"/>
      <c r="G260" s="15"/>
      <c r="H260" s="15"/>
      <c r="I260" s="15"/>
      <c r="J260" s="15"/>
      <c r="K260" s="15"/>
      <c r="L260" s="15"/>
      <c r="M260" s="15"/>
      <c r="N260" s="15"/>
      <c r="O260" s="15"/>
      <c r="P260" s="15"/>
      <c r="Q260" s="15"/>
      <c r="R260" s="15"/>
      <c r="S260" s="15"/>
      <c r="T260" s="15"/>
      <c r="U260" s="15"/>
      <c r="V260" s="15"/>
      <c r="W260" s="15"/>
      <c r="X260" s="15"/>
      <c r="Y260" s="15"/>
      <c r="Z260" s="15"/>
      <c r="AA260" s="15"/>
      <c r="AB260" s="15"/>
      <c r="AC260" s="15"/>
      <c r="AD260" s="15"/>
      <c r="AE260" s="15"/>
      <c r="AF260" s="15"/>
      <c r="AG260" s="15"/>
      <c r="AH260" s="15"/>
      <c r="AI260" s="15"/>
      <c r="AJ260" s="15"/>
      <c r="AK260" s="15"/>
      <c r="AL260" s="15"/>
    </row>
    <row r="261" spans="1:38" ht="16.5" x14ac:dyDescent="0.45">
      <c r="A261" s="58" t="s">
        <v>500</v>
      </c>
      <c r="B261" s="251">
        <f>+B260</f>
        <v>0.90578333333333327</v>
      </c>
      <c r="C261" s="138"/>
      <c r="D261" s="138"/>
      <c r="E261" s="138"/>
      <c r="F261" s="54"/>
      <c r="G261" s="15"/>
      <c r="H261" s="15"/>
      <c r="I261" s="15"/>
      <c r="J261" s="15"/>
      <c r="K261" s="15"/>
      <c r="L261" s="15"/>
      <c r="M261" s="15"/>
      <c r="N261" s="15"/>
      <c r="O261" s="15"/>
      <c r="P261" s="15"/>
      <c r="Q261" s="15"/>
      <c r="R261" s="15"/>
      <c r="S261" s="15"/>
      <c r="T261" s="15"/>
      <c r="U261" s="15"/>
      <c r="V261" s="15"/>
      <c r="W261" s="15"/>
      <c r="X261" s="15"/>
      <c r="Y261" s="15"/>
      <c r="Z261" s="15"/>
      <c r="AA261" s="15"/>
      <c r="AB261" s="15"/>
      <c r="AC261" s="15"/>
      <c r="AD261" s="15"/>
      <c r="AE261" s="15"/>
      <c r="AF261" s="15"/>
      <c r="AG261" s="15"/>
      <c r="AH261" s="15"/>
      <c r="AI261" s="15"/>
      <c r="AJ261" s="15"/>
      <c r="AK261" s="15"/>
      <c r="AL261" s="15"/>
    </row>
    <row r="262" spans="1:38" x14ac:dyDescent="0.35">
      <c r="A262" s="58" t="s">
        <v>511</v>
      </c>
      <c r="B262" s="253"/>
      <c r="C262" s="138"/>
      <c r="D262" s="138"/>
      <c r="E262" s="138"/>
      <c r="F262" s="230">
        <f>+G233</f>
        <v>344</v>
      </c>
      <c r="G262" s="15"/>
      <c r="H262" s="15"/>
      <c r="I262" s="15"/>
      <c r="J262" s="15"/>
      <c r="K262" s="15"/>
      <c r="L262" s="15"/>
      <c r="M262" s="15"/>
      <c r="N262" s="15"/>
      <c r="O262" s="15"/>
      <c r="P262" s="15"/>
      <c r="Q262" s="15"/>
      <c r="R262" s="15"/>
      <c r="S262" s="15"/>
      <c r="T262" s="15"/>
      <c r="U262" s="15"/>
      <c r="V262" s="15"/>
      <c r="W262" s="15"/>
      <c r="X262" s="15"/>
      <c r="Y262" s="15"/>
      <c r="Z262" s="15"/>
      <c r="AA262" s="15"/>
      <c r="AB262" s="15"/>
      <c r="AC262" s="15"/>
      <c r="AD262" s="15"/>
      <c r="AE262" s="15"/>
      <c r="AF262" s="15"/>
      <c r="AG262" s="15"/>
      <c r="AH262" s="15"/>
      <c r="AI262" s="15"/>
      <c r="AJ262" s="15"/>
      <c r="AK262" s="15"/>
      <c r="AL262" s="15"/>
    </row>
    <row r="263" spans="1:38" x14ac:dyDescent="0.35">
      <c r="A263" s="64" t="s">
        <v>65</v>
      </c>
      <c r="B263" s="253"/>
      <c r="C263" s="22">
        <f>SUM(D246:D251,D253)</f>
        <v>0.44902428499999997</v>
      </c>
      <c r="D263" s="138"/>
      <c r="E263" s="252"/>
      <c r="F263" s="54"/>
      <c r="G263" s="15"/>
      <c r="H263" s="15"/>
      <c r="I263" s="15"/>
      <c r="J263" s="15"/>
      <c r="K263" s="15"/>
      <c r="L263" s="15"/>
      <c r="M263" s="15"/>
      <c r="N263" s="15"/>
      <c r="O263" s="15"/>
      <c r="P263" s="15"/>
      <c r="Q263" s="15"/>
      <c r="R263" s="15"/>
      <c r="S263" s="15"/>
      <c r="T263" s="15"/>
      <c r="U263" s="15"/>
      <c r="V263" s="15"/>
      <c r="W263" s="15"/>
      <c r="X263" s="15"/>
      <c r="Y263" s="15"/>
      <c r="Z263" s="15"/>
      <c r="AA263" s="15"/>
      <c r="AB263" s="15"/>
      <c r="AC263" s="15"/>
      <c r="AD263" s="15"/>
      <c r="AE263" s="15"/>
      <c r="AF263" s="15"/>
      <c r="AG263" s="15"/>
      <c r="AH263" s="15"/>
      <c r="AI263" s="15"/>
      <c r="AJ263" s="15"/>
      <c r="AK263" s="15"/>
      <c r="AL263" s="15"/>
    </row>
    <row r="264" spans="1:38" x14ac:dyDescent="0.35">
      <c r="A264" s="58" t="s">
        <v>66</v>
      </c>
      <c r="B264" s="254">
        <v>0</v>
      </c>
      <c r="C264" s="22">
        <f>D243</f>
        <v>11.3391</v>
      </c>
      <c r="D264" s="138"/>
      <c r="E264" s="252">
        <f>+D254</f>
        <v>11.3391</v>
      </c>
      <c r="F264" s="54"/>
      <c r="G264" s="15"/>
      <c r="H264" s="15"/>
      <c r="I264" s="15"/>
      <c r="J264" s="15"/>
      <c r="K264" s="15"/>
      <c r="L264" s="15"/>
      <c r="M264" s="15"/>
      <c r="N264" s="15"/>
      <c r="O264" s="15"/>
      <c r="P264" s="15"/>
      <c r="Q264" s="15"/>
      <c r="R264" s="15"/>
      <c r="S264" s="15"/>
      <c r="T264" s="15"/>
      <c r="U264" s="15"/>
      <c r="V264" s="15"/>
      <c r="W264" s="15"/>
      <c r="X264" s="15"/>
      <c r="Y264" s="15"/>
      <c r="Z264" s="15"/>
      <c r="AA264" s="15"/>
      <c r="AB264" s="15"/>
      <c r="AC264" s="15"/>
      <c r="AD264" s="15"/>
      <c r="AE264" s="15"/>
      <c r="AF264" s="15"/>
      <c r="AG264" s="15"/>
      <c r="AH264" s="15"/>
      <c r="AI264" s="15"/>
      <c r="AJ264" s="15"/>
      <c r="AK264" s="15"/>
      <c r="AL264" s="15"/>
    </row>
    <row r="265" spans="1:38" ht="15" customHeight="1" thickBot="1" x14ac:dyDescent="0.4">
      <c r="A265" s="66" t="s">
        <v>67</v>
      </c>
      <c r="B265" s="255"/>
      <c r="C265" s="256"/>
      <c r="D265" s="139">
        <f>SUM(D244:D253)</f>
        <v>1.3768782850000001</v>
      </c>
      <c r="E265" s="256"/>
      <c r="F265" s="212"/>
      <c r="G265" s="15"/>
      <c r="H265" s="15"/>
      <c r="I265" s="15"/>
      <c r="J265" s="15"/>
      <c r="K265" s="15"/>
      <c r="L265" s="15"/>
      <c r="M265" s="15"/>
      <c r="N265" s="15"/>
      <c r="O265" s="15"/>
      <c r="P265" s="15"/>
      <c r="Q265" s="15"/>
      <c r="R265" s="15"/>
      <c r="S265" s="15"/>
      <c r="T265" s="15"/>
      <c r="U265" s="15"/>
      <c r="V265" s="15"/>
      <c r="W265" s="15"/>
      <c r="X265" s="15"/>
      <c r="Y265" s="15"/>
      <c r="Z265" s="15"/>
      <c r="AA265" s="15"/>
      <c r="AB265" s="15"/>
      <c r="AC265" s="15"/>
      <c r="AD265" s="15"/>
      <c r="AE265" s="15"/>
      <c r="AF265" s="15"/>
      <c r="AG265" s="15"/>
      <c r="AH265" s="15"/>
      <c r="AI265" s="15"/>
      <c r="AJ265" s="15"/>
      <c r="AK265" s="15"/>
      <c r="AL265" s="15"/>
    </row>
    <row r="266" spans="1:38" ht="15" customHeight="1" thickBot="1" x14ac:dyDescent="0.4">
      <c r="B266" s="15"/>
      <c r="C266" s="15"/>
      <c r="D266" s="15"/>
      <c r="E266" s="15"/>
      <c r="F266" s="15"/>
      <c r="G266" s="15"/>
      <c r="H266" s="15"/>
      <c r="I266" s="15"/>
      <c r="J266" s="15"/>
      <c r="K266" s="15"/>
      <c r="L266" s="15"/>
      <c r="M266" s="15"/>
      <c r="N266" s="15"/>
      <c r="O266" s="15"/>
      <c r="P266" s="15"/>
      <c r="Q266" s="15"/>
      <c r="R266" s="15"/>
      <c r="S266" s="15"/>
      <c r="T266" s="15"/>
      <c r="U266" s="15"/>
      <c r="V266" s="15"/>
      <c r="W266" s="15"/>
      <c r="X266" s="15"/>
      <c r="Y266" s="15"/>
      <c r="Z266" s="15"/>
      <c r="AA266" s="15"/>
      <c r="AB266" s="15"/>
      <c r="AC266" s="15"/>
      <c r="AD266" s="15"/>
      <c r="AE266" s="15"/>
      <c r="AF266" s="15"/>
      <c r="AG266" s="15"/>
      <c r="AH266" s="15"/>
      <c r="AI266" s="15"/>
      <c r="AJ266" s="15"/>
      <c r="AK266" s="15"/>
      <c r="AL266" s="15"/>
    </row>
    <row r="267" spans="1:38" x14ac:dyDescent="0.35">
      <c r="A267" s="299" t="s">
        <v>68</v>
      </c>
      <c r="B267" s="263"/>
      <c r="C267" s="263"/>
      <c r="D267" s="263"/>
      <c r="E267" s="263"/>
      <c r="F267" s="263"/>
      <c r="G267" s="263"/>
      <c r="H267" s="264"/>
      <c r="I267" s="15"/>
      <c r="J267" s="15"/>
      <c r="K267" s="15"/>
      <c r="L267" s="15"/>
      <c r="M267" s="15"/>
      <c r="N267" s="15"/>
      <c r="O267" s="15"/>
      <c r="P267" s="15"/>
      <c r="Q267" s="15"/>
      <c r="R267" s="15"/>
      <c r="S267" s="15"/>
      <c r="T267" s="15"/>
      <c r="U267" s="15"/>
      <c r="V267" s="15"/>
      <c r="W267" s="15"/>
      <c r="X267" s="15"/>
      <c r="Y267" s="15"/>
      <c r="Z267" s="15"/>
      <c r="AA267" s="15"/>
      <c r="AB267" s="15"/>
      <c r="AC267" s="15"/>
      <c r="AD267" s="15"/>
      <c r="AE267" s="15"/>
      <c r="AF267" s="15"/>
      <c r="AG267" s="15"/>
      <c r="AH267" s="15"/>
      <c r="AI267" s="15"/>
      <c r="AJ267" s="15"/>
      <c r="AK267" s="15"/>
      <c r="AL267" s="15"/>
    </row>
    <row r="268" spans="1:38" ht="15.5" customHeight="1" thickBot="1" x14ac:dyDescent="0.4">
      <c r="A268" s="300" t="s">
        <v>69</v>
      </c>
      <c r="B268" s="286" t="s">
        <v>502</v>
      </c>
      <c r="C268" s="286" t="s">
        <v>503</v>
      </c>
      <c r="D268" s="286" t="s">
        <v>504</v>
      </c>
      <c r="E268" s="286" t="s">
        <v>505</v>
      </c>
      <c r="F268" s="286" t="s">
        <v>506</v>
      </c>
      <c r="G268" s="286" t="s">
        <v>507</v>
      </c>
      <c r="H268" s="287" t="s">
        <v>76</v>
      </c>
      <c r="I268" s="15"/>
      <c r="J268" s="15"/>
      <c r="K268" s="15"/>
      <c r="L268" s="15"/>
      <c r="M268" s="15"/>
      <c r="N268" s="15"/>
      <c r="O268" s="15"/>
      <c r="P268" s="15"/>
      <c r="Q268" s="15"/>
      <c r="R268" s="15"/>
      <c r="S268" s="15"/>
      <c r="T268" s="15"/>
      <c r="U268" s="15"/>
      <c r="V268" s="15"/>
      <c r="W268" s="15"/>
      <c r="X268" s="15"/>
      <c r="Y268" s="15"/>
      <c r="Z268" s="15"/>
      <c r="AA268" s="15"/>
      <c r="AB268" s="15"/>
      <c r="AC268" s="15"/>
      <c r="AD268" s="15"/>
      <c r="AE268" s="15"/>
      <c r="AF268" s="15"/>
      <c r="AG268" s="15"/>
      <c r="AH268" s="15"/>
      <c r="AI268" s="15"/>
      <c r="AJ268" s="15"/>
      <c r="AK268" s="15"/>
      <c r="AL268" s="15"/>
    </row>
    <row r="269" spans="1:38" ht="15" customHeight="1" thickBot="1" x14ac:dyDescent="0.4">
      <c r="A269" s="208" t="s">
        <v>484</v>
      </c>
      <c r="B269" s="69">
        <f>Assumptions!B13</f>
        <v>79.3</v>
      </c>
      <c r="C269" s="69">
        <f>Assumptions!C13</f>
        <v>162</v>
      </c>
      <c r="D269" s="69">
        <f>Assumptions!D13</f>
        <v>96</v>
      </c>
      <c r="E269" s="69">
        <f>Assumptions!E13</f>
        <v>0.21</v>
      </c>
      <c r="F269" s="69">
        <f>Assumptions!F13</f>
        <v>0.93</v>
      </c>
      <c r="G269" s="69">
        <f>Assumptions!G13</f>
        <v>0.3</v>
      </c>
      <c r="H269" s="206">
        <f>Assumptions!H13</f>
        <v>0.94</v>
      </c>
      <c r="I269" s="15"/>
      <c r="J269" s="15"/>
      <c r="K269" s="15"/>
      <c r="L269" s="15"/>
      <c r="M269" s="15"/>
      <c r="N269" s="15"/>
      <c r="O269" s="15"/>
      <c r="P269" s="15"/>
      <c r="Q269" s="15"/>
      <c r="R269" s="15"/>
      <c r="S269" s="15"/>
      <c r="T269" s="15"/>
      <c r="U269" s="15"/>
      <c r="V269" s="15"/>
      <c r="W269" s="15"/>
      <c r="X269" s="15"/>
      <c r="Y269" s="15"/>
      <c r="Z269" s="15"/>
      <c r="AA269" s="15"/>
      <c r="AB269" s="15"/>
      <c r="AC269" s="15"/>
      <c r="AD269" s="15"/>
      <c r="AE269" s="15"/>
      <c r="AF269" s="15"/>
      <c r="AG269" s="15"/>
      <c r="AH269" s="15"/>
      <c r="AI269" s="15"/>
      <c r="AJ269" s="15"/>
      <c r="AK269" s="15"/>
      <c r="AL269" s="15"/>
    </row>
    <row r="270" spans="1:38" ht="15" customHeight="1" thickBot="1" x14ac:dyDescent="0.4">
      <c r="B270" s="15"/>
      <c r="C270" s="15"/>
      <c r="D270" s="15"/>
      <c r="E270" s="15"/>
      <c r="F270" s="15"/>
      <c r="G270" s="15"/>
      <c r="H270" s="15"/>
      <c r="I270" s="15"/>
      <c r="J270" s="15"/>
      <c r="K270" s="15"/>
      <c r="L270" s="15"/>
      <c r="M270" s="15"/>
      <c r="N270" s="15"/>
      <c r="O270" s="15"/>
      <c r="P270" s="15"/>
      <c r="Q270" s="15"/>
      <c r="R270" s="15"/>
      <c r="S270" s="15"/>
      <c r="T270" s="15"/>
      <c r="U270" s="15"/>
      <c r="V270" s="15"/>
      <c r="W270" s="15"/>
      <c r="X270" s="15"/>
      <c r="Y270" s="15"/>
      <c r="Z270" s="15"/>
      <c r="AA270" s="15"/>
      <c r="AB270" s="15"/>
      <c r="AC270" s="15"/>
      <c r="AD270" s="15"/>
      <c r="AE270" s="15"/>
      <c r="AF270" s="15"/>
      <c r="AG270" s="15"/>
      <c r="AH270" s="15"/>
      <c r="AI270" s="15"/>
      <c r="AJ270" s="15"/>
      <c r="AK270" s="15"/>
      <c r="AL270" s="15"/>
    </row>
    <row r="271" spans="1:38" ht="17" customHeight="1" thickBot="1" x14ac:dyDescent="0.5">
      <c r="A271" s="288" t="s">
        <v>79</v>
      </c>
      <c r="B271" s="289" t="s">
        <v>501</v>
      </c>
      <c r="C271" s="15"/>
      <c r="D271" s="15"/>
      <c r="E271" s="15"/>
      <c r="F271" s="15"/>
      <c r="G271" s="15"/>
      <c r="H271" s="15"/>
      <c r="I271" s="15"/>
      <c r="J271" s="15"/>
      <c r="K271" s="15"/>
      <c r="L271" s="15"/>
      <c r="M271" s="15"/>
      <c r="N271" s="15"/>
      <c r="O271" s="15"/>
      <c r="P271" s="15"/>
      <c r="Q271" s="15"/>
      <c r="R271" s="15"/>
      <c r="S271" s="15"/>
      <c r="T271" s="15"/>
      <c r="U271" s="15"/>
      <c r="V271" s="15"/>
      <c r="W271" s="15"/>
      <c r="X271" s="15"/>
      <c r="Y271" s="15"/>
      <c r="Z271" s="15"/>
      <c r="AA271" s="15"/>
      <c r="AB271" s="15"/>
      <c r="AC271" s="15"/>
      <c r="AD271" s="15"/>
      <c r="AE271" s="15"/>
      <c r="AF271" s="15"/>
      <c r="AG271" s="15"/>
      <c r="AH271" s="15"/>
      <c r="AI271" s="15"/>
      <c r="AJ271" s="15"/>
      <c r="AK271" s="15"/>
      <c r="AL271" s="15"/>
    </row>
    <row r="272" spans="1:38" x14ac:dyDescent="0.35">
      <c r="A272" s="82" t="s">
        <v>60</v>
      </c>
      <c r="B272" s="231">
        <f>B258+(B259*B269)+(B260*C269)+(B261*D269)+(B264*G269)</f>
        <v>875.21028367795054</v>
      </c>
      <c r="C272" s="15"/>
      <c r="D272" s="15"/>
      <c r="E272" s="15"/>
      <c r="F272" s="15"/>
      <c r="G272" s="15"/>
      <c r="H272" s="15"/>
      <c r="I272" s="15"/>
      <c r="J272" s="15"/>
      <c r="K272" s="15"/>
      <c r="L272" s="15"/>
      <c r="M272" s="15"/>
      <c r="N272" s="15"/>
      <c r="O272" s="15"/>
      <c r="P272" s="15"/>
      <c r="Q272" s="15"/>
      <c r="R272" s="15"/>
      <c r="S272" s="15"/>
      <c r="T272" s="15"/>
      <c r="U272" s="15"/>
      <c r="V272" s="15"/>
      <c r="W272" s="15"/>
      <c r="X272" s="15"/>
      <c r="Y272" s="15"/>
      <c r="Z272" s="15"/>
      <c r="AA272" s="15"/>
      <c r="AB272" s="15"/>
      <c r="AC272" s="15"/>
      <c r="AD272" s="15"/>
      <c r="AE272" s="15"/>
      <c r="AF272" s="15"/>
      <c r="AG272" s="15"/>
      <c r="AH272" s="15"/>
      <c r="AI272" s="15"/>
      <c r="AJ272" s="15"/>
      <c r="AK272" s="15"/>
      <c r="AL272" s="15"/>
    </row>
    <row r="273" spans="1:38" x14ac:dyDescent="0.35">
      <c r="A273" s="82" t="s">
        <v>515</v>
      </c>
      <c r="B273" s="231">
        <f>+F262*H269</f>
        <v>323.35999999999996</v>
      </c>
      <c r="C273" s="15"/>
      <c r="D273" s="15"/>
      <c r="E273" s="15"/>
      <c r="F273" s="15"/>
      <c r="G273" s="15"/>
      <c r="H273" s="15"/>
      <c r="I273" s="15"/>
      <c r="J273" s="15"/>
      <c r="K273" s="15"/>
      <c r="L273" s="15"/>
      <c r="M273" s="15"/>
      <c r="N273" s="15"/>
      <c r="O273" s="15"/>
      <c r="P273" s="15"/>
      <c r="Q273" s="15"/>
      <c r="R273" s="15"/>
      <c r="S273" s="15"/>
      <c r="T273" s="15"/>
      <c r="U273" s="15"/>
      <c r="V273" s="15"/>
      <c r="W273" s="15"/>
      <c r="X273" s="15"/>
      <c r="Y273" s="15"/>
      <c r="Z273" s="15"/>
      <c r="AA273" s="15"/>
      <c r="AB273" s="15"/>
      <c r="AC273" s="15"/>
      <c r="AD273" s="15"/>
      <c r="AE273" s="15"/>
      <c r="AF273" s="15"/>
      <c r="AG273" s="15"/>
      <c r="AH273" s="15"/>
      <c r="AI273" s="15"/>
      <c r="AJ273" s="15"/>
      <c r="AK273" s="15"/>
      <c r="AL273" s="15"/>
    </row>
    <row r="274" spans="1:38" x14ac:dyDescent="0.35">
      <c r="A274" s="82" t="s">
        <v>81</v>
      </c>
      <c r="B274" s="232">
        <f>C258+(C259*B269)+(C263*E269)+(C264*G269)</f>
        <v>5.860605516196931</v>
      </c>
      <c r="C274" s="15"/>
      <c r="D274" s="15"/>
      <c r="E274" s="15"/>
      <c r="F274" s="15"/>
      <c r="G274" s="15"/>
      <c r="H274" s="15"/>
      <c r="I274" s="15"/>
      <c r="J274" s="15"/>
      <c r="K274" s="15"/>
      <c r="L274" s="15"/>
      <c r="M274" s="15"/>
      <c r="N274" s="15"/>
      <c r="O274" s="15"/>
      <c r="P274" s="15"/>
      <c r="Q274" s="15"/>
      <c r="R274" s="15"/>
      <c r="S274" s="15"/>
      <c r="T274" s="15"/>
      <c r="U274" s="15"/>
      <c r="V274" s="15"/>
      <c r="W274" s="15"/>
      <c r="X274" s="15"/>
      <c r="Y274" s="15"/>
      <c r="Z274" s="15"/>
      <c r="AA274" s="15"/>
      <c r="AB274" s="15"/>
      <c r="AC274" s="15"/>
      <c r="AD274" s="15"/>
      <c r="AE274" s="15"/>
      <c r="AF274" s="15"/>
      <c r="AG274" s="15"/>
      <c r="AH274" s="15"/>
      <c r="AI274" s="15"/>
      <c r="AJ274" s="15"/>
      <c r="AK274" s="15"/>
      <c r="AL274" s="15"/>
    </row>
    <row r="275" spans="1:38" x14ac:dyDescent="0.35">
      <c r="A275" s="82" t="s">
        <v>82</v>
      </c>
      <c r="B275" s="232">
        <f>+(D265*F269)</f>
        <v>1.2804968050500001</v>
      </c>
      <c r="C275" s="15"/>
      <c r="D275" s="15"/>
      <c r="E275" s="15"/>
      <c r="F275" s="15"/>
      <c r="G275" s="15"/>
      <c r="H275" s="15"/>
      <c r="I275" s="15"/>
      <c r="J275" s="15"/>
      <c r="K275" s="15"/>
      <c r="L275" s="15"/>
      <c r="M275" s="15"/>
      <c r="N275" s="15"/>
      <c r="O275" s="15"/>
      <c r="P275" s="15"/>
      <c r="Q275" s="15"/>
      <c r="R275" s="15"/>
      <c r="S275" s="15"/>
      <c r="T275" s="15"/>
      <c r="U275" s="15"/>
      <c r="V275" s="15"/>
      <c r="W275" s="15"/>
      <c r="X275" s="15"/>
      <c r="Y275" s="15"/>
      <c r="Z275" s="15"/>
      <c r="AA275" s="15"/>
      <c r="AB275" s="15"/>
      <c r="AC275" s="15"/>
      <c r="AD275" s="15"/>
      <c r="AE275" s="15"/>
      <c r="AF275" s="15"/>
      <c r="AG275" s="15"/>
      <c r="AH275" s="15"/>
      <c r="AI275" s="15"/>
      <c r="AJ275" s="15"/>
      <c r="AK275" s="15"/>
      <c r="AL275" s="15"/>
    </row>
    <row r="276" spans="1:38" x14ac:dyDescent="0.35">
      <c r="A276" s="83" t="s">
        <v>83</v>
      </c>
      <c r="B276" s="233">
        <f>+E258+E259*B269+E260*C269-E263*E269+E264*G269</f>
        <v>3.4017300000000001</v>
      </c>
      <c r="C276" s="15"/>
      <c r="D276" s="15"/>
      <c r="E276" s="15"/>
      <c r="F276" s="15"/>
      <c r="G276" s="15"/>
      <c r="H276" s="15"/>
      <c r="I276" s="15"/>
      <c r="J276" s="15"/>
      <c r="K276" s="15"/>
      <c r="L276" s="15"/>
      <c r="M276" s="15"/>
      <c r="N276" s="15"/>
      <c r="O276" s="15"/>
      <c r="P276" s="15"/>
      <c r="Q276" s="15"/>
      <c r="R276" s="15"/>
      <c r="S276" s="15"/>
      <c r="T276" s="15"/>
      <c r="U276" s="15"/>
      <c r="V276" s="15"/>
      <c r="W276" s="15"/>
      <c r="X276" s="15"/>
      <c r="Y276" s="15"/>
      <c r="Z276" s="15"/>
      <c r="AA276" s="15"/>
      <c r="AB276" s="15"/>
      <c r="AC276" s="15"/>
      <c r="AD276" s="15"/>
      <c r="AE276" s="15"/>
      <c r="AF276" s="15"/>
      <c r="AG276" s="15"/>
      <c r="AH276" s="15"/>
      <c r="AI276" s="15"/>
      <c r="AJ276" s="15"/>
      <c r="AK276" s="15"/>
      <c r="AL276" s="15"/>
    </row>
    <row r="277" spans="1:38" ht="17" customHeight="1" thickBot="1" x14ac:dyDescent="0.5">
      <c r="A277" s="84" t="s">
        <v>529</v>
      </c>
      <c r="B277" s="234">
        <f>B272+B273+B274+B275-B276</f>
        <v>1202.3096559991975</v>
      </c>
      <c r="C277" s="15"/>
      <c r="D277" s="15"/>
      <c r="E277" s="15"/>
      <c r="F277" s="15"/>
      <c r="G277" s="15"/>
      <c r="H277" s="15"/>
      <c r="I277" s="15"/>
      <c r="J277" s="15"/>
      <c r="K277" s="15"/>
      <c r="L277" s="15"/>
      <c r="M277" s="15"/>
      <c r="N277" s="15"/>
      <c r="O277" s="15"/>
      <c r="P277" s="15"/>
      <c r="Q277" s="15"/>
      <c r="R277" s="15"/>
      <c r="S277" s="15"/>
      <c r="T277" s="15"/>
      <c r="U277" s="15"/>
      <c r="V277" s="15"/>
      <c r="W277" s="15"/>
      <c r="X277" s="15"/>
      <c r="Y277" s="15"/>
      <c r="Z277" s="15"/>
      <c r="AA277" s="15"/>
      <c r="AB277" s="15"/>
      <c r="AC277" s="15"/>
      <c r="AD277" s="15"/>
      <c r="AE277" s="15"/>
      <c r="AF277" s="15"/>
      <c r="AG277" s="15"/>
      <c r="AH277" s="15"/>
      <c r="AI277" s="15"/>
      <c r="AJ277" s="15"/>
      <c r="AK277" s="15"/>
      <c r="AL277" s="15"/>
    </row>
    <row r="278" spans="1:38" x14ac:dyDescent="0.35">
      <c r="B278" s="15"/>
      <c r="C278" s="15"/>
      <c r="D278" s="15"/>
      <c r="E278" s="15"/>
      <c r="F278" s="15"/>
      <c r="G278" s="15"/>
      <c r="H278" s="15"/>
      <c r="I278" s="15"/>
      <c r="J278" s="15"/>
      <c r="K278" s="15"/>
      <c r="L278" s="15"/>
      <c r="M278" s="15"/>
      <c r="N278" s="15"/>
      <c r="O278" s="15"/>
      <c r="P278" s="15"/>
      <c r="Q278" s="15"/>
      <c r="R278" s="15"/>
      <c r="S278" s="15"/>
      <c r="T278" s="15"/>
      <c r="U278" s="15"/>
      <c r="V278" s="15"/>
      <c r="W278" s="15"/>
      <c r="X278" s="15"/>
      <c r="Y278" s="15"/>
      <c r="Z278" s="15"/>
      <c r="AA278" s="15"/>
      <c r="AB278" s="15"/>
      <c r="AC278" s="15"/>
      <c r="AD278" s="15"/>
      <c r="AE278" s="15"/>
      <c r="AF278" s="15"/>
      <c r="AG278" s="15"/>
      <c r="AH278" s="15"/>
      <c r="AI278" s="15"/>
      <c r="AJ278" s="15"/>
      <c r="AK278" s="15"/>
      <c r="AL278" s="15"/>
    </row>
    <row r="279" spans="1:38" x14ac:dyDescent="0.35">
      <c r="A279" s="366"/>
      <c r="B279" s="359"/>
      <c r="C279" s="359"/>
      <c r="D279" s="359"/>
      <c r="E279" s="359"/>
      <c r="F279" s="359"/>
      <c r="G279" s="359"/>
      <c r="H279" s="359"/>
      <c r="I279" s="15"/>
      <c r="J279" s="15"/>
      <c r="K279" s="15"/>
      <c r="L279" s="15"/>
      <c r="M279" s="15"/>
      <c r="N279" s="15"/>
      <c r="O279" s="15"/>
      <c r="P279" s="15"/>
      <c r="Q279" s="15"/>
      <c r="R279" s="15"/>
      <c r="S279" s="15"/>
      <c r="T279" s="15"/>
      <c r="U279" s="15"/>
      <c r="V279" s="15"/>
      <c r="W279" s="15"/>
      <c r="X279" s="15"/>
      <c r="Y279" s="15"/>
      <c r="Z279" s="15"/>
      <c r="AA279" s="15"/>
      <c r="AB279" s="15"/>
      <c r="AC279" s="15"/>
      <c r="AD279" s="15"/>
      <c r="AE279" s="15"/>
      <c r="AF279" s="15"/>
      <c r="AG279" s="15"/>
      <c r="AH279" s="15"/>
      <c r="AI279" s="15"/>
      <c r="AJ279" s="15"/>
      <c r="AK279" s="15"/>
      <c r="AL279" s="15"/>
    </row>
    <row r="280" spans="1:38" ht="15" customHeight="1" thickBot="1" x14ac:dyDescent="0.4">
      <c r="I280" s="15"/>
      <c r="J280" s="15"/>
      <c r="K280" s="15"/>
      <c r="L280" s="15"/>
      <c r="M280" s="15"/>
      <c r="N280" s="15"/>
      <c r="O280" s="15"/>
      <c r="P280" s="15"/>
      <c r="Q280" s="15"/>
      <c r="R280" s="15"/>
      <c r="S280" s="15"/>
      <c r="T280" s="15"/>
      <c r="U280" s="15"/>
      <c r="V280" s="15"/>
      <c r="W280" s="15"/>
      <c r="X280" s="15"/>
      <c r="Y280" s="15"/>
      <c r="Z280" s="15"/>
      <c r="AA280" s="15"/>
      <c r="AB280" s="15"/>
      <c r="AC280" s="15"/>
      <c r="AD280" s="15"/>
      <c r="AE280" s="15"/>
      <c r="AF280" s="15"/>
      <c r="AG280" s="15"/>
      <c r="AH280" s="15"/>
      <c r="AI280" s="15"/>
      <c r="AJ280" s="15"/>
      <c r="AK280" s="15"/>
      <c r="AL280" s="15"/>
    </row>
    <row r="281" spans="1:38" x14ac:dyDescent="0.35">
      <c r="A281" s="290" t="s">
        <v>235</v>
      </c>
      <c r="B281" s="291"/>
      <c r="I281" s="15"/>
      <c r="J281" s="15"/>
      <c r="K281" s="15"/>
      <c r="L281" s="15"/>
      <c r="M281" s="15"/>
      <c r="N281" s="15"/>
      <c r="O281" s="15"/>
      <c r="P281" s="15"/>
      <c r="Q281" s="15"/>
      <c r="R281" s="15"/>
      <c r="S281" s="15"/>
      <c r="T281" s="15"/>
      <c r="U281" s="15"/>
      <c r="V281" s="15"/>
      <c r="W281" s="15"/>
      <c r="X281" s="15"/>
      <c r="Y281" s="15"/>
      <c r="Z281" s="15"/>
      <c r="AA281" s="15"/>
      <c r="AB281" s="15"/>
      <c r="AC281" s="15"/>
      <c r="AD281" s="15"/>
      <c r="AE281" s="15"/>
      <c r="AF281" s="15"/>
      <c r="AG281" s="15"/>
      <c r="AH281" s="15"/>
      <c r="AI281" s="15"/>
      <c r="AJ281" s="15"/>
      <c r="AK281" s="15"/>
      <c r="AL281" s="15"/>
    </row>
    <row r="282" spans="1:38" ht="17" customHeight="1" thickBot="1" x14ac:dyDescent="0.4">
      <c r="A282" s="292" t="s">
        <v>79</v>
      </c>
      <c r="B282" s="240" t="s">
        <v>80</v>
      </c>
      <c r="I282" s="15"/>
      <c r="J282" s="15"/>
      <c r="K282" s="15"/>
      <c r="L282" s="15"/>
      <c r="M282" s="15"/>
      <c r="N282" s="15"/>
      <c r="O282" s="15"/>
      <c r="P282" s="15"/>
      <c r="Q282" s="15"/>
      <c r="R282" s="15"/>
      <c r="S282" s="15"/>
      <c r="T282" s="15"/>
      <c r="U282" s="15"/>
      <c r="V282" s="15"/>
      <c r="W282" s="15"/>
      <c r="X282" s="15"/>
      <c r="Y282" s="15"/>
      <c r="Z282" s="15"/>
      <c r="AA282" s="15"/>
      <c r="AB282" s="15"/>
      <c r="AC282" s="15"/>
      <c r="AD282" s="15"/>
      <c r="AE282" s="15"/>
      <c r="AF282" s="15"/>
      <c r="AG282" s="15"/>
      <c r="AH282" s="15"/>
      <c r="AI282" s="15"/>
      <c r="AJ282" s="15"/>
      <c r="AK282" s="15"/>
      <c r="AL282" s="15"/>
    </row>
    <row r="283" spans="1:38" x14ac:dyDescent="0.35">
      <c r="A283" s="82" t="s">
        <v>60</v>
      </c>
      <c r="B283" s="231">
        <f>B68+B272</f>
        <v>899.86544210755926</v>
      </c>
      <c r="I283" s="15"/>
      <c r="J283" s="15"/>
      <c r="K283" s="15"/>
      <c r="L283" s="15"/>
      <c r="M283" s="15"/>
      <c r="N283" s="15"/>
      <c r="O283" s="15"/>
      <c r="P283" s="15"/>
      <c r="Q283" s="15"/>
      <c r="R283" s="15"/>
      <c r="S283" s="15"/>
      <c r="T283" s="15"/>
      <c r="U283" s="15"/>
      <c r="V283" s="15"/>
      <c r="W283" s="15"/>
      <c r="X283" s="15"/>
      <c r="Y283" s="15"/>
      <c r="Z283" s="15"/>
      <c r="AA283" s="15"/>
      <c r="AB283" s="15"/>
      <c r="AC283" s="15"/>
      <c r="AD283" s="15"/>
      <c r="AE283" s="15"/>
      <c r="AF283" s="15"/>
      <c r="AG283" s="15"/>
      <c r="AH283" s="15"/>
      <c r="AI283" s="15"/>
      <c r="AJ283" s="15"/>
      <c r="AK283" s="15"/>
      <c r="AL283" s="15"/>
    </row>
    <row r="284" spans="1:38" x14ac:dyDescent="0.35">
      <c r="A284" s="82" t="s">
        <v>515</v>
      </c>
      <c r="B284" s="231">
        <f>B69+B273</f>
        <v>355.75432995726067</v>
      </c>
      <c r="I284" s="15"/>
      <c r="J284" s="15"/>
      <c r="K284" s="15"/>
      <c r="L284" s="15"/>
      <c r="M284" s="15"/>
      <c r="N284" s="15"/>
      <c r="O284" s="15"/>
      <c r="P284" s="15"/>
      <c r="Q284" s="15"/>
      <c r="R284" s="15"/>
      <c r="S284" s="15"/>
      <c r="T284" s="15"/>
      <c r="U284" s="15"/>
      <c r="V284" s="15"/>
      <c r="W284" s="15"/>
      <c r="X284" s="15"/>
      <c r="Y284" s="15"/>
      <c r="Z284" s="15"/>
      <c r="AA284" s="15"/>
      <c r="AB284" s="15"/>
      <c r="AC284" s="15"/>
      <c r="AD284" s="15"/>
      <c r="AE284" s="15"/>
      <c r="AF284" s="15"/>
      <c r="AG284" s="15"/>
      <c r="AH284" s="15"/>
      <c r="AI284" s="15"/>
      <c r="AJ284" s="15"/>
      <c r="AK284" s="15"/>
      <c r="AL284" s="15"/>
    </row>
    <row r="285" spans="1:38" x14ac:dyDescent="0.35">
      <c r="A285" s="82" t="s">
        <v>81</v>
      </c>
      <c r="B285" s="231">
        <f>B70+B274</f>
        <v>30.66201648349352</v>
      </c>
      <c r="I285" s="15"/>
      <c r="J285" s="15"/>
      <c r="K285" s="15"/>
      <c r="L285" s="15"/>
      <c r="M285" s="15"/>
      <c r="N285" s="15"/>
      <c r="O285" s="15"/>
      <c r="P285" s="15"/>
      <c r="Q285" s="15"/>
      <c r="R285" s="15"/>
      <c r="S285" s="15"/>
      <c r="T285" s="15"/>
      <c r="U285" s="15"/>
      <c r="V285" s="15"/>
      <c r="W285" s="15"/>
      <c r="X285" s="15"/>
      <c r="Y285" s="15"/>
      <c r="Z285" s="15"/>
      <c r="AA285" s="15"/>
      <c r="AB285" s="15"/>
      <c r="AC285" s="15"/>
      <c r="AD285" s="15"/>
      <c r="AE285" s="15"/>
      <c r="AF285" s="15"/>
      <c r="AG285" s="15"/>
      <c r="AH285" s="15"/>
      <c r="AI285" s="15"/>
      <c r="AJ285" s="15"/>
      <c r="AK285" s="15"/>
      <c r="AL285" s="15"/>
    </row>
    <row r="286" spans="1:38" x14ac:dyDescent="0.35">
      <c r="A286" s="82" t="s">
        <v>82</v>
      </c>
      <c r="B286" s="231">
        <f>B71+B275</f>
        <v>1.4076060576485998</v>
      </c>
      <c r="I286" s="15"/>
      <c r="J286" s="15"/>
      <c r="K286" s="15"/>
      <c r="L286" s="15"/>
      <c r="M286" s="15"/>
      <c r="N286" s="15"/>
      <c r="O286" s="15"/>
      <c r="P286" s="15"/>
      <c r="Q286" s="15"/>
      <c r="R286" s="15"/>
      <c r="S286" s="15"/>
      <c r="T286" s="15"/>
      <c r="U286" s="15"/>
      <c r="V286" s="15"/>
      <c r="W286" s="15"/>
      <c r="X286" s="15"/>
      <c r="Y286" s="15"/>
      <c r="Z286" s="15"/>
      <c r="AA286" s="15"/>
      <c r="AB286" s="15"/>
      <c r="AC286" s="15"/>
      <c r="AD286" s="15"/>
      <c r="AE286" s="15"/>
      <c r="AF286" s="15"/>
      <c r="AG286" s="15"/>
      <c r="AH286" s="15"/>
      <c r="AI286" s="15"/>
      <c r="AJ286" s="15"/>
      <c r="AK286" s="15"/>
      <c r="AL286" s="15"/>
    </row>
    <row r="287" spans="1:38" x14ac:dyDescent="0.35">
      <c r="A287" s="83" t="s">
        <v>83</v>
      </c>
      <c r="B287" s="235">
        <f>B72+B276</f>
        <v>29.780953509142911</v>
      </c>
      <c r="I287" s="15"/>
      <c r="J287" s="15"/>
      <c r="K287" s="15"/>
      <c r="L287" s="15"/>
      <c r="M287" s="15"/>
      <c r="N287" s="15"/>
      <c r="O287" s="15"/>
      <c r="P287" s="15"/>
      <c r="Q287" s="15"/>
      <c r="R287" s="15"/>
      <c r="S287" s="15"/>
      <c r="T287" s="15"/>
      <c r="U287" s="15"/>
      <c r="V287" s="15"/>
      <c r="W287" s="15"/>
      <c r="X287" s="15"/>
      <c r="Y287" s="15"/>
      <c r="Z287" s="15"/>
      <c r="AA287" s="15"/>
      <c r="AB287" s="15"/>
      <c r="AC287" s="15"/>
      <c r="AD287" s="15"/>
      <c r="AE287" s="15"/>
      <c r="AF287" s="15"/>
      <c r="AG287" s="15"/>
      <c r="AH287" s="15"/>
      <c r="AI287" s="15"/>
      <c r="AJ287" s="15"/>
      <c r="AK287" s="15"/>
      <c r="AL287" s="15"/>
    </row>
    <row r="288" spans="1:38" ht="17" customHeight="1" thickBot="1" x14ac:dyDescent="0.5">
      <c r="A288" s="84" t="s">
        <v>535</v>
      </c>
      <c r="B288" s="234">
        <f>B283+B284+B285+B286-B287</f>
        <v>1257.9084410968192</v>
      </c>
      <c r="I288" s="15"/>
      <c r="J288" s="15"/>
      <c r="K288" s="15"/>
      <c r="L288" s="15"/>
      <c r="M288" s="15"/>
      <c r="N288" s="15"/>
      <c r="O288" s="15"/>
      <c r="P288" s="15"/>
      <c r="Q288" s="15"/>
      <c r="R288" s="15"/>
      <c r="S288" s="15"/>
      <c r="T288" s="15"/>
      <c r="U288" s="15"/>
      <c r="V288" s="15"/>
      <c r="W288" s="15"/>
      <c r="X288" s="15"/>
      <c r="Y288" s="15"/>
      <c r="Z288" s="15"/>
      <c r="AA288" s="15"/>
      <c r="AB288" s="15"/>
      <c r="AC288" s="15"/>
      <c r="AD288" s="15"/>
      <c r="AE288" s="15"/>
      <c r="AF288" s="15"/>
      <c r="AG288" s="15"/>
      <c r="AH288" s="15"/>
      <c r="AI288" s="15"/>
      <c r="AJ288" s="15"/>
      <c r="AK288" s="15"/>
      <c r="AL288" s="15"/>
    </row>
    <row r="289" spans="1:38" x14ac:dyDescent="0.35">
      <c r="B289" s="15"/>
      <c r="C289" s="15"/>
      <c r="D289" s="15"/>
      <c r="E289" s="15"/>
      <c r="F289" s="15"/>
      <c r="G289" s="15"/>
      <c r="H289" s="15"/>
      <c r="I289" s="15"/>
      <c r="J289" s="15"/>
      <c r="K289" s="15"/>
      <c r="L289" s="15"/>
      <c r="M289" s="15"/>
      <c r="N289" s="15"/>
      <c r="O289" s="15"/>
      <c r="P289" s="15"/>
      <c r="Q289" s="15"/>
      <c r="R289" s="15"/>
      <c r="S289" s="15"/>
      <c r="T289" s="15"/>
      <c r="U289" s="15"/>
      <c r="V289" s="15"/>
      <c r="W289" s="15"/>
      <c r="X289" s="15"/>
      <c r="Y289" s="15"/>
      <c r="Z289" s="15"/>
      <c r="AA289" s="15"/>
      <c r="AB289" s="15"/>
      <c r="AC289" s="15"/>
      <c r="AD289" s="15"/>
      <c r="AE289" s="15"/>
      <c r="AF289" s="15"/>
      <c r="AG289" s="15"/>
      <c r="AH289" s="15"/>
      <c r="AI289" s="15"/>
      <c r="AJ289" s="15"/>
      <c r="AK289" s="15"/>
      <c r="AL289" s="15"/>
    </row>
    <row r="290" spans="1:38" x14ac:dyDescent="0.35">
      <c r="A290" s="366"/>
      <c r="B290" s="359"/>
      <c r="C290" s="359"/>
      <c r="D290" s="359"/>
      <c r="E290" s="359"/>
      <c r="F290" s="359"/>
      <c r="G290" s="359"/>
      <c r="H290" s="359"/>
    </row>
    <row r="291" spans="1:38" ht="15" customHeight="1" thickBot="1" x14ac:dyDescent="0.4"/>
    <row r="292" spans="1:38" x14ac:dyDescent="0.35">
      <c r="A292" s="308" t="s">
        <v>545</v>
      </c>
      <c r="B292" s="309"/>
      <c r="C292" s="309"/>
      <c r="D292" s="309"/>
      <c r="E292" s="309"/>
      <c r="F292" s="309"/>
      <c r="G292" s="309"/>
      <c r="H292" s="309"/>
      <c r="I292" s="309"/>
      <c r="J292" s="309"/>
      <c r="K292" s="309"/>
      <c r="L292" s="309"/>
      <c r="M292" s="309"/>
      <c r="N292" s="309"/>
      <c r="O292" s="309"/>
      <c r="P292" s="309"/>
      <c r="Q292" s="309"/>
      <c r="R292" s="291"/>
    </row>
    <row r="293" spans="1:38" x14ac:dyDescent="0.35">
      <c r="A293" s="310"/>
      <c r="B293" s="361" t="s">
        <v>343</v>
      </c>
      <c r="C293" s="361"/>
      <c r="D293" s="361"/>
      <c r="E293" s="367"/>
      <c r="F293" s="360" t="s">
        <v>542</v>
      </c>
      <c r="G293" s="361"/>
      <c r="H293" s="361"/>
      <c r="I293" s="361"/>
      <c r="J293" s="360" t="s">
        <v>543</v>
      </c>
      <c r="K293" s="361"/>
      <c r="L293" s="361"/>
      <c r="M293" s="361"/>
      <c r="N293" s="360" t="s">
        <v>544</v>
      </c>
      <c r="O293" s="361"/>
      <c r="P293" s="361"/>
      <c r="Q293" s="361"/>
      <c r="R293" s="362"/>
    </row>
    <row r="294" spans="1:38" ht="15" thickBot="1" x14ac:dyDescent="0.4">
      <c r="A294" s="311"/>
      <c r="B294" s="242" t="s">
        <v>60</v>
      </c>
      <c r="C294" s="239" t="s">
        <v>42</v>
      </c>
      <c r="D294" s="239" t="s">
        <v>47</v>
      </c>
      <c r="E294" s="239" t="s">
        <v>56</v>
      </c>
      <c r="F294" s="238" t="s">
        <v>60</v>
      </c>
      <c r="G294" s="239" t="s">
        <v>42</v>
      </c>
      <c r="H294" s="239" t="s">
        <v>47</v>
      </c>
      <c r="I294" s="239" t="s">
        <v>56</v>
      </c>
      <c r="J294" s="238" t="s">
        <v>60</v>
      </c>
      <c r="K294" s="239" t="s">
        <v>42</v>
      </c>
      <c r="L294" s="239" t="s">
        <v>47</v>
      </c>
      <c r="M294" s="239" t="s">
        <v>56</v>
      </c>
      <c r="N294" s="238" t="s">
        <v>60</v>
      </c>
      <c r="O294" s="242" t="s">
        <v>515</v>
      </c>
      <c r="P294" s="239" t="s">
        <v>42</v>
      </c>
      <c r="Q294" s="239" t="s">
        <v>47</v>
      </c>
      <c r="R294" s="240" t="s">
        <v>56</v>
      </c>
    </row>
    <row r="295" spans="1:38" x14ac:dyDescent="0.35">
      <c r="A295" s="349" t="s">
        <v>553</v>
      </c>
      <c r="B295" s="344">
        <f>D32</f>
        <v>1.3825423199999999E-2</v>
      </c>
      <c r="C295" s="104"/>
      <c r="D295" s="104"/>
      <c r="E295" s="337"/>
      <c r="F295" s="344">
        <f>E32</f>
        <v>7.4585973E-6</v>
      </c>
      <c r="G295" s="104"/>
      <c r="H295" s="104"/>
      <c r="I295" s="337"/>
      <c r="J295" s="345"/>
      <c r="K295" s="104"/>
      <c r="L295" s="104"/>
      <c r="M295" s="337"/>
      <c r="N295" s="345"/>
      <c r="O295" s="104"/>
      <c r="P295" s="104"/>
      <c r="Q295" s="104"/>
      <c r="R295" s="71"/>
      <c r="S295" s="15"/>
      <c r="T295" s="15"/>
      <c r="U295" s="15"/>
      <c r="V295" s="15"/>
      <c r="W295" s="15"/>
      <c r="X295" s="15"/>
      <c r="Y295" s="15"/>
      <c r="Z295" s="15"/>
      <c r="AA295" s="15"/>
      <c r="AB295" s="15"/>
      <c r="AC295" s="15"/>
      <c r="AD295" s="15"/>
      <c r="AE295" s="15"/>
      <c r="AF295" s="15"/>
      <c r="AG295" s="15"/>
      <c r="AH295" s="15"/>
      <c r="AI295" s="15"/>
      <c r="AJ295" s="15"/>
      <c r="AK295" s="15"/>
      <c r="AL295" s="15"/>
    </row>
    <row r="296" spans="1:38" x14ac:dyDescent="0.35">
      <c r="A296" s="349" t="s">
        <v>540</v>
      </c>
      <c r="B296" s="346">
        <f>D31</f>
        <v>3.4018333333333338E-2</v>
      </c>
      <c r="C296" s="15"/>
      <c r="D296" s="15"/>
      <c r="E296" s="339"/>
      <c r="F296" s="346">
        <f>E31</f>
        <v>1.0735999999999999E-4</v>
      </c>
      <c r="G296" s="15"/>
      <c r="H296" s="15"/>
      <c r="I296" s="339"/>
      <c r="J296" s="146"/>
      <c r="K296" s="15"/>
      <c r="L296" s="15"/>
      <c r="M296" s="339"/>
      <c r="N296" s="146"/>
      <c r="O296" s="15"/>
      <c r="P296" s="15"/>
      <c r="Q296" s="15"/>
      <c r="R296" s="105"/>
      <c r="S296" s="15"/>
      <c r="T296" s="15"/>
      <c r="U296" s="15"/>
      <c r="V296" s="15"/>
      <c r="W296" s="15"/>
      <c r="X296" s="15"/>
      <c r="Y296" s="15"/>
      <c r="Z296" s="15"/>
      <c r="AA296" s="15"/>
      <c r="AB296" s="15"/>
      <c r="AC296" s="15"/>
      <c r="AD296" s="15"/>
      <c r="AE296" s="15"/>
      <c r="AF296" s="15"/>
      <c r="AG296" s="15"/>
      <c r="AH296" s="15"/>
      <c r="AI296" s="15"/>
      <c r="AJ296" s="15"/>
      <c r="AK296" s="15"/>
      <c r="AL296" s="15"/>
    </row>
    <row r="297" spans="1:38" x14ac:dyDescent="0.35">
      <c r="A297" s="349" t="s">
        <v>546</v>
      </c>
      <c r="B297" s="346">
        <f>D30+D218</f>
        <v>412.01005361930294</v>
      </c>
      <c r="C297" s="15"/>
      <c r="D297" s="15"/>
      <c r="E297" s="339"/>
      <c r="F297" s="346">
        <f>E30+E218</f>
        <v>2.0000526809651475</v>
      </c>
      <c r="G297" s="15"/>
      <c r="H297" s="15"/>
      <c r="I297" s="339"/>
      <c r="J297" s="346">
        <f>F30+F218</f>
        <v>0.2050044235924933</v>
      </c>
      <c r="K297" s="15"/>
      <c r="L297" s="15"/>
      <c r="M297" s="339"/>
      <c r="N297" s="146"/>
      <c r="O297" s="15"/>
      <c r="P297" s="15"/>
      <c r="Q297" s="15"/>
      <c r="R297" s="105"/>
      <c r="S297" s="15"/>
      <c r="T297" s="15"/>
      <c r="U297" s="15"/>
      <c r="V297" s="15"/>
      <c r="W297" s="15"/>
      <c r="X297" s="15"/>
      <c r="Y297" s="15"/>
      <c r="Z297" s="15"/>
      <c r="AA297" s="15"/>
      <c r="AB297" s="15"/>
      <c r="AC297" s="15"/>
      <c r="AD297" s="15"/>
      <c r="AE297" s="15"/>
      <c r="AF297" s="15"/>
      <c r="AG297" s="15"/>
      <c r="AH297" s="15"/>
      <c r="AI297" s="15"/>
      <c r="AJ297" s="15"/>
      <c r="AK297" s="15"/>
      <c r="AL297" s="15"/>
    </row>
    <row r="298" spans="1:38" x14ac:dyDescent="0.35">
      <c r="A298" s="349" t="s">
        <v>37</v>
      </c>
      <c r="B298" s="346">
        <f>D29</f>
        <v>0.24299999999999999</v>
      </c>
      <c r="C298" s="15"/>
      <c r="D298" s="15"/>
      <c r="E298" s="339"/>
      <c r="F298" s="346">
        <f>E29</f>
        <v>8.9999999999999992E-5</v>
      </c>
      <c r="G298" s="15"/>
      <c r="H298" s="15"/>
      <c r="I298" s="339"/>
      <c r="J298" s="346">
        <f>F29</f>
        <v>5.0700000000000002E-2</v>
      </c>
      <c r="K298" s="15"/>
      <c r="L298" s="15"/>
      <c r="M298" s="339"/>
      <c r="N298" s="146"/>
      <c r="O298" s="15"/>
      <c r="P298" s="15"/>
      <c r="Q298" s="15"/>
      <c r="R298" s="105"/>
      <c r="S298" s="15"/>
      <c r="T298" s="15"/>
      <c r="U298" s="15"/>
      <c r="V298" s="15"/>
      <c r="W298" s="15"/>
      <c r="X298" s="15"/>
      <c r="Y298" s="15"/>
      <c r="Z298" s="15"/>
      <c r="AA298" s="15"/>
      <c r="AB298" s="15"/>
      <c r="AC298" s="15"/>
      <c r="AD298" s="15"/>
      <c r="AE298" s="15"/>
      <c r="AF298" s="15"/>
      <c r="AG298" s="15"/>
      <c r="AH298" s="15"/>
      <c r="AI298" s="15"/>
      <c r="AJ298" s="15"/>
      <c r="AK298" s="15"/>
      <c r="AL298" s="15"/>
    </row>
    <row r="299" spans="1:38" x14ac:dyDescent="0.35">
      <c r="A299" s="349" t="s">
        <v>36</v>
      </c>
      <c r="B299" s="346">
        <f>D28</f>
        <v>3.2607899999999987</v>
      </c>
      <c r="C299" s="15"/>
      <c r="D299" s="15"/>
      <c r="E299" s="339"/>
      <c r="F299" s="346">
        <f>E28</f>
        <v>3.6230999999999992E-2</v>
      </c>
      <c r="G299" s="15"/>
      <c r="H299" s="15"/>
      <c r="I299" s="339"/>
      <c r="J299" s="346">
        <f>F28</f>
        <v>1.9741249999999995E-2</v>
      </c>
      <c r="K299" s="15"/>
      <c r="L299" s="15"/>
      <c r="M299" s="339"/>
      <c r="N299" s="146"/>
      <c r="O299" s="15"/>
      <c r="P299" s="15"/>
      <c r="Q299" s="15"/>
      <c r="R299" s="105"/>
      <c r="S299" s="15"/>
      <c r="T299" s="15"/>
      <c r="U299" s="15"/>
      <c r="V299" s="15"/>
      <c r="W299" s="15"/>
      <c r="X299" s="15"/>
      <c r="Y299" s="15"/>
      <c r="Z299" s="15"/>
      <c r="AA299" s="15"/>
      <c r="AB299" s="15"/>
      <c r="AC299" s="15"/>
      <c r="AD299" s="15"/>
      <c r="AE299" s="15"/>
      <c r="AF299" s="15"/>
      <c r="AG299" s="15"/>
      <c r="AH299" s="15"/>
      <c r="AI299" s="15"/>
      <c r="AJ299" s="15"/>
      <c r="AK299" s="15"/>
      <c r="AL299" s="15"/>
    </row>
    <row r="300" spans="1:38" x14ac:dyDescent="0.35">
      <c r="A300" s="349" t="s">
        <v>555</v>
      </c>
      <c r="B300" s="146"/>
      <c r="C300" s="26">
        <f>C36*Assumptions!B7</f>
        <v>0.1475072</v>
      </c>
      <c r="D300" s="26"/>
      <c r="E300" s="339"/>
      <c r="F300" s="146"/>
      <c r="G300" s="26">
        <f>D36*Assumptions!B7</f>
        <v>4.1033127046699689E-9</v>
      </c>
      <c r="H300" s="15"/>
      <c r="I300" s="339"/>
      <c r="J300" s="146"/>
      <c r="K300" s="15"/>
      <c r="L300" s="15"/>
      <c r="M300" s="339"/>
      <c r="N300" s="146"/>
      <c r="O300" s="26">
        <f>F36*Assumptions!B7</f>
        <v>2.2400000000000002</v>
      </c>
      <c r="P300" s="15"/>
      <c r="Q300" s="15"/>
      <c r="R300" s="105"/>
      <c r="S300" s="15"/>
      <c r="T300" s="15"/>
      <c r="U300" s="15"/>
      <c r="V300" s="15"/>
      <c r="W300" s="15"/>
      <c r="X300" s="15"/>
      <c r="Y300" s="15"/>
      <c r="Z300" s="15"/>
      <c r="AA300" s="15"/>
      <c r="AB300" s="15"/>
      <c r="AC300" s="15"/>
      <c r="AD300" s="15"/>
      <c r="AE300" s="15"/>
      <c r="AF300" s="15"/>
      <c r="AG300" s="15"/>
      <c r="AH300" s="15"/>
      <c r="AI300" s="15"/>
      <c r="AJ300" s="15"/>
      <c r="AK300" s="15"/>
      <c r="AL300" s="15"/>
    </row>
    <row r="301" spans="1:38" x14ac:dyDescent="0.35">
      <c r="A301" s="349" t="s">
        <v>44</v>
      </c>
      <c r="B301" s="146"/>
      <c r="C301" s="26">
        <f>(C37*Assumptions!B7)+D243</f>
        <v>57.809149337122498</v>
      </c>
      <c r="D301" s="26">
        <f>C42*Assumptions!B7</f>
        <v>39.317930543093169</v>
      </c>
      <c r="E301" s="339">
        <f>D254</f>
        <v>11.3391</v>
      </c>
      <c r="F301" s="146"/>
      <c r="G301" s="26">
        <f>D37*Assumptions!B7</f>
        <v>4.6470049337122503E-2</v>
      </c>
      <c r="H301" s="26">
        <f>D42*Assumptions!B7</f>
        <v>3.9317930543093169E-2</v>
      </c>
      <c r="I301" s="339">
        <f>E254</f>
        <v>1.13391E-2</v>
      </c>
      <c r="J301" s="146"/>
      <c r="K301" s="15"/>
      <c r="L301" s="15"/>
      <c r="M301" s="339"/>
      <c r="N301" s="146"/>
      <c r="O301" s="26">
        <f>F37*Assumptions!B7</f>
        <v>3.6932694052220584E-2</v>
      </c>
      <c r="P301" s="15"/>
      <c r="Q301" s="15"/>
      <c r="R301" s="105"/>
      <c r="S301" s="15"/>
      <c r="T301" s="15"/>
      <c r="U301" s="15"/>
      <c r="V301" s="15"/>
      <c r="W301" s="15"/>
      <c r="X301" s="15"/>
      <c r="Y301" s="15"/>
      <c r="Z301" s="15"/>
      <c r="AA301" s="15"/>
      <c r="AB301" s="15"/>
      <c r="AC301" s="15"/>
      <c r="AD301" s="15"/>
      <c r="AE301" s="15"/>
      <c r="AF301" s="15"/>
      <c r="AG301" s="15"/>
      <c r="AH301" s="15"/>
      <c r="AI301" s="15"/>
      <c r="AJ301" s="15"/>
      <c r="AK301" s="15"/>
      <c r="AL301" s="15"/>
    </row>
    <row r="302" spans="1:38" x14ac:dyDescent="0.35">
      <c r="A302" s="349" t="s">
        <v>556</v>
      </c>
      <c r="B302" s="146"/>
      <c r="C302" s="26">
        <f>C38*Assumptions!B7</f>
        <v>1.7837063737561099</v>
      </c>
      <c r="D302" s="15"/>
      <c r="E302" s="339"/>
      <c r="F302" s="146"/>
      <c r="G302" s="15"/>
      <c r="H302" s="15"/>
      <c r="I302" s="339"/>
      <c r="J302" s="146"/>
      <c r="K302" s="15"/>
      <c r="L302" s="15"/>
      <c r="M302" s="339"/>
      <c r="N302" s="146"/>
      <c r="O302" s="26">
        <f>F38*Assumptions!B7</f>
        <v>7.5527872290875153E-2</v>
      </c>
      <c r="P302" s="15"/>
      <c r="Q302" s="15"/>
      <c r="R302" s="105"/>
      <c r="S302" s="15"/>
      <c r="T302" s="15"/>
      <c r="U302" s="15"/>
      <c r="V302" s="15"/>
      <c r="W302" s="15"/>
      <c r="X302" s="15"/>
      <c r="Y302" s="15"/>
      <c r="Z302" s="15"/>
      <c r="AA302" s="15"/>
      <c r="AB302" s="15"/>
      <c r="AC302" s="15"/>
      <c r="AD302" s="15"/>
      <c r="AE302" s="15"/>
      <c r="AF302" s="15"/>
      <c r="AG302" s="15"/>
      <c r="AH302" s="15"/>
      <c r="AI302" s="15"/>
      <c r="AJ302" s="15"/>
      <c r="AK302" s="15"/>
      <c r="AL302" s="15"/>
    </row>
    <row r="303" spans="1:38" x14ac:dyDescent="0.35">
      <c r="A303" s="349" t="s">
        <v>46</v>
      </c>
      <c r="B303" s="146"/>
      <c r="C303" s="26">
        <f>C39*Assumptions!B7</f>
        <v>0.20033421752909375</v>
      </c>
      <c r="D303" s="15"/>
      <c r="E303" s="339"/>
      <c r="F303" s="146"/>
      <c r="G303" s="26">
        <f>D39*Assumptions!B7</f>
        <v>0.11007374589510645</v>
      </c>
      <c r="H303" s="15"/>
      <c r="I303" s="339"/>
      <c r="J303" s="146"/>
      <c r="K303" s="15"/>
      <c r="L303" s="15"/>
      <c r="M303" s="339"/>
      <c r="N303" s="146"/>
      <c r="O303" s="26">
        <f>(F39/5)*Assumptions!B7</f>
        <v>32.0565</v>
      </c>
      <c r="P303" s="15"/>
      <c r="Q303" s="15"/>
      <c r="R303" s="105"/>
      <c r="S303" s="15"/>
      <c r="T303" s="15"/>
      <c r="U303" s="15"/>
      <c r="V303" s="15"/>
      <c r="W303" s="15"/>
      <c r="X303" s="15"/>
      <c r="Y303" s="15"/>
      <c r="Z303" s="15"/>
      <c r="AA303" s="15"/>
      <c r="AB303" s="15"/>
      <c r="AC303" s="15"/>
      <c r="AD303" s="15"/>
      <c r="AE303" s="15"/>
      <c r="AF303" s="15"/>
      <c r="AG303" s="15"/>
      <c r="AH303" s="15"/>
      <c r="AI303" s="15"/>
      <c r="AJ303" s="15"/>
      <c r="AK303" s="15"/>
      <c r="AL303" s="15"/>
    </row>
    <row r="304" spans="1:38" x14ac:dyDescent="0.35">
      <c r="A304" s="349" t="s">
        <v>50</v>
      </c>
      <c r="B304" s="146"/>
      <c r="C304" s="15"/>
      <c r="D304" s="26">
        <f>C44*Assumptions!B7</f>
        <v>4.3000000000000004E-4</v>
      </c>
      <c r="E304" s="339"/>
      <c r="F304" s="146"/>
      <c r="G304" s="15"/>
      <c r="H304" s="15"/>
      <c r="I304" s="339"/>
      <c r="J304" s="146"/>
      <c r="K304" s="15"/>
      <c r="L304" s="15"/>
      <c r="M304" s="339"/>
      <c r="N304" s="146"/>
      <c r="O304" s="15"/>
      <c r="P304" s="15"/>
      <c r="Q304" s="15"/>
      <c r="R304" s="105"/>
      <c r="S304" s="15"/>
      <c r="T304" s="15"/>
      <c r="U304" s="15"/>
      <c r="V304" s="15"/>
      <c r="W304" s="15"/>
      <c r="X304" s="15"/>
      <c r="Y304" s="15"/>
      <c r="Z304" s="15"/>
      <c r="AA304" s="15"/>
      <c r="AB304" s="15"/>
      <c r="AC304" s="15"/>
      <c r="AD304" s="15"/>
      <c r="AE304" s="15"/>
      <c r="AF304" s="15"/>
      <c r="AG304" s="15"/>
      <c r="AH304" s="15"/>
      <c r="AI304" s="15"/>
      <c r="AJ304" s="15"/>
      <c r="AK304" s="15"/>
      <c r="AL304" s="15"/>
    </row>
    <row r="305" spans="1:38" x14ac:dyDescent="0.35">
      <c r="A305" s="349" t="s">
        <v>139</v>
      </c>
      <c r="B305" s="146"/>
      <c r="C305" s="15"/>
      <c r="D305" s="26">
        <f>C45*Assumptions!B7</f>
        <v>1.1528150134048256</v>
      </c>
      <c r="E305" s="339"/>
      <c r="F305" s="146"/>
      <c r="G305" s="26"/>
      <c r="H305" s="26">
        <f>D45*Assumptions!B7</f>
        <v>1.9213583556747092E-2</v>
      </c>
      <c r="I305" s="339"/>
      <c r="J305" s="146"/>
      <c r="K305" s="15"/>
      <c r="L305" s="15"/>
      <c r="M305" s="339"/>
      <c r="N305" s="146"/>
      <c r="O305" s="26">
        <f>F44*Assumptions!B7</f>
        <v>5.3092579678938726E-2</v>
      </c>
      <c r="P305" s="15"/>
      <c r="Q305" s="15"/>
      <c r="R305" s="105"/>
      <c r="S305" s="15"/>
      <c r="T305" s="15"/>
      <c r="U305" s="15"/>
      <c r="V305" s="15"/>
      <c r="W305" s="15"/>
      <c r="X305" s="15"/>
      <c r="Y305" s="15"/>
      <c r="Z305" s="15"/>
      <c r="AA305" s="15"/>
      <c r="AB305" s="15"/>
      <c r="AC305" s="15"/>
      <c r="AD305" s="15"/>
      <c r="AE305" s="15"/>
      <c r="AF305" s="15"/>
      <c r="AG305" s="15"/>
      <c r="AH305" s="15"/>
      <c r="AI305" s="15"/>
      <c r="AJ305" s="15"/>
      <c r="AK305" s="15"/>
      <c r="AL305" s="15"/>
    </row>
    <row r="306" spans="1:38" x14ac:dyDescent="0.35">
      <c r="A306" s="349" t="s">
        <v>48</v>
      </c>
      <c r="B306" s="146"/>
      <c r="C306" s="15"/>
      <c r="D306" s="26">
        <f>C41*Assumptions!B7</f>
        <v>0.14566357125012611</v>
      </c>
      <c r="E306" s="339"/>
      <c r="F306" s="146"/>
      <c r="G306" s="15"/>
      <c r="H306" s="26">
        <f>D41*Assumptions!B7</f>
        <v>0.11204890096163547</v>
      </c>
      <c r="I306" s="339"/>
      <c r="J306" s="146"/>
      <c r="K306" s="15"/>
      <c r="L306" s="15"/>
      <c r="M306" s="339"/>
      <c r="N306" s="146"/>
      <c r="O306" s="15"/>
      <c r="P306" s="15"/>
      <c r="Q306" s="15"/>
      <c r="R306" s="105"/>
      <c r="S306" s="15"/>
      <c r="T306" s="15"/>
      <c r="U306" s="15"/>
      <c r="V306" s="15"/>
      <c r="W306" s="15"/>
      <c r="X306" s="15"/>
      <c r="Y306" s="15"/>
      <c r="Z306" s="15"/>
      <c r="AA306" s="15"/>
      <c r="AB306" s="15"/>
      <c r="AC306" s="15"/>
      <c r="AD306" s="15"/>
      <c r="AE306" s="15"/>
      <c r="AF306" s="15"/>
      <c r="AG306" s="15"/>
      <c r="AH306" s="15"/>
      <c r="AI306" s="15"/>
      <c r="AJ306" s="15"/>
      <c r="AK306" s="15"/>
      <c r="AL306" s="15"/>
    </row>
    <row r="307" spans="1:38" x14ac:dyDescent="0.35">
      <c r="A307" s="349" t="s">
        <v>57</v>
      </c>
      <c r="B307" s="146"/>
      <c r="C307" s="15"/>
      <c r="D307" s="15"/>
      <c r="E307" s="340">
        <f>(C47+C45)*Assumptions!B7</f>
        <v>1.2894916291022447</v>
      </c>
      <c r="F307" s="146"/>
      <c r="G307" s="15"/>
      <c r="I307" s="26">
        <f>D47*Assumptions!B7</f>
        <v>2.2779435949569849E-3</v>
      </c>
      <c r="J307" s="146"/>
      <c r="K307" s="15"/>
      <c r="L307" s="15"/>
      <c r="M307" s="339"/>
      <c r="N307" s="146"/>
      <c r="O307" s="15"/>
      <c r="P307" s="15"/>
      <c r="Q307" s="15"/>
      <c r="R307" s="105"/>
      <c r="S307" s="15"/>
      <c r="T307" s="15"/>
      <c r="U307" s="15"/>
      <c r="V307" s="15"/>
      <c r="W307" s="15"/>
      <c r="X307" s="15"/>
      <c r="Y307" s="15"/>
      <c r="Z307" s="15"/>
      <c r="AA307" s="15"/>
      <c r="AB307" s="15"/>
      <c r="AC307" s="15"/>
      <c r="AD307" s="15"/>
      <c r="AE307" s="15"/>
      <c r="AF307" s="15"/>
      <c r="AG307" s="15"/>
      <c r="AH307" s="15"/>
      <c r="AI307" s="15"/>
      <c r="AJ307" s="15"/>
      <c r="AK307" s="15"/>
      <c r="AL307" s="15"/>
    </row>
    <row r="308" spans="1:38" x14ac:dyDescent="0.35">
      <c r="A308" s="349" t="s">
        <v>422</v>
      </c>
      <c r="B308" s="346">
        <f>D232</f>
        <v>1.25</v>
      </c>
      <c r="C308" s="26"/>
      <c r="D308" s="26"/>
      <c r="E308" s="340"/>
      <c r="F308" s="346">
        <f>E232</f>
        <v>4.9501190000000002E-3</v>
      </c>
      <c r="G308" s="26"/>
      <c r="H308" s="26"/>
      <c r="I308" s="340"/>
      <c r="J308" s="346">
        <f>F232</f>
        <v>3.6666666666666667E-4</v>
      </c>
      <c r="K308" s="26"/>
      <c r="L308" s="26"/>
      <c r="M308" s="340"/>
      <c r="N308" s="146"/>
      <c r="O308" s="15"/>
      <c r="P308" s="15"/>
      <c r="Q308" s="15"/>
      <c r="R308" s="105"/>
      <c r="S308" s="15"/>
      <c r="T308" s="15"/>
      <c r="U308" s="15"/>
      <c r="V308" s="15"/>
      <c r="W308" s="15"/>
      <c r="X308" s="15"/>
      <c r="Y308" s="15"/>
      <c r="Z308" s="15"/>
      <c r="AA308" s="15"/>
      <c r="AB308" s="15"/>
      <c r="AC308" s="15"/>
      <c r="AD308" s="15"/>
      <c r="AE308" s="15"/>
      <c r="AF308" s="15"/>
      <c r="AG308" s="15"/>
      <c r="AH308" s="15"/>
      <c r="AI308" s="15"/>
      <c r="AJ308" s="15"/>
      <c r="AK308" s="15"/>
      <c r="AL308" s="15"/>
    </row>
    <row r="309" spans="1:38" x14ac:dyDescent="0.35">
      <c r="A309" s="349" t="s">
        <v>383</v>
      </c>
      <c r="B309" s="346">
        <f t="shared" ref="B309:B320" si="9">D219</f>
        <v>21.666666666666668</v>
      </c>
      <c r="C309" s="26"/>
      <c r="D309" s="26"/>
      <c r="E309" s="340"/>
      <c r="F309" s="346">
        <f t="shared" ref="F309:F314" si="10">E219</f>
        <v>9.7066666666666648E-2</v>
      </c>
      <c r="G309" s="26"/>
      <c r="H309" s="26"/>
      <c r="I309" s="340"/>
      <c r="J309" s="346">
        <f>F219</f>
        <v>0.11666666666666665</v>
      </c>
      <c r="K309" s="26"/>
      <c r="L309" s="26"/>
      <c r="M309" s="340"/>
      <c r="N309" s="146"/>
      <c r="O309" s="15"/>
      <c r="P309" s="15"/>
      <c r="Q309" s="15"/>
      <c r="R309" s="105"/>
      <c r="S309" s="15"/>
      <c r="T309" s="15"/>
      <c r="U309" s="15"/>
      <c r="V309" s="15"/>
      <c r="W309" s="15"/>
      <c r="X309" s="15"/>
      <c r="Y309" s="15"/>
      <c r="Z309" s="15"/>
      <c r="AA309" s="15"/>
      <c r="AB309" s="15"/>
      <c r="AC309" s="15"/>
      <c r="AD309" s="15"/>
      <c r="AE309" s="15"/>
      <c r="AF309" s="15"/>
      <c r="AG309" s="15"/>
      <c r="AH309" s="15"/>
      <c r="AI309" s="15"/>
      <c r="AJ309" s="15"/>
      <c r="AK309" s="15"/>
      <c r="AL309" s="15"/>
    </row>
    <row r="310" spans="1:38" x14ac:dyDescent="0.35">
      <c r="A310" s="349" t="s">
        <v>393</v>
      </c>
      <c r="B310" s="346">
        <f t="shared" si="9"/>
        <v>10</v>
      </c>
      <c r="C310" s="26"/>
      <c r="D310" s="26"/>
      <c r="E310" s="340"/>
      <c r="F310" s="346">
        <f t="shared" si="10"/>
        <v>4.3305729999999994E-2</v>
      </c>
      <c r="G310" s="26"/>
      <c r="H310" s="26"/>
      <c r="I310" s="340"/>
      <c r="J310" s="346">
        <f t="shared" ref="J310:J313" si="11">F220</f>
        <v>0.12</v>
      </c>
      <c r="K310" s="26"/>
      <c r="L310" s="26"/>
      <c r="M310" s="340"/>
      <c r="N310" s="146"/>
      <c r="O310" s="15"/>
      <c r="P310" s="15"/>
      <c r="Q310" s="15"/>
      <c r="R310" s="105"/>
      <c r="S310" s="15"/>
      <c r="T310" s="15"/>
      <c r="U310" s="15"/>
      <c r="V310" s="15"/>
      <c r="W310" s="15"/>
      <c r="X310" s="15"/>
      <c r="Y310" s="15"/>
      <c r="Z310" s="15"/>
      <c r="AA310" s="15"/>
      <c r="AB310" s="15"/>
      <c r="AC310" s="15"/>
      <c r="AD310" s="15"/>
      <c r="AE310" s="15"/>
      <c r="AF310" s="15"/>
      <c r="AG310" s="15"/>
      <c r="AH310" s="15"/>
      <c r="AI310" s="15"/>
      <c r="AJ310" s="15"/>
      <c r="AK310" s="15"/>
      <c r="AL310" s="15"/>
    </row>
    <row r="311" spans="1:38" x14ac:dyDescent="0.35">
      <c r="A311" s="349" t="s">
        <v>394</v>
      </c>
      <c r="B311" s="346">
        <f t="shared" si="9"/>
        <v>1.0959939531368101</v>
      </c>
      <c r="C311" s="26"/>
      <c r="D311" s="26"/>
      <c r="E311" s="340"/>
      <c r="F311" s="346">
        <f t="shared" si="10"/>
        <v>8.5244195962880015E-4</v>
      </c>
      <c r="G311" s="26"/>
      <c r="H311" s="26"/>
      <c r="I311" s="340"/>
      <c r="J311" s="346">
        <f t="shared" si="11"/>
        <v>7.2450000000000001E-2</v>
      </c>
      <c r="K311" s="26"/>
      <c r="L311" s="26"/>
      <c r="M311" s="340"/>
      <c r="N311" s="146"/>
      <c r="O311" s="15"/>
      <c r="P311" s="15"/>
      <c r="Q311" s="15"/>
      <c r="R311" s="105"/>
      <c r="S311" s="15"/>
      <c r="T311" s="15"/>
      <c r="U311" s="15"/>
      <c r="V311" s="15"/>
      <c r="W311" s="15"/>
      <c r="X311" s="15"/>
      <c r="Y311" s="15"/>
      <c r="Z311" s="15"/>
      <c r="AA311" s="15"/>
      <c r="AB311" s="15"/>
      <c r="AC311" s="15"/>
      <c r="AD311" s="15"/>
      <c r="AE311" s="15"/>
      <c r="AF311" s="15"/>
      <c r="AG311" s="15"/>
      <c r="AH311" s="15"/>
      <c r="AI311" s="15"/>
      <c r="AJ311" s="15"/>
      <c r="AK311" s="15"/>
      <c r="AL311" s="15"/>
    </row>
    <row r="312" spans="1:38" x14ac:dyDescent="0.35">
      <c r="A312" s="349" t="s">
        <v>395</v>
      </c>
      <c r="B312" s="346">
        <f t="shared" si="9"/>
        <v>8</v>
      </c>
      <c r="C312" s="26"/>
      <c r="D312" s="26"/>
      <c r="E312" s="340"/>
      <c r="F312" s="346">
        <f t="shared" si="10"/>
        <v>2.0212999999999998E-2</v>
      </c>
      <c r="G312" s="26"/>
      <c r="H312" s="26"/>
      <c r="I312" s="340"/>
      <c r="J312" s="346">
        <f t="shared" si="11"/>
        <v>0.23333333333333331</v>
      </c>
      <c r="K312" s="26"/>
      <c r="L312" s="26"/>
      <c r="M312" s="340"/>
      <c r="N312" s="146"/>
      <c r="O312" s="15"/>
      <c r="P312" s="15"/>
      <c r="Q312" s="15"/>
      <c r="R312" s="105"/>
      <c r="S312" s="15"/>
      <c r="T312" s="15"/>
      <c r="U312" s="15"/>
      <c r="V312" s="15"/>
      <c r="W312" s="15"/>
      <c r="X312" s="15"/>
      <c r="Y312" s="15"/>
      <c r="Z312" s="15"/>
      <c r="AA312" s="15"/>
      <c r="AB312" s="15"/>
      <c r="AC312" s="15"/>
      <c r="AD312" s="15"/>
      <c r="AE312" s="15"/>
      <c r="AF312" s="15"/>
      <c r="AG312" s="15"/>
      <c r="AH312" s="15"/>
      <c r="AI312" s="15"/>
      <c r="AJ312" s="15"/>
      <c r="AK312" s="15"/>
      <c r="AL312" s="15"/>
    </row>
    <row r="313" spans="1:38" x14ac:dyDescent="0.35">
      <c r="A313" s="349" t="s">
        <v>396</v>
      </c>
      <c r="B313" s="346">
        <f t="shared" si="9"/>
        <v>11.946666666666665</v>
      </c>
      <c r="C313" s="26"/>
      <c r="D313" s="26"/>
      <c r="E313" s="340"/>
      <c r="F313" s="346">
        <f t="shared" si="10"/>
        <v>1.8703599999999997E-2</v>
      </c>
      <c r="G313" s="26"/>
      <c r="H313" s="26"/>
      <c r="I313" s="340"/>
      <c r="J313" s="346">
        <f t="shared" si="11"/>
        <v>0.15833333333333333</v>
      </c>
      <c r="K313" s="26"/>
      <c r="L313" s="26"/>
      <c r="M313" s="340"/>
      <c r="N313" s="146"/>
      <c r="O313" s="15"/>
      <c r="P313" s="15"/>
      <c r="Q313" s="15"/>
      <c r="R313" s="105"/>
      <c r="S313" s="15"/>
      <c r="T313" s="15"/>
      <c r="U313" s="15"/>
      <c r="V313" s="15"/>
      <c r="W313" s="15"/>
      <c r="X313" s="15"/>
      <c r="Y313" s="15"/>
      <c r="Z313" s="15"/>
      <c r="AA313" s="15"/>
      <c r="AB313" s="15"/>
      <c r="AC313" s="15"/>
      <c r="AD313" s="15"/>
      <c r="AE313" s="15"/>
      <c r="AF313" s="15"/>
      <c r="AG313" s="15"/>
      <c r="AH313" s="15"/>
      <c r="AI313" s="15"/>
      <c r="AJ313" s="15"/>
      <c r="AK313" s="15"/>
      <c r="AL313" s="15"/>
    </row>
    <row r="314" spans="1:38" x14ac:dyDescent="0.35">
      <c r="A314" s="349" t="s">
        <v>397</v>
      </c>
      <c r="B314" s="346">
        <f t="shared" si="9"/>
        <v>0.10166666666666667</v>
      </c>
      <c r="C314" s="26"/>
      <c r="D314" s="26"/>
      <c r="E314" s="340"/>
      <c r="F314" s="346">
        <f t="shared" si="10"/>
        <v>9.0000000000000006E-5</v>
      </c>
      <c r="G314" s="26"/>
      <c r="H314" s="26"/>
      <c r="I314" s="340"/>
      <c r="J314" s="346"/>
      <c r="K314" s="26"/>
      <c r="L314" s="26"/>
      <c r="M314" s="340"/>
      <c r="N314" s="146"/>
      <c r="O314" s="15"/>
      <c r="P314" s="15"/>
      <c r="Q314" s="15"/>
      <c r="R314" s="105"/>
      <c r="S314" s="15"/>
      <c r="T314" s="15"/>
      <c r="U314" s="15"/>
      <c r="V314" s="15"/>
      <c r="W314" s="15"/>
      <c r="X314" s="15"/>
      <c r="Y314" s="15"/>
      <c r="Z314" s="15"/>
      <c r="AA314" s="15"/>
      <c r="AB314" s="15"/>
      <c r="AC314" s="15"/>
      <c r="AD314" s="15"/>
      <c r="AE314" s="15"/>
      <c r="AF314" s="15"/>
      <c r="AG314" s="15"/>
      <c r="AH314" s="15"/>
      <c r="AI314" s="15"/>
      <c r="AJ314" s="15"/>
      <c r="AK314" s="15"/>
      <c r="AL314" s="15"/>
    </row>
    <row r="315" spans="1:38" x14ac:dyDescent="0.35">
      <c r="A315" s="349" t="s">
        <v>557</v>
      </c>
      <c r="B315" s="346">
        <f t="shared" si="9"/>
        <v>0.21933333333333335</v>
      </c>
      <c r="C315" s="26"/>
      <c r="D315" s="26"/>
      <c r="E315" s="340"/>
      <c r="F315" s="346">
        <f t="shared" ref="F315:F320" si="12">E225</f>
        <v>1.5833626974092556E-3</v>
      </c>
      <c r="G315" s="26"/>
      <c r="H315" s="26"/>
      <c r="I315" s="340"/>
      <c r="J315" s="346"/>
      <c r="K315" s="26"/>
      <c r="L315" s="26"/>
      <c r="M315" s="340"/>
      <c r="N315" s="146"/>
      <c r="O315" s="15"/>
      <c r="P315" s="15"/>
      <c r="Q315" s="15"/>
      <c r="R315" s="105"/>
      <c r="S315" s="15"/>
      <c r="T315" s="15"/>
      <c r="U315" s="15"/>
      <c r="V315" s="15"/>
      <c r="W315" s="15"/>
      <c r="X315" s="15"/>
      <c r="Y315" s="15"/>
      <c r="Z315" s="15"/>
      <c r="AA315" s="15"/>
      <c r="AB315" s="15"/>
      <c r="AC315" s="15"/>
      <c r="AD315" s="15"/>
      <c r="AE315" s="15"/>
      <c r="AF315" s="15"/>
      <c r="AG315" s="15"/>
      <c r="AH315" s="15"/>
      <c r="AI315" s="15"/>
      <c r="AJ315" s="15"/>
      <c r="AK315" s="15"/>
      <c r="AL315" s="15"/>
    </row>
    <row r="316" spans="1:38" x14ac:dyDescent="0.35">
      <c r="A316" s="349" t="s">
        <v>558</v>
      </c>
      <c r="B316" s="346">
        <f t="shared" si="9"/>
        <v>4.3645000000000003E-3</v>
      </c>
      <c r="C316" s="26"/>
      <c r="D316" s="26"/>
      <c r="E316" s="340"/>
      <c r="F316" s="346">
        <f t="shared" si="12"/>
        <v>1.0666666666666669E-5</v>
      </c>
      <c r="G316" s="26"/>
      <c r="H316" s="26"/>
      <c r="I316" s="340"/>
      <c r="J316" s="346"/>
      <c r="K316" s="26"/>
      <c r="L316" s="26"/>
      <c r="M316" s="340"/>
      <c r="N316" s="146"/>
      <c r="O316" s="15"/>
      <c r="P316" s="15"/>
      <c r="Q316" s="15"/>
      <c r="R316" s="105"/>
      <c r="S316" s="15"/>
      <c r="T316" s="15"/>
      <c r="U316" s="15"/>
      <c r="V316" s="15"/>
      <c r="W316" s="15"/>
      <c r="X316" s="15"/>
      <c r="Y316" s="15"/>
      <c r="Z316" s="15"/>
      <c r="AA316" s="15"/>
      <c r="AB316" s="15"/>
      <c r="AC316" s="15"/>
      <c r="AD316" s="15"/>
      <c r="AE316" s="15"/>
      <c r="AF316" s="15"/>
      <c r="AG316" s="15"/>
      <c r="AH316" s="15"/>
      <c r="AI316" s="15"/>
      <c r="AJ316" s="15"/>
      <c r="AK316" s="15"/>
      <c r="AL316" s="15"/>
    </row>
    <row r="317" spans="1:38" x14ac:dyDescent="0.35">
      <c r="A317" s="349" t="s">
        <v>559</v>
      </c>
      <c r="B317" s="346">
        <f t="shared" si="9"/>
        <v>0.28849999999999998</v>
      </c>
      <c r="C317" s="26"/>
      <c r="D317" s="26"/>
      <c r="E317" s="340"/>
      <c r="F317" s="346">
        <f t="shared" si="12"/>
        <v>9.0320788790706564E-4</v>
      </c>
      <c r="G317" s="26"/>
      <c r="H317" s="26"/>
      <c r="I317" s="340"/>
      <c r="J317" s="346"/>
      <c r="K317" s="26"/>
      <c r="L317" s="26"/>
      <c r="M317" s="340"/>
      <c r="N317" s="146"/>
      <c r="O317" s="15"/>
      <c r="P317" s="15"/>
      <c r="Q317" s="15"/>
      <c r="R317" s="105"/>
      <c r="S317" s="15"/>
      <c r="T317" s="15"/>
      <c r="U317" s="15"/>
      <c r="V317" s="15"/>
      <c r="W317" s="15"/>
      <c r="X317" s="15"/>
      <c r="Y317" s="15"/>
      <c r="Z317" s="15"/>
      <c r="AA317" s="15"/>
      <c r="AB317" s="15"/>
      <c r="AC317" s="15"/>
      <c r="AD317" s="15"/>
      <c r="AE317" s="15"/>
      <c r="AF317" s="15"/>
      <c r="AG317" s="15"/>
      <c r="AH317" s="15"/>
      <c r="AI317" s="15"/>
      <c r="AJ317" s="15"/>
      <c r="AK317" s="15"/>
      <c r="AL317" s="15"/>
    </row>
    <row r="318" spans="1:38" x14ac:dyDescent="0.35">
      <c r="A318" s="349" t="s">
        <v>560</v>
      </c>
      <c r="B318" s="346">
        <f t="shared" si="9"/>
        <v>1.95E-2</v>
      </c>
      <c r="C318" s="26"/>
      <c r="D318" s="26"/>
      <c r="E318" s="340"/>
      <c r="F318" s="346">
        <f t="shared" si="12"/>
        <v>3.3183072403542192E-4</v>
      </c>
      <c r="G318" s="26"/>
      <c r="H318" s="26"/>
      <c r="I318" s="340"/>
      <c r="J318" s="346"/>
      <c r="K318" s="26"/>
      <c r="L318" s="26"/>
      <c r="M318" s="340"/>
      <c r="N318" s="146"/>
      <c r="O318" s="15"/>
      <c r="P318" s="15"/>
      <c r="Q318" s="15"/>
      <c r="R318" s="105"/>
      <c r="S318" s="15"/>
      <c r="T318" s="15"/>
      <c r="U318" s="15"/>
      <c r="V318" s="15"/>
      <c r="W318" s="15"/>
      <c r="X318" s="15"/>
      <c r="Y318" s="15"/>
      <c r="Z318" s="15"/>
      <c r="AA318" s="15"/>
      <c r="AB318" s="15"/>
      <c r="AC318" s="15"/>
      <c r="AD318" s="15"/>
      <c r="AE318" s="15"/>
      <c r="AF318" s="15"/>
      <c r="AG318" s="15"/>
      <c r="AH318" s="15"/>
      <c r="AI318" s="15"/>
      <c r="AJ318" s="15"/>
      <c r="AK318" s="15"/>
      <c r="AL318" s="15"/>
    </row>
    <row r="319" spans="1:38" x14ac:dyDescent="0.35">
      <c r="A319" s="349" t="s">
        <v>405</v>
      </c>
      <c r="B319" s="346">
        <f t="shared" si="9"/>
        <v>1.7683333333333333E-3</v>
      </c>
      <c r="C319" s="26"/>
      <c r="D319" s="26"/>
      <c r="E319" s="340"/>
      <c r="F319" s="346">
        <f t="shared" si="12"/>
        <v>2.9866666666666667E-6</v>
      </c>
      <c r="G319" s="26"/>
      <c r="H319" s="26"/>
      <c r="I319" s="340"/>
      <c r="J319" s="346"/>
      <c r="K319" s="26"/>
      <c r="L319" s="26"/>
      <c r="M319" s="340"/>
      <c r="N319" s="146"/>
      <c r="O319" s="15"/>
      <c r="P319" s="15"/>
      <c r="Q319" s="15"/>
      <c r="R319" s="105"/>
      <c r="S319" s="15"/>
      <c r="T319" s="15"/>
      <c r="U319" s="15"/>
      <c r="V319" s="15"/>
      <c r="W319" s="15"/>
      <c r="X319" s="15"/>
      <c r="Y319" s="15"/>
      <c r="Z319" s="15"/>
      <c r="AA319" s="15"/>
      <c r="AB319" s="15"/>
      <c r="AC319" s="15"/>
      <c r="AD319" s="15"/>
      <c r="AE319" s="15"/>
      <c r="AF319" s="15"/>
      <c r="AG319" s="15"/>
      <c r="AH319" s="15"/>
      <c r="AI319" s="15"/>
      <c r="AJ319" s="15"/>
      <c r="AK319" s="15"/>
      <c r="AL319" s="15"/>
    </row>
    <row r="320" spans="1:38" x14ac:dyDescent="0.35">
      <c r="A320" s="349" t="s">
        <v>561</v>
      </c>
      <c r="B320" s="346">
        <f t="shared" si="9"/>
        <v>0.49780000000000002</v>
      </c>
      <c r="C320" s="26"/>
      <c r="D320" s="26"/>
      <c r="E320" s="340"/>
      <c r="F320" s="346">
        <f t="shared" si="12"/>
        <v>5.0821873415390602E-3</v>
      </c>
      <c r="G320" s="26"/>
      <c r="H320" s="26"/>
      <c r="I320" s="340"/>
      <c r="J320" s="346"/>
      <c r="K320" s="26"/>
      <c r="L320" s="26"/>
      <c r="M320" s="340"/>
      <c r="N320" s="146"/>
      <c r="O320" s="15"/>
      <c r="P320" s="15"/>
      <c r="Q320" s="15"/>
      <c r="R320" s="105"/>
      <c r="S320" s="15"/>
      <c r="T320" s="15"/>
      <c r="U320" s="15"/>
      <c r="V320" s="15"/>
      <c r="W320" s="15"/>
      <c r="X320" s="15"/>
      <c r="Y320" s="15"/>
      <c r="Z320" s="15"/>
      <c r="AA320" s="15"/>
      <c r="AB320" s="15"/>
      <c r="AC320" s="15"/>
      <c r="AD320" s="15"/>
      <c r="AE320" s="15"/>
      <c r="AF320" s="15"/>
      <c r="AG320" s="15"/>
      <c r="AH320" s="15"/>
      <c r="AI320" s="15"/>
      <c r="AJ320" s="15"/>
      <c r="AK320" s="15"/>
      <c r="AL320" s="15"/>
    </row>
    <row r="321" spans="1:38" x14ac:dyDescent="0.35">
      <c r="A321" s="349" t="s">
        <v>562</v>
      </c>
      <c r="B321" s="346"/>
      <c r="C321" s="26">
        <f>D233</f>
        <v>7.7601800000000012E-2</v>
      </c>
      <c r="D321" s="26"/>
      <c r="E321" s="340">
        <f>D244</f>
        <v>7.7601800000000012E-2</v>
      </c>
      <c r="F321" s="346"/>
      <c r="G321" s="26">
        <f>E233</f>
        <v>7.1000000000000002E-4</v>
      </c>
      <c r="H321" s="26"/>
      <c r="I321" s="340">
        <f>E244</f>
        <v>7.1000000000000002E-4</v>
      </c>
      <c r="J321" s="346"/>
      <c r="K321" s="26"/>
      <c r="L321" s="26"/>
      <c r="M321" s="340"/>
      <c r="N321" s="146"/>
      <c r="O321" s="15">
        <f>G233</f>
        <v>344</v>
      </c>
      <c r="P321" s="15"/>
      <c r="Q321" s="15"/>
      <c r="R321" s="105"/>
      <c r="S321" s="15"/>
      <c r="T321" s="15"/>
      <c r="U321" s="15"/>
      <c r="V321" s="15"/>
      <c r="W321" s="15"/>
      <c r="X321" s="15"/>
      <c r="Y321" s="15"/>
      <c r="Z321" s="15"/>
      <c r="AA321" s="15"/>
      <c r="AB321" s="15"/>
      <c r="AC321" s="15"/>
      <c r="AD321" s="15"/>
      <c r="AE321" s="15"/>
      <c r="AF321" s="15"/>
      <c r="AG321" s="15"/>
      <c r="AH321" s="15"/>
      <c r="AI321" s="15"/>
      <c r="AJ321" s="15"/>
      <c r="AK321" s="15"/>
      <c r="AL321" s="15"/>
    </row>
    <row r="322" spans="1:38" x14ac:dyDescent="0.35">
      <c r="A322" s="349" t="s">
        <v>412</v>
      </c>
      <c r="B322" s="346"/>
      <c r="C322" s="26">
        <f t="shared" ref="C322:C330" si="13">D234</f>
        <v>0.84711720000000001</v>
      </c>
      <c r="D322" s="26"/>
      <c r="E322" s="340">
        <f t="shared" ref="E322:E330" si="14">D245</f>
        <v>0.84711720000000001</v>
      </c>
      <c r="F322" s="346"/>
      <c r="G322" s="26">
        <f t="shared" ref="G322:G330" si="15">E234</f>
        <v>5.2954685768909554E-3</v>
      </c>
      <c r="H322" s="26"/>
      <c r="I322" s="340">
        <f t="shared" ref="I322:I330" si="16">E245</f>
        <v>5.2954685768909554E-3</v>
      </c>
      <c r="J322" s="346"/>
      <c r="K322" s="26"/>
      <c r="L322" s="26"/>
      <c r="M322" s="340"/>
      <c r="N322" s="146"/>
      <c r="O322" s="15"/>
      <c r="P322" s="15"/>
      <c r="Q322" s="15"/>
      <c r="R322" s="105"/>
      <c r="S322" s="15"/>
      <c r="T322" s="15"/>
      <c r="U322" s="15"/>
      <c r="V322" s="15"/>
      <c r="W322" s="15"/>
      <c r="X322" s="15"/>
      <c r="Y322" s="15"/>
      <c r="Z322" s="15"/>
      <c r="AA322" s="15"/>
      <c r="AB322" s="15"/>
      <c r="AC322" s="15"/>
      <c r="AD322" s="15"/>
      <c r="AE322" s="15"/>
      <c r="AF322" s="15"/>
      <c r="AG322" s="15"/>
      <c r="AH322" s="15"/>
      <c r="AI322" s="15"/>
      <c r="AJ322" s="15"/>
      <c r="AK322" s="15"/>
      <c r="AL322" s="15"/>
    </row>
    <row r="323" spans="1:38" x14ac:dyDescent="0.35">
      <c r="A323" s="349" t="s">
        <v>563</v>
      </c>
      <c r="B323" s="346"/>
      <c r="C323" s="26">
        <f t="shared" si="13"/>
        <v>4.2000000000000006E-3</v>
      </c>
      <c r="D323" s="26"/>
      <c r="E323" s="340">
        <f t="shared" si="14"/>
        <v>4.2000000000000006E-3</v>
      </c>
      <c r="F323" s="346"/>
      <c r="G323" s="26">
        <f t="shared" si="15"/>
        <v>2.8500528553366603E-5</v>
      </c>
      <c r="H323" s="26"/>
      <c r="I323" s="340">
        <f t="shared" si="16"/>
        <v>2.8500528553366603E-5</v>
      </c>
      <c r="J323" s="346"/>
      <c r="K323" s="26"/>
      <c r="L323" s="26"/>
      <c r="M323" s="340"/>
      <c r="N323" s="146"/>
      <c r="O323" s="15"/>
      <c r="P323" s="15"/>
      <c r="Q323" s="15"/>
      <c r="R323" s="105"/>
      <c r="S323" s="15"/>
      <c r="T323" s="15"/>
      <c r="U323" s="15"/>
      <c r="V323" s="15"/>
      <c r="W323" s="15"/>
      <c r="X323" s="15"/>
      <c r="Y323" s="15"/>
      <c r="Z323" s="15"/>
      <c r="AA323" s="15"/>
      <c r="AB323" s="15"/>
      <c r="AC323" s="15"/>
      <c r="AD323" s="15"/>
      <c r="AE323" s="15"/>
      <c r="AF323" s="15"/>
      <c r="AG323" s="15"/>
      <c r="AH323" s="15"/>
      <c r="AI323" s="15"/>
      <c r="AJ323" s="15"/>
      <c r="AK323" s="15"/>
      <c r="AL323" s="15"/>
    </row>
    <row r="324" spans="1:38" x14ac:dyDescent="0.35">
      <c r="A324" s="349" t="s">
        <v>564</v>
      </c>
      <c r="B324" s="346"/>
      <c r="C324" s="26">
        <f t="shared" si="13"/>
        <v>4.0400000000000002E-3</v>
      </c>
      <c r="D324" s="26"/>
      <c r="E324" s="340">
        <f t="shared" si="14"/>
        <v>4.0400000000000002E-3</v>
      </c>
      <c r="F324" s="346"/>
      <c r="G324" s="26">
        <f t="shared" si="15"/>
        <v>2.8500528553366603E-5</v>
      </c>
      <c r="H324" s="26"/>
      <c r="I324" s="340">
        <f t="shared" si="16"/>
        <v>2.8500528553366603E-5</v>
      </c>
      <c r="J324" s="346"/>
      <c r="K324" s="26"/>
      <c r="L324" s="26"/>
      <c r="M324" s="340"/>
      <c r="N324" s="146"/>
      <c r="O324" s="15"/>
      <c r="P324" s="15"/>
      <c r="Q324" s="15"/>
      <c r="R324" s="105"/>
      <c r="S324" s="15"/>
      <c r="T324" s="15"/>
      <c r="U324" s="15"/>
      <c r="V324" s="15"/>
      <c r="W324" s="15"/>
      <c r="X324" s="15"/>
      <c r="Y324" s="15"/>
      <c r="Z324" s="15"/>
      <c r="AA324" s="15"/>
      <c r="AB324" s="15"/>
      <c r="AC324" s="15"/>
      <c r="AD324" s="15"/>
      <c r="AE324" s="15"/>
      <c r="AF324" s="15"/>
      <c r="AG324" s="15"/>
      <c r="AH324" s="15"/>
      <c r="AI324" s="15"/>
      <c r="AJ324" s="15"/>
      <c r="AK324" s="15"/>
      <c r="AL324" s="15"/>
    </row>
    <row r="325" spans="1:38" x14ac:dyDescent="0.35">
      <c r="A325" s="349" t="s">
        <v>565</v>
      </c>
      <c r="B325" s="346"/>
      <c r="C325" s="26">
        <f t="shared" si="13"/>
        <v>4.0400000000000002E-3</v>
      </c>
      <c r="D325" s="26"/>
      <c r="E325" s="340">
        <f t="shared" si="14"/>
        <v>4.0400000000000002E-3</v>
      </c>
      <c r="F325" s="346"/>
      <c r="G325" s="26">
        <f t="shared" si="15"/>
        <v>2.8500528553366603E-5</v>
      </c>
      <c r="H325" s="26"/>
      <c r="I325" s="340">
        <f t="shared" si="16"/>
        <v>2.8500528553366603E-5</v>
      </c>
      <c r="J325" s="346"/>
      <c r="K325" s="26"/>
      <c r="L325" s="26"/>
      <c r="M325" s="340"/>
      <c r="N325" s="146"/>
      <c r="O325" s="15"/>
      <c r="P325" s="15"/>
      <c r="Q325" s="15"/>
      <c r="R325" s="105"/>
      <c r="S325" s="15"/>
      <c r="T325" s="15"/>
      <c r="U325" s="15"/>
      <c r="V325" s="15"/>
      <c r="W325" s="15"/>
      <c r="X325" s="15"/>
      <c r="Y325" s="15"/>
      <c r="Z325" s="15"/>
      <c r="AA325" s="15"/>
      <c r="AB325" s="15"/>
      <c r="AC325" s="15"/>
      <c r="AD325" s="15"/>
      <c r="AE325" s="15"/>
      <c r="AF325" s="15"/>
      <c r="AG325" s="15"/>
      <c r="AH325" s="15"/>
      <c r="AI325" s="15"/>
      <c r="AJ325" s="15"/>
      <c r="AK325" s="15"/>
      <c r="AL325" s="15"/>
    </row>
    <row r="326" spans="1:38" x14ac:dyDescent="0.35">
      <c r="A326" s="349" t="s">
        <v>566</v>
      </c>
      <c r="B326" s="346"/>
      <c r="C326" s="26">
        <f t="shared" si="13"/>
        <v>2.1471285E-2</v>
      </c>
      <c r="D326" s="26"/>
      <c r="E326" s="340">
        <f t="shared" si="14"/>
        <v>2.1471285E-2</v>
      </c>
      <c r="F326" s="346"/>
      <c r="G326" s="26">
        <f t="shared" si="15"/>
        <v>4.1563270806992968E-5</v>
      </c>
      <c r="H326" s="26"/>
      <c r="I326" s="340">
        <f t="shared" si="16"/>
        <v>4.1563270806992968E-5</v>
      </c>
      <c r="J326" s="346"/>
      <c r="K326" s="26"/>
      <c r="L326" s="26"/>
      <c r="M326" s="340"/>
      <c r="N326" s="146"/>
      <c r="O326" s="15"/>
      <c r="P326" s="15"/>
      <c r="Q326" s="15"/>
      <c r="R326" s="105"/>
      <c r="S326" s="15"/>
      <c r="T326" s="15"/>
      <c r="U326" s="15"/>
      <c r="V326" s="15"/>
      <c r="W326" s="15"/>
      <c r="X326" s="15"/>
      <c r="Y326" s="15"/>
      <c r="Z326" s="15"/>
      <c r="AA326" s="15"/>
      <c r="AB326" s="15"/>
      <c r="AC326" s="15"/>
      <c r="AD326" s="15"/>
      <c r="AE326" s="15"/>
      <c r="AF326" s="15"/>
      <c r="AG326" s="15"/>
      <c r="AH326" s="15"/>
      <c r="AI326" s="15"/>
      <c r="AJ326" s="15"/>
      <c r="AK326" s="15"/>
      <c r="AL326" s="15"/>
    </row>
    <row r="327" spans="1:38" x14ac:dyDescent="0.35">
      <c r="A327" s="349" t="s">
        <v>567</v>
      </c>
      <c r="B327" s="346"/>
      <c r="C327" s="26">
        <f t="shared" si="13"/>
        <v>0.13584200000000002</v>
      </c>
      <c r="D327" s="26"/>
      <c r="E327" s="340">
        <f t="shared" si="14"/>
        <v>0.13584200000000002</v>
      </c>
      <c r="F327" s="346"/>
      <c r="G327" s="26">
        <f t="shared" si="15"/>
        <v>2.1063750423788846E-4</v>
      </c>
      <c r="H327" s="26"/>
      <c r="I327" s="340">
        <f t="shared" si="16"/>
        <v>2.1063750423788846E-4</v>
      </c>
      <c r="J327" s="346"/>
      <c r="K327" s="26"/>
      <c r="L327" s="26"/>
      <c r="M327" s="340"/>
      <c r="N327" s="146"/>
      <c r="O327" s="15"/>
      <c r="P327" s="15"/>
      <c r="Q327" s="15"/>
      <c r="R327" s="105"/>
      <c r="S327" s="15"/>
      <c r="T327" s="15"/>
      <c r="U327" s="15"/>
      <c r="V327" s="15"/>
      <c r="W327" s="15"/>
      <c r="X327" s="15"/>
      <c r="Y327" s="15"/>
      <c r="Z327" s="15"/>
      <c r="AA327" s="15"/>
      <c r="AB327" s="15"/>
      <c r="AC327" s="15"/>
      <c r="AD327" s="15"/>
      <c r="AE327" s="15"/>
      <c r="AF327" s="15"/>
      <c r="AG327" s="15"/>
      <c r="AH327" s="15"/>
      <c r="AI327" s="15"/>
      <c r="AJ327" s="15"/>
      <c r="AK327" s="15"/>
      <c r="AL327" s="15"/>
    </row>
    <row r="328" spans="1:38" x14ac:dyDescent="0.35">
      <c r="A328" s="349" t="s">
        <v>568</v>
      </c>
      <c r="B328" s="346"/>
      <c r="C328" s="26">
        <f t="shared" si="13"/>
        <v>0.271206</v>
      </c>
      <c r="D328" s="26"/>
      <c r="E328" s="340">
        <f t="shared" si="14"/>
        <v>0.271206</v>
      </c>
      <c r="F328" s="346"/>
      <c r="G328" s="26">
        <f t="shared" si="15"/>
        <v>4.2127500847577692E-4</v>
      </c>
      <c r="H328" s="26"/>
      <c r="I328" s="340">
        <f t="shared" si="16"/>
        <v>4.2127500847577692E-4</v>
      </c>
      <c r="J328" s="346"/>
      <c r="K328" s="26"/>
      <c r="L328" s="26"/>
      <c r="M328" s="340"/>
      <c r="N328" s="146"/>
      <c r="O328" s="15"/>
      <c r="P328" s="15"/>
      <c r="Q328" s="15"/>
      <c r="R328" s="105"/>
      <c r="S328" s="15"/>
      <c r="T328" s="15"/>
      <c r="U328" s="15"/>
      <c r="V328" s="15"/>
      <c r="W328" s="15"/>
      <c r="X328" s="15"/>
      <c r="Y328" s="15"/>
      <c r="Z328" s="15"/>
      <c r="AA328" s="15"/>
      <c r="AB328" s="15"/>
      <c r="AC328" s="15"/>
      <c r="AD328" s="15"/>
      <c r="AE328" s="15"/>
      <c r="AF328" s="15"/>
      <c r="AG328" s="15"/>
      <c r="AH328" s="15"/>
      <c r="AI328" s="15"/>
      <c r="AJ328" s="15"/>
      <c r="AK328" s="15"/>
      <c r="AL328" s="15"/>
    </row>
    <row r="329" spans="1:38" x14ac:dyDescent="0.35">
      <c r="A329" s="349" t="s">
        <v>569</v>
      </c>
      <c r="B329" s="346"/>
      <c r="C329" s="26">
        <f t="shared" si="13"/>
        <v>3.1349999999999998E-3</v>
      </c>
      <c r="D329" s="26"/>
      <c r="E329" s="340">
        <f t="shared" si="14"/>
        <v>3.1349999999999998E-3</v>
      </c>
      <c r="F329" s="346"/>
      <c r="G329" s="26">
        <f t="shared" si="15"/>
        <v>4.7500880922277672E-6</v>
      </c>
      <c r="H329" s="26"/>
      <c r="I329" s="340">
        <f t="shared" si="16"/>
        <v>4.7500880922277672E-6</v>
      </c>
      <c r="J329" s="346"/>
      <c r="K329" s="26"/>
      <c r="L329" s="26"/>
      <c r="M329" s="340"/>
      <c r="N329" s="146"/>
      <c r="O329" s="15"/>
      <c r="P329" s="15"/>
      <c r="Q329" s="15"/>
      <c r="R329" s="105"/>
      <c r="S329" s="15"/>
      <c r="T329" s="15"/>
      <c r="U329" s="15"/>
      <c r="V329" s="15"/>
      <c r="W329" s="15"/>
      <c r="X329" s="15"/>
      <c r="Y329" s="15"/>
      <c r="Z329" s="15"/>
      <c r="AA329" s="15"/>
      <c r="AB329" s="15"/>
      <c r="AC329" s="15"/>
      <c r="AD329" s="15"/>
      <c r="AE329" s="15"/>
      <c r="AF329" s="15"/>
      <c r="AG329" s="15"/>
      <c r="AH329" s="15"/>
      <c r="AI329" s="15"/>
      <c r="AJ329" s="15"/>
      <c r="AK329" s="15"/>
      <c r="AL329" s="15"/>
    </row>
    <row r="330" spans="1:38" ht="15" thickBot="1" x14ac:dyDescent="0.4">
      <c r="A330" s="76" t="s">
        <v>417</v>
      </c>
      <c r="B330" s="350"/>
      <c r="C330" s="44">
        <f t="shared" si="13"/>
        <v>8.2249999999999997E-3</v>
      </c>
      <c r="D330" s="44"/>
      <c r="E330" s="348">
        <f t="shared" si="14"/>
        <v>8.2249999999999997E-3</v>
      </c>
      <c r="F330" s="350"/>
      <c r="G330" s="44">
        <f t="shared" si="15"/>
        <v>9.3132514215669447E-6</v>
      </c>
      <c r="H330" s="44"/>
      <c r="I330" s="348">
        <f t="shared" si="16"/>
        <v>9.3132514215669447E-6</v>
      </c>
      <c r="J330" s="350"/>
      <c r="K330" s="44"/>
      <c r="L330" s="44"/>
      <c r="M330" s="348"/>
      <c r="N330" s="347"/>
      <c r="O330" s="69"/>
      <c r="P330" s="69"/>
      <c r="Q330" s="69"/>
      <c r="R330" s="73"/>
      <c r="S330" s="15"/>
      <c r="T330" s="15"/>
      <c r="U330" s="15"/>
      <c r="V330" s="15"/>
      <c r="W330" s="15"/>
      <c r="X330" s="15"/>
      <c r="Y330" s="15"/>
      <c r="Z330" s="15"/>
      <c r="AA330" s="15"/>
      <c r="AB330" s="15"/>
      <c r="AC330" s="15"/>
      <c r="AD330" s="15"/>
      <c r="AE330" s="15"/>
      <c r="AF330" s="15"/>
      <c r="AG330" s="15"/>
      <c r="AH330" s="15"/>
      <c r="AI330" s="15"/>
      <c r="AJ330" s="15"/>
      <c r="AK330" s="15"/>
      <c r="AL330" s="15"/>
    </row>
    <row r="331" spans="1:38" x14ac:dyDescent="0.35">
      <c r="B331" s="15"/>
      <c r="C331" s="15"/>
      <c r="D331" s="15"/>
      <c r="E331" s="15"/>
      <c r="F331" s="15"/>
      <c r="G331" s="15"/>
      <c r="H331" s="15"/>
      <c r="I331" s="340"/>
      <c r="J331" s="15"/>
      <c r="K331" s="15"/>
      <c r="L331" s="15"/>
      <c r="M331" s="15"/>
      <c r="N331" s="15"/>
      <c r="O331" s="15"/>
      <c r="P331" s="15"/>
      <c r="Q331" s="15"/>
      <c r="R331" s="15"/>
      <c r="S331" s="15"/>
      <c r="T331" s="15"/>
      <c r="U331" s="15"/>
      <c r="V331" s="15"/>
      <c r="W331" s="15"/>
      <c r="X331" s="15"/>
      <c r="Y331" s="15"/>
      <c r="Z331" s="15"/>
      <c r="AA331" s="15"/>
      <c r="AB331" s="15"/>
      <c r="AC331" s="15"/>
      <c r="AD331" s="15"/>
      <c r="AE331" s="15"/>
      <c r="AF331" s="15"/>
      <c r="AG331" s="15"/>
      <c r="AH331" s="15"/>
      <c r="AI331" s="15"/>
      <c r="AJ331" s="15"/>
      <c r="AK331" s="15"/>
      <c r="AL331" s="15"/>
    </row>
    <row r="332" spans="1:38" x14ac:dyDescent="0.35">
      <c r="B332" s="15"/>
      <c r="C332" s="15"/>
      <c r="D332" s="15"/>
      <c r="E332" s="15"/>
      <c r="F332" s="15"/>
      <c r="G332" s="15"/>
      <c r="H332" s="15"/>
      <c r="I332" s="15"/>
      <c r="J332" s="15"/>
      <c r="K332" s="15"/>
      <c r="L332" s="15"/>
      <c r="M332" s="15"/>
      <c r="N332" s="15"/>
      <c r="O332" s="15"/>
      <c r="P332" s="15"/>
      <c r="Q332" s="15"/>
      <c r="R332" s="15"/>
      <c r="S332" s="15"/>
      <c r="T332" s="15"/>
      <c r="U332" s="15"/>
      <c r="V332" s="15"/>
      <c r="W332" s="15"/>
      <c r="X332" s="15"/>
      <c r="Y332" s="15"/>
      <c r="Z332" s="15"/>
      <c r="AA332" s="15"/>
      <c r="AB332" s="15"/>
      <c r="AC332" s="15"/>
      <c r="AD332" s="15"/>
      <c r="AE332" s="15"/>
      <c r="AF332" s="15"/>
      <c r="AG332" s="15"/>
      <c r="AH332" s="15"/>
      <c r="AI332" s="15"/>
      <c r="AJ332" s="15"/>
      <c r="AK332" s="15"/>
      <c r="AL332" s="15"/>
    </row>
    <row r="333" spans="1:38" x14ac:dyDescent="0.35">
      <c r="B333" s="15"/>
      <c r="C333" s="15"/>
      <c r="D333" s="15"/>
      <c r="E333" s="15"/>
      <c r="F333" s="15"/>
      <c r="G333" s="15"/>
      <c r="H333" s="15"/>
      <c r="I333" s="15"/>
      <c r="J333" s="15"/>
      <c r="K333" s="15"/>
      <c r="L333" s="15"/>
      <c r="M333" s="15"/>
      <c r="N333" s="15"/>
      <c r="O333" s="15"/>
      <c r="P333" s="15"/>
      <c r="Q333" s="15"/>
      <c r="R333" s="15"/>
      <c r="S333" s="15"/>
      <c r="T333" s="15"/>
      <c r="U333" s="15"/>
      <c r="V333" s="15"/>
      <c r="W333" s="15"/>
      <c r="X333" s="15"/>
      <c r="Y333" s="15"/>
      <c r="Z333" s="15"/>
      <c r="AA333" s="15"/>
      <c r="AB333" s="15"/>
      <c r="AC333" s="15"/>
      <c r="AD333" s="15"/>
      <c r="AE333" s="15"/>
      <c r="AF333" s="15"/>
      <c r="AG333" s="15"/>
      <c r="AH333" s="15"/>
      <c r="AI333" s="15"/>
      <c r="AJ333" s="15"/>
      <c r="AK333" s="15"/>
      <c r="AL333" s="15"/>
    </row>
    <row r="334" spans="1:38" x14ac:dyDescent="0.35">
      <c r="B334" s="15"/>
      <c r="C334" s="15"/>
      <c r="D334" s="15"/>
      <c r="E334" s="15"/>
      <c r="F334" s="15"/>
      <c r="G334" s="15"/>
      <c r="H334" s="15"/>
      <c r="I334" s="15"/>
      <c r="J334" s="15"/>
      <c r="K334" s="15"/>
      <c r="L334" s="15"/>
      <c r="M334" s="15"/>
      <c r="N334" s="15"/>
      <c r="O334" s="15"/>
      <c r="P334" s="15"/>
      <c r="Q334" s="15"/>
      <c r="R334" s="15"/>
      <c r="S334" s="15"/>
      <c r="T334" s="15"/>
      <c r="U334" s="15"/>
      <c r="V334" s="15"/>
      <c r="W334" s="15"/>
      <c r="X334" s="15"/>
      <c r="Y334" s="15"/>
      <c r="Z334" s="15"/>
      <c r="AA334" s="15"/>
      <c r="AB334" s="15"/>
      <c r="AC334" s="15"/>
      <c r="AD334" s="15"/>
      <c r="AE334" s="15"/>
      <c r="AF334" s="15"/>
      <c r="AG334" s="15"/>
      <c r="AH334" s="15"/>
      <c r="AI334" s="15"/>
      <c r="AJ334" s="15"/>
      <c r="AK334" s="15"/>
      <c r="AL334" s="15"/>
    </row>
    <row r="335" spans="1:38" x14ac:dyDescent="0.35">
      <c r="B335" s="15"/>
      <c r="C335" s="15"/>
      <c r="D335" s="15"/>
      <c r="E335" s="15"/>
      <c r="F335" s="15"/>
      <c r="G335" s="15"/>
      <c r="H335" s="15"/>
      <c r="I335" s="15"/>
      <c r="J335" s="15"/>
      <c r="K335" s="15"/>
      <c r="L335" s="15"/>
      <c r="M335" s="15"/>
      <c r="N335" s="15"/>
      <c r="O335" s="15"/>
      <c r="P335" s="15"/>
      <c r="Q335" s="15"/>
      <c r="R335" s="15"/>
      <c r="S335" s="15"/>
      <c r="T335" s="15"/>
      <c r="U335" s="15"/>
      <c r="V335" s="15"/>
      <c r="W335" s="15"/>
      <c r="X335" s="15"/>
      <c r="Y335" s="15"/>
      <c r="Z335" s="15"/>
      <c r="AA335" s="15"/>
      <c r="AB335" s="15"/>
      <c r="AC335" s="15"/>
      <c r="AD335" s="15"/>
      <c r="AE335" s="15"/>
      <c r="AF335" s="15"/>
      <c r="AG335" s="15"/>
      <c r="AH335" s="15"/>
      <c r="AI335" s="15"/>
      <c r="AJ335" s="15"/>
      <c r="AK335" s="15"/>
      <c r="AL335" s="15"/>
    </row>
    <row r="336" spans="1:38" x14ac:dyDescent="0.35">
      <c r="B336" s="15"/>
      <c r="C336" s="15"/>
      <c r="D336" s="15"/>
      <c r="E336" s="15"/>
      <c r="F336" s="15"/>
      <c r="G336" s="15"/>
      <c r="H336" s="15"/>
      <c r="I336" s="15"/>
      <c r="J336" s="15"/>
      <c r="K336" s="15"/>
      <c r="L336" s="15"/>
      <c r="M336" s="15"/>
      <c r="N336" s="15"/>
      <c r="O336" s="15"/>
      <c r="P336" s="15"/>
      <c r="Q336" s="15"/>
      <c r="R336" s="15"/>
      <c r="S336" s="15"/>
      <c r="T336" s="15"/>
      <c r="U336" s="15"/>
      <c r="V336" s="15"/>
      <c r="W336" s="15"/>
      <c r="X336" s="15"/>
      <c r="Y336" s="15"/>
      <c r="Z336" s="15"/>
      <c r="AA336" s="15"/>
      <c r="AB336" s="15"/>
      <c r="AC336" s="15"/>
      <c r="AD336" s="15"/>
      <c r="AE336" s="15"/>
      <c r="AF336" s="15"/>
      <c r="AG336" s="15"/>
      <c r="AH336" s="15"/>
      <c r="AI336" s="15"/>
      <c r="AJ336" s="15"/>
      <c r="AK336" s="15"/>
      <c r="AL336" s="15"/>
    </row>
    <row r="337" spans="2:38" x14ac:dyDescent="0.35">
      <c r="B337" s="15"/>
      <c r="C337" s="15"/>
      <c r="D337" s="15"/>
      <c r="E337" s="15"/>
      <c r="F337" s="15"/>
      <c r="G337" s="15"/>
      <c r="H337" s="15"/>
      <c r="I337" s="15"/>
      <c r="J337" s="15"/>
      <c r="K337" s="15"/>
      <c r="L337" s="15"/>
      <c r="M337" s="15"/>
      <c r="N337" s="15"/>
      <c r="O337" s="15"/>
      <c r="P337" s="15"/>
      <c r="Q337" s="15"/>
      <c r="R337" s="15"/>
      <c r="S337" s="15"/>
      <c r="T337" s="15"/>
      <c r="U337" s="15"/>
      <c r="V337" s="15"/>
      <c r="W337" s="15"/>
      <c r="X337" s="15"/>
      <c r="Y337" s="15"/>
      <c r="Z337" s="15"/>
      <c r="AA337" s="15"/>
      <c r="AB337" s="15"/>
      <c r="AC337" s="15"/>
      <c r="AD337" s="15"/>
      <c r="AE337" s="15"/>
      <c r="AF337" s="15"/>
      <c r="AG337" s="15"/>
      <c r="AH337" s="15"/>
      <c r="AI337" s="15"/>
      <c r="AJ337" s="15"/>
      <c r="AK337" s="15"/>
      <c r="AL337" s="15"/>
    </row>
    <row r="338" spans="2:38" x14ac:dyDescent="0.35">
      <c r="B338" s="15"/>
      <c r="C338" s="15"/>
      <c r="D338" s="15"/>
      <c r="E338" s="15"/>
      <c r="F338" s="15"/>
      <c r="G338" s="15"/>
      <c r="H338" s="15"/>
      <c r="I338" s="15"/>
      <c r="J338" s="15"/>
      <c r="K338" s="15"/>
      <c r="L338" s="15"/>
      <c r="M338" s="15"/>
      <c r="N338" s="15"/>
      <c r="O338" s="15"/>
      <c r="P338" s="15"/>
      <c r="Q338" s="15"/>
      <c r="R338" s="15"/>
      <c r="S338" s="15"/>
      <c r="T338" s="15"/>
      <c r="U338" s="15"/>
      <c r="V338" s="15"/>
      <c r="W338" s="15"/>
      <c r="X338" s="15"/>
      <c r="Y338" s="15"/>
      <c r="Z338" s="15"/>
      <c r="AA338" s="15"/>
      <c r="AB338" s="15"/>
      <c r="AC338" s="15"/>
      <c r="AD338" s="15"/>
      <c r="AE338" s="15"/>
      <c r="AF338" s="15"/>
      <c r="AG338" s="15"/>
      <c r="AH338" s="15"/>
      <c r="AI338" s="15"/>
      <c r="AJ338" s="15"/>
      <c r="AK338" s="15"/>
      <c r="AL338" s="15"/>
    </row>
    <row r="339" spans="2:38" x14ac:dyDescent="0.35">
      <c r="B339" s="15"/>
      <c r="C339" s="15"/>
      <c r="D339" s="15"/>
      <c r="E339" s="15"/>
      <c r="F339" s="15"/>
      <c r="G339" s="15"/>
      <c r="H339" s="15"/>
      <c r="I339" s="15"/>
      <c r="J339" s="15"/>
      <c r="K339" s="15"/>
      <c r="L339" s="15"/>
      <c r="M339" s="15"/>
      <c r="N339" s="15"/>
      <c r="O339" s="15"/>
      <c r="P339" s="15"/>
      <c r="Q339" s="15"/>
      <c r="R339" s="15"/>
      <c r="S339" s="15"/>
      <c r="T339" s="15"/>
      <c r="U339" s="15"/>
      <c r="V339" s="15"/>
      <c r="W339" s="15"/>
      <c r="X339" s="15"/>
      <c r="Y339" s="15"/>
      <c r="Z339" s="15"/>
      <c r="AA339" s="15"/>
      <c r="AB339" s="15"/>
      <c r="AC339" s="15"/>
      <c r="AD339" s="15"/>
      <c r="AE339" s="15"/>
      <c r="AF339" s="15"/>
      <c r="AG339" s="15"/>
      <c r="AH339" s="15"/>
      <c r="AI339" s="15"/>
      <c r="AJ339" s="15"/>
      <c r="AK339" s="15"/>
      <c r="AL339" s="15"/>
    </row>
    <row r="340" spans="2:38" x14ac:dyDescent="0.35">
      <c r="B340" s="15"/>
      <c r="C340" s="15"/>
      <c r="D340" s="15"/>
      <c r="E340" s="15"/>
      <c r="F340" s="15"/>
      <c r="G340" s="15"/>
      <c r="H340" s="15"/>
      <c r="I340" s="15"/>
      <c r="J340" s="15"/>
      <c r="K340" s="15"/>
      <c r="L340" s="15"/>
      <c r="M340" s="15"/>
      <c r="N340" s="15"/>
      <c r="O340" s="15"/>
      <c r="P340" s="15"/>
      <c r="Q340" s="15"/>
      <c r="R340" s="15"/>
      <c r="S340" s="15"/>
      <c r="T340" s="15"/>
      <c r="U340" s="15"/>
      <c r="V340" s="15"/>
      <c r="W340" s="15"/>
      <c r="X340" s="15"/>
      <c r="Y340" s="15"/>
      <c r="Z340" s="15"/>
      <c r="AA340" s="15"/>
      <c r="AB340" s="15"/>
      <c r="AC340" s="15"/>
      <c r="AD340" s="15"/>
      <c r="AE340" s="15"/>
      <c r="AF340" s="15"/>
      <c r="AG340" s="15"/>
      <c r="AH340" s="15"/>
      <c r="AI340" s="15"/>
      <c r="AJ340" s="15"/>
      <c r="AK340" s="15"/>
      <c r="AL340" s="15"/>
    </row>
    <row r="341" spans="2:38" x14ac:dyDescent="0.35">
      <c r="B341" s="15"/>
      <c r="C341" s="15"/>
      <c r="D341" s="15"/>
      <c r="E341" s="15"/>
      <c r="F341" s="15"/>
      <c r="G341" s="15"/>
      <c r="H341" s="15"/>
      <c r="I341" s="15"/>
      <c r="J341" s="15"/>
      <c r="K341" s="15"/>
      <c r="L341" s="15"/>
      <c r="M341" s="15"/>
      <c r="N341" s="15"/>
      <c r="O341" s="15"/>
      <c r="P341" s="15"/>
      <c r="Q341" s="15"/>
      <c r="R341" s="15"/>
      <c r="S341" s="15"/>
      <c r="T341" s="15"/>
      <c r="U341" s="15"/>
      <c r="V341" s="15"/>
      <c r="W341" s="15"/>
      <c r="X341" s="15"/>
      <c r="Y341" s="15"/>
      <c r="Z341" s="15"/>
      <c r="AA341" s="15"/>
      <c r="AB341" s="15"/>
      <c r="AC341" s="15"/>
      <c r="AD341" s="15"/>
      <c r="AE341" s="15"/>
      <c r="AF341" s="15"/>
      <c r="AG341" s="15"/>
      <c r="AH341" s="15"/>
      <c r="AI341" s="15"/>
      <c r="AJ341" s="15"/>
      <c r="AK341" s="15"/>
      <c r="AL341" s="15"/>
    </row>
    <row r="342" spans="2:38" x14ac:dyDescent="0.35">
      <c r="B342" s="15"/>
      <c r="C342" s="15"/>
      <c r="D342" s="15"/>
      <c r="E342" s="15"/>
      <c r="F342" s="15"/>
      <c r="G342" s="15"/>
      <c r="H342" s="15"/>
      <c r="I342" s="15"/>
      <c r="J342" s="15"/>
      <c r="K342" s="15"/>
      <c r="L342" s="15"/>
      <c r="M342" s="15"/>
      <c r="N342" s="15"/>
      <c r="O342" s="15"/>
      <c r="P342" s="15"/>
      <c r="Q342" s="15"/>
      <c r="R342" s="15"/>
      <c r="S342" s="15"/>
      <c r="T342" s="15"/>
      <c r="U342" s="15"/>
      <c r="V342" s="15"/>
      <c r="W342" s="15"/>
      <c r="X342" s="15"/>
      <c r="Y342" s="15"/>
      <c r="Z342" s="15"/>
      <c r="AA342" s="15"/>
      <c r="AB342" s="15"/>
      <c r="AC342" s="15"/>
      <c r="AD342" s="15"/>
      <c r="AE342" s="15"/>
      <c r="AF342" s="15"/>
      <c r="AG342" s="15"/>
      <c r="AH342" s="15"/>
      <c r="AI342" s="15"/>
      <c r="AJ342" s="15"/>
      <c r="AK342" s="15"/>
      <c r="AL342" s="15"/>
    </row>
    <row r="343" spans="2:38" x14ac:dyDescent="0.35">
      <c r="B343" s="15"/>
      <c r="C343" s="15"/>
      <c r="D343" s="15"/>
      <c r="E343" s="15"/>
      <c r="F343" s="15"/>
      <c r="G343" s="15"/>
      <c r="H343" s="15"/>
      <c r="I343" s="15"/>
      <c r="J343" s="15"/>
      <c r="K343" s="15"/>
      <c r="L343" s="15"/>
      <c r="M343" s="15"/>
      <c r="N343" s="15"/>
      <c r="O343" s="15"/>
      <c r="P343" s="15"/>
      <c r="Q343" s="15"/>
      <c r="R343" s="15"/>
      <c r="S343" s="15"/>
      <c r="T343" s="15"/>
      <c r="U343" s="15"/>
      <c r="V343" s="15"/>
      <c r="W343" s="15"/>
      <c r="X343" s="15"/>
      <c r="Y343" s="15"/>
      <c r="Z343" s="15"/>
      <c r="AA343" s="15"/>
      <c r="AB343" s="15"/>
      <c r="AC343" s="15"/>
      <c r="AD343" s="15"/>
      <c r="AE343" s="15"/>
      <c r="AF343" s="15"/>
      <c r="AG343" s="15"/>
      <c r="AH343" s="15"/>
      <c r="AI343" s="15"/>
      <c r="AJ343" s="15"/>
      <c r="AK343" s="15"/>
      <c r="AL343" s="15"/>
    </row>
    <row r="344" spans="2:38" x14ac:dyDescent="0.35">
      <c r="B344" s="15"/>
      <c r="C344" s="15"/>
      <c r="D344" s="15"/>
      <c r="E344" s="15"/>
      <c r="F344" s="15"/>
      <c r="G344" s="15"/>
      <c r="H344" s="15"/>
      <c r="I344" s="15"/>
      <c r="J344" s="15"/>
      <c r="K344" s="15"/>
      <c r="L344" s="15"/>
      <c r="M344" s="15"/>
      <c r="N344" s="15"/>
      <c r="O344" s="15"/>
      <c r="P344" s="15"/>
      <c r="Q344" s="15"/>
      <c r="R344" s="15"/>
      <c r="S344" s="15"/>
      <c r="T344" s="15"/>
      <c r="U344" s="15"/>
      <c r="V344" s="15"/>
      <c r="W344" s="15"/>
      <c r="X344" s="15"/>
      <c r="Y344" s="15"/>
      <c r="Z344" s="15"/>
      <c r="AA344" s="15"/>
      <c r="AB344" s="15"/>
      <c r="AC344" s="15"/>
      <c r="AD344" s="15"/>
      <c r="AE344" s="15"/>
      <c r="AF344" s="15"/>
      <c r="AG344" s="15"/>
      <c r="AH344" s="15"/>
      <c r="AI344" s="15"/>
      <c r="AJ344" s="15"/>
      <c r="AK344" s="15"/>
      <c r="AL344" s="15"/>
    </row>
    <row r="345" spans="2:38" x14ac:dyDescent="0.35">
      <c r="B345" s="15"/>
      <c r="C345" s="15"/>
      <c r="D345" s="15"/>
      <c r="E345" s="15"/>
      <c r="F345" s="15"/>
      <c r="G345" s="15"/>
      <c r="H345" s="15"/>
      <c r="I345" s="15"/>
      <c r="J345" s="15"/>
      <c r="K345" s="15"/>
      <c r="L345" s="15"/>
      <c r="M345" s="15"/>
      <c r="N345" s="15"/>
      <c r="O345" s="15"/>
      <c r="P345" s="15"/>
      <c r="Q345" s="15"/>
      <c r="R345" s="15"/>
      <c r="S345" s="15"/>
      <c r="T345" s="15"/>
      <c r="U345" s="15"/>
      <c r="V345" s="15"/>
      <c r="W345" s="15"/>
      <c r="X345" s="15"/>
      <c r="Y345" s="15"/>
      <c r="Z345" s="15"/>
      <c r="AA345" s="15"/>
      <c r="AB345" s="15"/>
      <c r="AC345" s="15"/>
      <c r="AD345" s="15"/>
      <c r="AE345" s="15"/>
      <c r="AF345" s="15"/>
      <c r="AG345" s="15"/>
      <c r="AH345" s="15"/>
      <c r="AI345" s="15"/>
      <c r="AJ345" s="15"/>
      <c r="AK345" s="15"/>
      <c r="AL345" s="15"/>
    </row>
    <row r="346" spans="2:38" x14ac:dyDescent="0.35">
      <c r="B346" s="15"/>
      <c r="C346" s="15"/>
      <c r="D346" s="15"/>
      <c r="E346" s="15"/>
      <c r="F346" s="15"/>
      <c r="G346" s="15"/>
      <c r="H346" s="15"/>
      <c r="I346" s="15"/>
      <c r="J346" s="15"/>
      <c r="K346" s="15"/>
      <c r="L346" s="15"/>
      <c r="M346" s="15"/>
      <c r="N346" s="15"/>
      <c r="O346" s="15"/>
      <c r="P346" s="15"/>
      <c r="Q346" s="15"/>
      <c r="R346" s="15"/>
      <c r="S346" s="15"/>
      <c r="T346" s="15"/>
      <c r="U346" s="15"/>
      <c r="V346" s="15"/>
      <c r="W346" s="15"/>
      <c r="X346" s="15"/>
      <c r="Y346" s="15"/>
      <c r="Z346" s="15"/>
      <c r="AA346" s="15"/>
      <c r="AB346" s="15"/>
      <c r="AC346" s="15"/>
      <c r="AD346" s="15"/>
      <c r="AE346" s="15"/>
      <c r="AF346" s="15"/>
      <c r="AG346" s="15"/>
      <c r="AH346" s="15"/>
      <c r="AI346" s="15"/>
      <c r="AJ346" s="15"/>
      <c r="AK346" s="15"/>
      <c r="AL346" s="15"/>
    </row>
    <row r="347" spans="2:38" x14ac:dyDescent="0.35">
      <c r="B347" s="15"/>
      <c r="C347" s="15"/>
      <c r="D347" s="15"/>
      <c r="E347" s="15"/>
      <c r="F347" s="15"/>
      <c r="G347" s="15"/>
      <c r="H347" s="15"/>
      <c r="I347" s="15"/>
      <c r="J347" s="15"/>
      <c r="K347" s="15"/>
      <c r="L347" s="15"/>
      <c r="M347" s="15"/>
      <c r="N347" s="15"/>
      <c r="O347" s="15"/>
      <c r="P347" s="15"/>
      <c r="Q347" s="15"/>
      <c r="R347" s="15"/>
      <c r="S347" s="15"/>
      <c r="T347" s="15"/>
      <c r="U347" s="15"/>
      <c r="V347" s="15"/>
      <c r="W347" s="15"/>
      <c r="X347" s="15"/>
      <c r="Y347" s="15"/>
      <c r="Z347" s="15"/>
      <c r="AA347" s="15"/>
      <c r="AB347" s="15"/>
      <c r="AC347" s="15"/>
      <c r="AD347" s="15"/>
      <c r="AE347" s="15"/>
      <c r="AF347" s="15"/>
      <c r="AG347" s="15"/>
      <c r="AH347" s="15"/>
      <c r="AI347" s="15"/>
      <c r="AJ347" s="15"/>
      <c r="AK347" s="15"/>
      <c r="AL347" s="15"/>
    </row>
    <row r="348" spans="2:38" x14ac:dyDescent="0.35">
      <c r="B348" s="15"/>
      <c r="C348" s="15"/>
      <c r="D348" s="15"/>
      <c r="E348" s="15"/>
      <c r="F348" s="15"/>
      <c r="G348" s="15"/>
      <c r="H348" s="15"/>
      <c r="I348" s="15"/>
      <c r="J348" s="15"/>
      <c r="K348" s="15"/>
      <c r="L348" s="15"/>
      <c r="M348" s="15"/>
      <c r="N348" s="15"/>
      <c r="O348" s="15"/>
      <c r="P348" s="15"/>
      <c r="Q348" s="15"/>
      <c r="R348" s="15"/>
      <c r="S348" s="15"/>
      <c r="T348" s="15"/>
      <c r="U348" s="15"/>
      <c r="V348" s="15"/>
      <c r="W348" s="15"/>
      <c r="X348" s="15"/>
      <c r="Y348" s="15"/>
      <c r="Z348" s="15"/>
      <c r="AA348" s="15"/>
      <c r="AB348" s="15"/>
      <c r="AC348" s="15"/>
      <c r="AD348" s="15"/>
      <c r="AE348" s="15"/>
      <c r="AF348" s="15"/>
      <c r="AG348" s="15"/>
      <c r="AH348" s="15"/>
      <c r="AI348" s="15"/>
      <c r="AJ348" s="15"/>
      <c r="AK348" s="15"/>
      <c r="AL348" s="15"/>
    </row>
    <row r="349" spans="2:38" x14ac:dyDescent="0.35">
      <c r="B349" s="15"/>
      <c r="C349" s="15"/>
      <c r="D349" s="15"/>
      <c r="E349" s="15"/>
      <c r="F349" s="15"/>
      <c r="G349" s="15"/>
      <c r="H349" s="15"/>
      <c r="I349" s="15"/>
      <c r="J349" s="15"/>
      <c r="K349" s="15"/>
      <c r="L349" s="15"/>
      <c r="M349" s="15"/>
      <c r="N349" s="15"/>
      <c r="O349" s="15"/>
      <c r="P349" s="15"/>
      <c r="Q349" s="15"/>
      <c r="R349" s="15"/>
      <c r="S349" s="15"/>
      <c r="T349" s="15"/>
      <c r="U349" s="15"/>
      <c r="V349" s="15"/>
      <c r="W349" s="15"/>
      <c r="X349" s="15"/>
      <c r="Y349" s="15"/>
      <c r="Z349" s="15"/>
      <c r="AA349" s="15"/>
      <c r="AB349" s="15"/>
      <c r="AC349" s="15"/>
      <c r="AD349" s="15"/>
      <c r="AE349" s="15"/>
      <c r="AF349" s="15"/>
      <c r="AG349" s="15"/>
      <c r="AH349" s="15"/>
      <c r="AI349" s="15"/>
      <c r="AJ349" s="15"/>
      <c r="AK349" s="15"/>
      <c r="AL349" s="15"/>
    </row>
    <row r="350" spans="2:38" x14ac:dyDescent="0.35">
      <c r="B350" s="15"/>
      <c r="C350" s="15"/>
      <c r="D350" s="15"/>
      <c r="E350" s="15"/>
      <c r="F350" s="15"/>
      <c r="G350" s="15"/>
      <c r="H350" s="15"/>
      <c r="I350" s="15"/>
      <c r="J350" s="15"/>
      <c r="K350" s="15"/>
      <c r="L350" s="15"/>
      <c r="M350" s="15"/>
      <c r="N350" s="15"/>
      <c r="O350" s="15"/>
      <c r="P350" s="15"/>
      <c r="Q350" s="15"/>
      <c r="R350" s="15"/>
      <c r="S350" s="15"/>
      <c r="T350" s="15"/>
      <c r="U350" s="15"/>
      <c r="V350" s="15"/>
      <c r="W350" s="15"/>
      <c r="X350" s="15"/>
      <c r="Y350" s="15"/>
      <c r="Z350" s="15"/>
      <c r="AA350" s="15"/>
      <c r="AB350" s="15"/>
      <c r="AC350" s="15"/>
      <c r="AD350" s="15"/>
      <c r="AE350" s="15"/>
      <c r="AF350" s="15"/>
      <c r="AG350" s="15"/>
      <c r="AH350" s="15"/>
      <c r="AI350" s="15"/>
      <c r="AJ350" s="15"/>
      <c r="AK350" s="15"/>
      <c r="AL350" s="15"/>
    </row>
    <row r="351" spans="2:38" x14ac:dyDescent="0.35">
      <c r="B351" s="15"/>
      <c r="C351" s="15"/>
      <c r="D351" s="15"/>
      <c r="E351" s="15"/>
      <c r="F351" s="15"/>
      <c r="G351" s="15"/>
      <c r="H351" s="15"/>
      <c r="I351" s="15"/>
      <c r="J351" s="15"/>
      <c r="K351" s="15"/>
      <c r="L351" s="15"/>
      <c r="M351" s="15"/>
      <c r="N351" s="15"/>
      <c r="O351" s="15"/>
      <c r="P351" s="15"/>
      <c r="Q351" s="15"/>
      <c r="R351" s="15"/>
      <c r="S351" s="15"/>
      <c r="T351" s="15"/>
      <c r="U351" s="15"/>
      <c r="V351" s="15"/>
      <c r="W351" s="15"/>
      <c r="X351" s="15"/>
      <c r="Y351" s="15"/>
      <c r="Z351" s="15"/>
      <c r="AA351" s="15"/>
      <c r="AB351" s="15"/>
      <c r="AC351" s="15"/>
      <c r="AD351" s="15"/>
      <c r="AE351" s="15"/>
      <c r="AF351" s="15"/>
      <c r="AG351" s="15"/>
      <c r="AH351" s="15"/>
      <c r="AI351" s="15"/>
      <c r="AJ351" s="15"/>
      <c r="AK351" s="15"/>
      <c r="AL351" s="15"/>
    </row>
    <row r="352" spans="2:38" x14ac:dyDescent="0.35">
      <c r="B352" s="15"/>
      <c r="C352" s="15"/>
      <c r="D352" s="15"/>
      <c r="E352" s="15"/>
      <c r="F352" s="15"/>
      <c r="G352" s="15"/>
      <c r="H352" s="15"/>
      <c r="I352" s="15"/>
      <c r="J352" s="15"/>
      <c r="K352" s="15"/>
      <c r="L352" s="15"/>
      <c r="M352" s="15"/>
      <c r="N352" s="15"/>
      <c r="O352" s="15"/>
      <c r="P352" s="15"/>
      <c r="Q352" s="15"/>
      <c r="R352" s="15"/>
      <c r="S352" s="15"/>
      <c r="T352" s="15"/>
      <c r="U352" s="15"/>
      <c r="V352" s="15"/>
      <c r="W352" s="15"/>
      <c r="X352" s="15"/>
      <c r="Y352" s="15"/>
      <c r="Z352" s="15"/>
      <c r="AA352" s="15"/>
      <c r="AB352" s="15"/>
      <c r="AC352" s="15"/>
      <c r="AD352" s="15"/>
      <c r="AE352" s="15"/>
      <c r="AF352" s="15"/>
      <c r="AG352" s="15"/>
      <c r="AH352" s="15"/>
      <c r="AI352" s="15"/>
      <c r="AJ352" s="15"/>
      <c r="AK352" s="15"/>
      <c r="AL352" s="15"/>
    </row>
    <row r="353" spans="2:38" x14ac:dyDescent="0.35">
      <c r="B353" s="15"/>
      <c r="C353" s="15"/>
      <c r="D353" s="15"/>
      <c r="E353" s="15"/>
      <c r="F353" s="15"/>
      <c r="G353" s="15"/>
      <c r="H353" s="15"/>
      <c r="I353" s="15"/>
      <c r="J353" s="15"/>
      <c r="K353" s="15"/>
      <c r="L353" s="15"/>
      <c r="M353" s="15"/>
      <c r="N353" s="15"/>
      <c r="O353" s="15"/>
      <c r="P353" s="15"/>
      <c r="Q353" s="15"/>
      <c r="R353" s="15"/>
      <c r="S353" s="15"/>
      <c r="T353" s="15"/>
      <c r="U353" s="15"/>
      <c r="V353" s="15"/>
      <c r="W353" s="15"/>
      <c r="X353" s="15"/>
      <c r="Y353" s="15"/>
      <c r="Z353" s="15"/>
      <c r="AA353" s="15"/>
      <c r="AB353" s="15"/>
      <c r="AC353" s="15"/>
      <c r="AD353" s="15"/>
      <c r="AE353" s="15"/>
      <c r="AF353" s="15"/>
      <c r="AG353" s="15"/>
      <c r="AH353" s="15"/>
      <c r="AI353" s="15"/>
      <c r="AJ353" s="15"/>
      <c r="AK353" s="15"/>
      <c r="AL353" s="15"/>
    </row>
    <row r="354" spans="2:38" x14ac:dyDescent="0.35">
      <c r="B354" s="15"/>
      <c r="C354" s="15"/>
      <c r="D354" s="15"/>
      <c r="E354" s="15"/>
      <c r="F354" s="15"/>
      <c r="G354" s="15"/>
      <c r="H354" s="15"/>
      <c r="I354" s="15"/>
      <c r="J354" s="15"/>
      <c r="K354" s="15"/>
      <c r="L354" s="15"/>
      <c r="M354" s="15"/>
      <c r="N354" s="15"/>
      <c r="O354" s="15"/>
      <c r="P354" s="15"/>
      <c r="Q354" s="15"/>
      <c r="R354" s="15"/>
      <c r="S354" s="15"/>
      <c r="T354" s="15"/>
      <c r="U354" s="15"/>
      <c r="V354" s="15"/>
      <c r="W354" s="15"/>
      <c r="X354" s="15"/>
      <c r="Y354" s="15"/>
      <c r="Z354" s="15"/>
      <c r="AA354" s="15"/>
      <c r="AB354" s="15"/>
      <c r="AC354" s="15"/>
      <c r="AD354" s="15"/>
      <c r="AE354" s="15"/>
      <c r="AF354" s="15"/>
      <c r="AG354" s="15"/>
      <c r="AH354" s="15"/>
      <c r="AI354" s="15"/>
      <c r="AJ354" s="15"/>
      <c r="AK354" s="15"/>
      <c r="AL354" s="15"/>
    </row>
    <row r="355" spans="2:38" x14ac:dyDescent="0.35">
      <c r="B355" s="15"/>
      <c r="C355" s="15"/>
      <c r="D355" s="15"/>
      <c r="E355" s="15"/>
      <c r="F355" s="15"/>
      <c r="G355" s="15"/>
      <c r="H355" s="15"/>
      <c r="I355" s="15"/>
      <c r="J355" s="15"/>
      <c r="K355" s="15"/>
      <c r="L355" s="15"/>
      <c r="M355" s="15"/>
      <c r="N355" s="15"/>
      <c r="O355" s="15"/>
      <c r="P355" s="15"/>
      <c r="Q355" s="15"/>
      <c r="R355" s="15"/>
      <c r="S355" s="15"/>
      <c r="T355" s="15"/>
      <c r="U355" s="15"/>
      <c r="V355" s="15"/>
      <c r="W355" s="15"/>
      <c r="X355" s="15"/>
      <c r="Y355" s="15"/>
      <c r="Z355" s="15"/>
      <c r="AA355" s="15"/>
      <c r="AB355" s="15"/>
      <c r="AC355" s="15"/>
      <c r="AD355" s="15"/>
      <c r="AE355" s="15"/>
      <c r="AF355" s="15"/>
      <c r="AG355" s="15"/>
      <c r="AH355" s="15"/>
      <c r="AI355" s="15"/>
      <c r="AJ355" s="15"/>
      <c r="AK355" s="15"/>
      <c r="AL355" s="15"/>
    </row>
    <row r="356" spans="2:38" x14ac:dyDescent="0.35">
      <c r="B356" s="15"/>
      <c r="C356" s="15"/>
      <c r="D356" s="15"/>
      <c r="E356" s="15"/>
      <c r="F356" s="15"/>
      <c r="G356" s="15"/>
      <c r="H356" s="15"/>
      <c r="I356" s="15"/>
      <c r="J356" s="15"/>
      <c r="K356" s="15"/>
      <c r="L356" s="15"/>
      <c r="M356" s="15"/>
      <c r="N356" s="15"/>
      <c r="O356" s="15"/>
      <c r="P356" s="15"/>
      <c r="Q356" s="15"/>
      <c r="R356" s="15"/>
      <c r="S356" s="15"/>
      <c r="T356" s="15"/>
      <c r="U356" s="15"/>
      <c r="V356" s="15"/>
      <c r="W356" s="15"/>
      <c r="X356" s="15"/>
      <c r="Y356" s="15"/>
      <c r="Z356" s="15"/>
      <c r="AA356" s="15"/>
      <c r="AB356" s="15"/>
      <c r="AC356" s="15"/>
      <c r="AD356" s="15"/>
      <c r="AE356" s="15"/>
      <c r="AF356" s="15"/>
      <c r="AG356" s="15"/>
      <c r="AH356" s="15"/>
      <c r="AI356" s="15"/>
      <c r="AJ356" s="15"/>
      <c r="AK356" s="15"/>
      <c r="AL356" s="15"/>
    </row>
    <row r="357" spans="2:38" x14ac:dyDescent="0.35">
      <c r="B357" s="15"/>
      <c r="C357" s="15"/>
      <c r="D357" s="15"/>
      <c r="E357" s="15"/>
      <c r="F357" s="15"/>
      <c r="G357" s="15"/>
      <c r="H357" s="15"/>
      <c r="I357" s="15"/>
      <c r="J357" s="15"/>
      <c r="K357" s="15"/>
      <c r="L357" s="15"/>
      <c r="M357" s="15"/>
      <c r="N357" s="15"/>
      <c r="O357" s="15"/>
      <c r="P357" s="15"/>
      <c r="Q357" s="15"/>
      <c r="R357" s="15"/>
      <c r="S357" s="15"/>
      <c r="T357" s="15"/>
      <c r="U357" s="15"/>
      <c r="V357" s="15"/>
      <c r="W357" s="15"/>
      <c r="X357" s="15"/>
      <c r="Y357" s="15"/>
      <c r="Z357" s="15"/>
      <c r="AA357" s="15"/>
      <c r="AB357" s="15"/>
      <c r="AC357" s="15"/>
      <c r="AD357" s="15"/>
      <c r="AE357" s="15"/>
      <c r="AF357" s="15"/>
      <c r="AG357" s="15"/>
      <c r="AH357" s="15"/>
      <c r="AI357" s="15"/>
      <c r="AJ357" s="15"/>
      <c r="AK357" s="15"/>
      <c r="AL357" s="15"/>
    </row>
    <row r="358" spans="2:38" x14ac:dyDescent="0.35">
      <c r="B358" s="15"/>
      <c r="C358" s="15"/>
      <c r="D358" s="15"/>
      <c r="E358" s="15"/>
      <c r="F358" s="15"/>
      <c r="G358" s="15"/>
      <c r="H358" s="15"/>
      <c r="I358" s="15"/>
      <c r="J358" s="15"/>
      <c r="K358" s="15"/>
      <c r="L358" s="15"/>
      <c r="M358" s="15"/>
      <c r="N358" s="15"/>
      <c r="O358" s="15"/>
      <c r="P358" s="15"/>
      <c r="Q358" s="15"/>
      <c r="R358" s="15"/>
      <c r="S358" s="15"/>
      <c r="T358" s="15"/>
      <c r="U358" s="15"/>
      <c r="V358" s="15"/>
      <c r="W358" s="15"/>
      <c r="X358" s="15"/>
      <c r="Y358" s="15"/>
      <c r="Z358" s="15"/>
      <c r="AA358" s="15"/>
      <c r="AB358" s="15"/>
      <c r="AC358" s="15"/>
      <c r="AD358" s="15"/>
      <c r="AE358" s="15"/>
      <c r="AF358" s="15"/>
      <c r="AG358" s="15"/>
      <c r="AH358" s="15"/>
      <c r="AI358" s="15"/>
      <c r="AJ358" s="15"/>
      <c r="AK358" s="15"/>
      <c r="AL358" s="15"/>
    </row>
    <row r="359" spans="2:38" x14ac:dyDescent="0.35">
      <c r="B359" s="15"/>
      <c r="C359" s="15"/>
      <c r="D359" s="15"/>
      <c r="E359" s="15"/>
      <c r="F359" s="15"/>
      <c r="G359" s="15"/>
      <c r="H359" s="15"/>
      <c r="I359" s="15"/>
      <c r="J359" s="15"/>
      <c r="K359" s="15"/>
      <c r="L359" s="15"/>
      <c r="M359" s="15"/>
      <c r="N359" s="15"/>
      <c r="O359" s="15"/>
      <c r="P359" s="15"/>
      <c r="Q359" s="15"/>
      <c r="R359" s="15"/>
      <c r="S359" s="15"/>
      <c r="T359" s="15"/>
      <c r="U359" s="15"/>
      <c r="V359" s="15"/>
      <c r="W359" s="15"/>
      <c r="X359" s="15"/>
      <c r="Y359" s="15"/>
      <c r="Z359" s="15"/>
      <c r="AA359" s="15"/>
      <c r="AB359" s="15"/>
      <c r="AC359" s="15"/>
      <c r="AD359" s="15"/>
      <c r="AE359" s="15"/>
      <c r="AF359" s="15"/>
      <c r="AG359" s="15"/>
      <c r="AH359" s="15"/>
      <c r="AI359" s="15"/>
      <c r="AJ359" s="15"/>
      <c r="AK359" s="15"/>
      <c r="AL359" s="15"/>
    </row>
    <row r="360" spans="2:38" x14ac:dyDescent="0.35">
      <c r="B360" s="15"/>
      <c r="C360" s="15"/>
      <c r="D360" s="15"/>
      <c r="E360" s="15"/>
      <c r="F360" s="15"/>
      <c r="G360" s="15"/>
      <c r="H360" s="15"/>
      <c r="I360" s="15"/>
      <c r="J360" s="15"/>
      <c r="K360" s="15"/>
      <c r="L360" s="15"/>
      <c r="M360" s="15"/>
      <c r="N360" s="15"/>
      <c r="O360" s="15"/>
      <c r="P360" s="15"/>
      <c r="Q360" s="15"/>
      <c r="R360" s="15"/>
      <c r="S360" s="15"/>
      <c r="T360" s="15"/>
      <c r="U360" s="15"/>
      <c r="V360" s="15"/>
      <c r="W360" s="15"/>
      <c r="X360" s="15"/>
      <c r="Y360" s="15"/>
      <c r="Z360" s="15"/>
      <c r="AA360" s="15"/>
      <c r="AB360" s="15"/>
      <c r="AC360" s="15"/>
      <c r="AD360" s="15"/>
      <c r="AE360" s="15"/>
      <c r="AF360" s="15"/>
      <c r="AG360" s="15"/>
      <c r="AH360" s="15"/>
      <c r="AI360" s="15"/>
      <c r="AJ360" s="15"/>
      <c r="AK360" s="15"/>
      <c r="AL360" s="15"/>
    </row>
    <row r="361" spans="2:38" x14ac:dyDescent="0.35">
      <c r="B361" s="15"/>
      <c r="C361" s="15"/>
      <c r="D361" s="15"/>
      <c r="E361" s="15"/>
      <c r="F361" s="15"/>
      <c r="G361" s="15"/>
      <c r="H361" s="15"/>
      <c r="I361" s="15"/>
      <c r="J361" s="15"/>
      <c r="K361" s="15"/>
      <c r="L361" s="15"/>
      <c r="M361" s="15"/>
      <c r="N361" s="15"/>
      <c r="O361" s="15"/>
      <c r="P361" s="15"/>
      <c r="Q361" s="15"/>
      <c r="R361" s="15"/>
      <c r="S361" s="15"/>
      <c r="T361" s="15"/>
      <c r="U361" s="15"/>
      <c r="V361" s="15"/>
      <c r="W361" s="15"/>
      <c r="X361" s="15"/>
      <c r="Y361" s="15"/>
      <c r="Z361" s="15"/>
      <c r="AA361" s="15"/>
      <c r="AB361" s="15"/>
      <c r="AC361" s="15"/>
      <c r="AD361" s="15"/>
      <c r="AE361" s="15"/>
      <c r="AF361" s="15"/>
      <c r="AG361" s="15"/>
      <c r="AH361" s="15"/>
      <c r="AI361" s="15"/>
      <c r="AJ361" s="15"/>
      <c r="AK361" s="15"/>
      <c r="AL361" s="15"/>
    </row>
    <row r="362" spans="2:38" x14ac:dyDescent="0.35">
      <c r="B362" s="15"/>
      <c r="C362" s="15"/>
      <c r="D362" s="15"/>
      <c r="E362" s="15"/>
      <c r="F362" s="15"/>
      <c r="G362" s="15"/>
      <c r="H362" s="15"/>
      <c r="I362" s="15"/>
      <c r="J362" s="15"/>
      <c r="K362" s="15"/>
      <c r="L362" s="15"/>
      <c r="M362" s="15"/>
      <c r="N362" s="15"/>
      <c r="O362" s="15"/>
      <c r="P362" s="15"/>
      <c r="Q362" s="15"/>
      <c r="R362" s="15"/>
      <c r="S362" s="15"/>
      <c r="T362" s="15"/>
      <c r="U362" s="15"/>
      <c r="V362" s="15"/>
      <c r="W362" s="15"/>
      <c r="X362" s="15"/>
      <c r="Y362" s="15"/>
      <c r="Z362" s="15"/>
      <c r="AA362" s="15"/>
      <c r="AB362" s="15"/>
      <c r="AC362" s="15"/>
      <c r="AD362" s="15"/>
      <c r="AE362" s="15"/>
      <c r="AF362" s="15"/>
      <c r="AG362" s="15"/>
      <c r="AH362" s="15"/>
      <c r="AI362" s="15"/>
      <c r="AJ362" s="15"/>
      <c r="AK362" s="15"/>
      <c r="AL362" s="15"/>
    </row>
    <row r="363" spans="2:38" x14ac:dyDescent="0.35">
      <c r="B363" s="15"/>
      <c r="C363" s="15"/>
      <c r="D363" s="15"/>
      <c r="E363" s="15"/>
      <c r="F363" s="15"/>
      <c r="G363" s="15"/>
      <c r="H363" s="15"/>
      <c r="I363" s="15"/>
      <c r="J363" s="15"/>
      <c r="K363" s="15"/>
      <c r="L363" s="15"/>
      <c r="M363" s="15"/>
      <c r="N363" s="15"/>
      <c r="O363" s="15"/>
      <c r="P363" s="15"/>
      <c r="Q363" s="15"/>
      <c r="R363" s="15"/>
      <c r="S363" s="15"/>
      <c r="T363" s="15"/>
      <c r="U363" s="15"/>
      <c r="V363" s="15"/>
      <c r="W363" s="15"/>
      <c r="X363" s="15"/>
      <c r="Y363" s="15"/>
      <c r="Z363" s="15"/>
      <c r="AA363" s="15"/>
      <c r="AB363" s="15"/>
      <c r="AC363" s="15"/>
      <c r="AD363" s="15"/>
      <c r="AE363" s="15"/>
      <c r="AF363" s="15"/>
      <c r="AG363" s="15"/>
      <c r="AH363" s="15"/>
      <c r="AI363" s="15"/>
      <c r="AJ363" s="15"/>
      <c r="AK363" s="15"/>
      <c r="AL363" s="15"/>
    </row>
    <row r="364" spans="2:38" x14ac:dyDescent="0.35">
      <c r="B364" s="15"/>
      <c r="C364" s="15"/>
      <c r="D364" s="15"/>
      <c r="E364" s="15"/>
      <c r="F364" s="15"/>
      <c r="G364" s="15"/>
      <c r="H364" s="15"/>
      <c r="I364" s="15"/>
      <c r="J364" s="15"/>
      <c r="K364" s="15"/>
      <c r="L364" s="15"/>
      <c r="M364" s="15"/>
      <c r="N364" s="15"/>
      <c r="O364" s="15"/>
      <c r="P364" s="15"/>
      <c r="Q364" s="15"/>
      <c r="R364" s="15"/>
      <c r="S364" s="15"/>
      <c r="T364" s="15"/>
      <c r="U364" s="15"/>
      <c r="V364" s="15"/>
      <c r="W364" s="15"/>
      <c r="X364" s="15"/>
      <c r="Y364" s="15"/>
      <c r="Z364" s="15"/>
      <c r="AA364" s="15"/>
      <c r="AB364" s="15"/>
      <c r="AC364" s="15"/>
      <c r="AD364" s="15"/>
      <c r="AE364" s="15"/>
      <c r="AF364" s="15"/>
      <c r="AG364" s="15"/>
      <c r="AH364" s="15"/>
      <c r="AI364" s="15"/>
      <c r="AJ364" s="15"/>
      <c r="AK364" s="15"/>
      <c r="AL364" s="15"/>
    </row>
    <row r="365" spans="2:38" x14ac:dyDescent="0.35">
      <c r="B365" s="15"/>
      <c r="C365" s="15"/>
      <c r="D365" s="15"/>
      <c r="E365" s="15"/>
      <c r="F365" s="15"/>
      <c r="G365" s="15"/>
      <c r="H365" s="15"/>
      <c r="I365" s="15"/>
      <c r="J365" s="15"/>
      <c r="K365" s="15"/>
      <c r="L365" s="15"/>
      <c r="M365" s="15"/>
      <c r="N365" s="15"/>
      <c r="O365" s="15"/>
      <c r="P365" s="15"/>
      <c r="Q365" s="15"/>
      <c r="R365" s="15"/>
      <c r="S365" s="15"/>
      <c r="T365" s="15"/>
      <c r="U365" s="15"/>
      <c r="V365" s="15"/>
      <c r="W365" s="15"/>
      <c r="X365" s="15"/>
      <c r="Y365" s="15"/>
      <c r="Z365" s="15"/>
      <c r="AA365" s="15"/>
      <c r="AB365" s="15"/>
      <c r="AC365" s="15"/>
      <c r="AD365" s="15"/>
      <c r="AE365" s="15"/>
      <c r="AF365" s="15"/>
      <c r="AG365" s="15"/>
      <c r="AH365" s="15"/>
      <c r="AI365" s="15"/>
      <c r="AJ365" s="15"/>
      <c r="AK365" s="15"/>
      <c r="AL365" s="15"/>
    </row>
    <row r="366" spans="2:38" x14ac:dyDescent="0.35">
      <c r="B366" s="15"/>
      <c r="C366" s="15"/>
      <c r="D366" s="15"/>
      <c r="E366" s="15"/>
      <c r="F366" s="15"/>
      <c r="G366" s="15"/>
      <c r="H366" s="15"/>
      <c r="I366" s="15"/>
      <c r="J366" s="15"/>
      <c r="K366" s="15"/>
      <c r="L366" s="15"/>
      <c r="M366" s="15"/>
      <c r="N366" s="15"/>
      <c r="O366" s="15"/>
      <c r="P366" s="15"/>
      <c r="Q366" s="15"/>
      <c r="R366" s="15"/>
      <c r="S366" s="15"/>
      <c r="T366" s="15"/>
      <c r="U366" s="15"/>
      <c r="V366" s="15"/>
      <c r="W366" s="15"/>
      <c r="X366" s="15"/>
      <c r="Y366" s="15"/>
      <c r="Z366" s="15"/>
      <c r="AA366" s="15"/>
      <c r="AB366" s="15"/>
      <c r="AC366" s="15"/>
      <c r="AD366" s="15"/>
      <c r="AE366" s="15"/>
      <c r="AF366" s="15"/>
      <c r="AG366" s="15"/>
      <c r="AH366" s="15"/>
      <c r="AI366" s="15"/>
      <c r="AJ366" s="15"/>
      <c r="AK366" s="15"/>
      <c r="AL366" s="15"/>
    </row>
    <row r="367" spans="2:38" x14ac:dyDescent="0.35">
      <c r="B367" s="15"/>
      <c r="C367" s="15"/>
      <c r="D367" s="15"/>
      <c r="E367" s="15"/>
      <c r="F367" s="15"/>
      <c r="G367" s="15"/>
      <c r="H367" s="15"/>
      <c r="I367" s="15"/>
      <c r="J367" s="15"/>
      <c r="K367" s="15"/>
      <c r="L367" s="15"/>
      <c r="M367" s="15"/>
      <c r="N367" s="15"/>
      <c r="O367" s="15"/>
      <c r="P367" s="15"/>
      <c r="Q367" s="15"/>
      <c r="R367" s="15"/>
      <c r="S367" s="15"/>
      <c r="T367" s="15"/>
      <c r="U367" s="15"/>
      <c r="V367" s="15"/>
      <c r="W367" s="15"/>
      <c r="X367" s="15"/>
      <c r="Y367" s="15"/>
      <c r="Z367" s="15"/>
      <c r="AA367" s="15"/>
      <c r="AB367" s="15"/>
      <c r="AC367" s="15"/>
      <c r="AD367" s="15"/>
      <c r="AE367" s="15"/>
      <c r="AF367" s="15"/>
      <c r="AG367" s="15"/>
      <c r="AH367" s="15"/>
      <c r="AI367" s="15"/>
      <c r="AJ367" s="15"/>
      <c r="AK367" s="15"/>
      <c r="AL367" s="15"/>
    </row>
    <row r="368" spans="2:38" x14ac:dyDescent="0.35">
      <c r="B368" s="15"/>
      <c r="C368" s="15"/>
      <c r="D368" s="15"/>
      <c r="E368" s="15"/>
      <c r="F368" s="15"/>
      <c r="G368" s="15"/>
      <c r="H368" s="15"/>
      <c r="I368" s="15"/>
      <c r="J368" s="15"/>
      <c r="K368" s="15"/>
      <c r="L368" s="15"/>
      <c r="M368" s="15"/>
      <c r="N368" s="15"/>
      <c r="O368" s="15"/>
      <c r="P368" s="15"/>
      <c r="Q368" s="15"/>
      <c r="R368" s="15"/>
      <c r="S368" s="15"/>
      <c r="T368" s="15"/>
      <c r="U368" s="15"/>
      <c r="V368" s="15"/>
      <c r="W368" s="15"/>
      <c r="X368" s="15"/>
      <c r="Y368" s="15"/>
      <c r="Z368" s="15"/>
      <c r="AA368" s="15"/>
      <c r="AB368" s="15"/>
      <c r="AC368" s="15"/>
      <c r="AD368" s="15"/>
      <c r="AE368" s="15"/>
      <c r="AF368" s="15"/>
      <c r="AG368" s="15"/>
      <c r="AH368" s="15"/>
      <c r="AI368" s="15"/>
      <c r="AJ368" s="15"/>
      <c r="AK368" s="15"/>
      <c r="AL368" s="15"/>
    </row>
    <row r="369" spans="2:38" x14ac:dyDescent="0.35">
      <c r="B369" s="15"/>
      <c r="C369" s="15"/>
      <c r="D369" s="15"/>
      <c r="E369" s="15"/>
      <c r="F369" s="15"/>
      <c r="G369" s="15"/>
      <c r="H369" s="15"/>
      <c r="I369" s="15"/>
      <c r="J369" s="15"/>
      <c r="K369" s="15"/>
      <c r="L369" s="15"/>
      <c r="M369" s="15"/>
      <c r="N369" s="15"/>
      <c r="O369" s="15"/>
      <c r="P369" s="15"/>
      <c r="Q369" s="15"/>
      <c r="R369" s="15"/>
      <c r="S369" s="15"/>
      <c r="T369" s="15"/>
      <c r="U369" s="15"/>
      <c r="V369" s="15"/>
      <c r="W369" s="15"/>
      <c r="X369" s="15"/>
      <c r="Y369" s="15"/>
      <c r="Z369" s="15"/>
      <c r="AA369" s="15"/>
      <c r="AB369" s="15"/>
      <c r="AC369" s="15"/>
      <c r="AD369" s="15"/>
      <c r="AE369" s="15"/>
      <c r="AF369" s="15"/>
      <c r="AG369" s="15"/>
      <c r="AH369" s="15"/>
      <c r="AI369" s="15"/>
      <c r="AJ369" s="15"/>
      <c r="AK369" s="15"/>
      <c r="AL369" s="15"/>
    </row>
    <row r="370" spans="2:38" x14ac:dyDescent="0.35">
      <c r="B370" s="15"/>
      <c r="C370" s="15"/>
      <c r="D370" s="15"/>
      <c r="E370" s="15"/>
      <c r="F370" s="15"/>
      <c r="G370" s="15"/>
      <c r="H370" s="15"/>
      <c r="I370" s="15"/>
      <c r="J370" s="15"/>
      <c r="K370" s="15"/>
      <c r="L370" s="15"/>
      <c r="M370" s="15"/>
      <c r="N370" s="15"/>
      <c r="O370" s="15"/>
      <c r="P370" s="15"/>
      <c r="Q370" s="15"/>
      <c r="R370" s="15"/>
      <c r="S370" s="15"/>
      <c r="T370" s="15"/>
      <c r="U370" s="15"/>
      <c r="V370" s="15"/>
      <c r="W370" s="15"/>
      <c r="X370" s="15"/>
      <c r="Y370" s="15"/>
      <c r="Z370" s="15"/>
      <c r="AA370" s="15"/>
      <c r="AB370" s="15"/>
      <c r="AC370" s="15"/>
      <c r="AD370" s="15"/>
      <c r="AE370" s="15"/>
      <c r="AF370" s="15"/>
      <c r="AG370" s="15"/>
      <c r="AH370" s="15"/>
      <c r="AI370" s="15"/>
      <c r="AJ370" s="15"/>
      <c r="AK370" s="15"/>
      <c r="AL370" s="15"/>
    </row>
    <row r="371" spans="2:38" x14ac:dyDescent="0.35">
      <c r="B371" s="15"/>
      <c r="C371" s="15"/>
      <c r="D371" s="15"/>
      <c r="E371" s="15"/>
      <c r="F371" s="15"/>
      <c r="G371" s="15"/>
      <c r="H371" s="15"/>
      <c r="I371" s="15"/>
      <c r="J371" s="15"/>
      <c r="K371" s="15"/>
      <c r="L371" s="15"/>
      <c r="M371" s="15"/>
      <c r="N371" s="15"/>
      <c r="O371" s="15"/>
      <c r="P371" s="15"/>
      <c r="Q371" s="15"/>
      <c r="R371" s="15"/>
      <c r="S371" s="15"/>
      <c r="T371" s="15"/>
      <c r="U371" s="15"/>
      <c r="V371" s="15"/>
      <c r="W371" s="15"/>
      <c r="X371" s="15"/>
      <c r="Y371" s="15"/>
      <c r="Z371" s="15"/>
      <c r="AA371" s="15"/>
      <c r="AB371" s="15"/>
      <c r="AC371" s="15"/>
      <c r="AD371" s="15"/>
      <c r="AE371" s="15"/>
      <c r="AF371" s="15"/>
      <c r="AG371" s="15"/>
      <c r="AH371" s="15"/>
      <c r="AI371" s="15"/>
      <c r="AJ371" s="15"/>
      <c r="AK371" s="15"/>
      <c r="AL371" s="15"/>
    </row>
    <row r="372" spans="2:38" x14ac:dyDescent="0.35">
      <c r="B372" s="15"/>
      <c r="C372" s="15"/>
      <c r="D372" s="15"/>
      <c r="E372" s="15"/>
      <c r="F372" s="15"/>
      <c r="G372" s="15"/>
      <c r="H372" s="15"/>
      <c r="I372" s="15"/>
      <c r="J372" s="15"/>
      <c r="K372" s="15"/>
      <c r="L372" s="15"/>
      <c r="M372" s="15"/>
      <c r="N372" s="15"/>
      <c r="O372" s="15"/>
      <c r="P372" s="15"/>
      <c r="Q372" s="15"/>
      <c r="R372" s="15"/>
      <c r="S372" s="15"/>
      <c r="T372" s="15"/>
      <c r="U372" s="15"/>
      <c r="V372" s="15"/>
      <c r="W372" s="15"/>
      <c r="X372" s="15"/>
      <c r="Y372" s="15"/>
      <c r="Z372" s="15"/>
      <c r="AA372" s="15"/>
      <c r="AB372" s="15"/>
      <c r="AC372" s="15"/>
      <c r="AD372" s="15"/>
      <c r="AE372" s="15"/>
      <c r="AF372" s="15"/>
      <c r="AG372" s="15"/>
      <c r="AH372" s="15"/>
      <c r="AI372" s="15"/>
      <c r="AJ372" s="15"/>
      <c r="AK372" s="15"/>
      <c r="AL372" s="15"/>
    </row>
    <row r="373" spans="2:38" x14ac:dyDescent="0.35">
      <c r="B373" s="15"/>
      <c r="C373" s="15"/>
      <c r="D373" s="15"/>
      <c r="E373" s="15"/>
      <c r="F373" s="15"/>
      <c r="G373" s="15"/>
      <c r="H373" s="15"/>
      <c r="I373" s="15"/>
      <c r="J373" s="15"/>
      <c r="K373" s="15"/>
      <c r="L373" s="15"/>
      <c r="M373" s="15"/>
      <c r="N373" s="15"/>
      <c r="O373" s="15"/>
      <c r="P373" s="15"/>
      <c r="Q373" s="15"/>
      <c r="R373" s="15"/>
      <c r="S373" s="15"/>
      <c r="T373" s="15"/>
      <c r="U373" s="15"/>
      <c r="V373" s="15"/>
      <c r="W373" s="15"/>
      <c r="X373" s="15"/>
      <c r="Y373" s="15"/>
      <c r="Z373" s="15"/>
      <c r="AA373" s="15"/>
      <c r="AB373" s="15"/>
      <c r="AC373" s="15"/>
      <c r="AD373" s="15"/>
      <c r="AE373" s="15"/>
      <c r="AF373" s="15"/>
      <c r="AG373" s="15"/>
      <c r="AH373" s="15"/>
      <c r="AI373" s="15"/>
      <c r="AJ373" s="15"/>
      <c r="AK373" s="15"/>
      <c r="AL373" s="15"/>
    </row>
    <row r="374" spans="2:38" x14ac:dyDescent="0.35">
      <c r="B374" s="15"/>
      <c r="C374" s="15"/>
      <c r="D374" s="15"/>
      <c r="E374" s="15"/>
      <c r="F374" s="15"/>
      <c r="G374" s="15"/>
      <c r="H374" s="15"/>
      <c r="I374" s="15"/>
      <c r="J374" s="15"/>
      <c r="K374" s="15"/>
      <c r="L374" s="15"/>
      <c r="M374" s="15"/>
      <c r="N374" s="15"/>
      <c r="O374" s="15"/>
      <c r="P374" s="15"/>
      <c r="Q374" s="15"/>
      <c r="R374" s="15"/>
      <c r="S374" s="15"/>
      <c r="T374" s="15"/>
      <c r="U374" s="15"/>
      <c r="V374" s="15"/>
      <c r="W374" s="15"/>
      <c r="X374" s="15"/>
      <c r="Y374" s="15"/>
      <c r="Z374" s="15"/>
      <c r="AA374" s="15"/>
      <c r="AB374" s="15"/>
      <c r="AC374" s="15"/>
      <c r="AD374" s="15"/>
      <c r="AE374" s="15"/>
      <c r="AF374" s="15"/>
      <c r="AG374" s="15"/>
      <c r="AH374" s="15"/>
      <c r="AI374" s="15"/>
      <c r="AJ374" s="15"/>
      <c r="AK374" s="15"/>
      <c r="AL374" s="15"/>
    </row>
    <row r="375" spans="2:38" x14ac:dyDescent="0.35">
      <c r="B375" s="15"/>
      <c r="C375" s="15"/>
      <c r="D375" s="15"/>
      <c r="E375" s="15"/>
      <c r="F375" s="15"/>
      <c r="G375" s="15"/>
      <c r="H375" s="15"/>
      <c r="I375" s="15"/>
      <c r="J375" s="15"/>
      <c r="K375" s="15"/>
      <c r="L375" s="15"/>
      <c r="M375" s="15"/>
      <c r="N375" s="15"/>
      <c r="O375" s="15"/>
      <c r="P375" s="15"/>
      <c r="Q375" s="15"/>
      <c r="R375" s="15"/>
      <c r="S375" s="15"/>
      <c r="T375" s="15"/>
      <c r="U375" s="15"/>
      <c r="V375" s="15"/>
      <c r="W375" s="15"/>
      <c r="X375" s="15"/>
      <c r="Y375" s="15"/>
      <c r="Z375" s="15"/>
      <c r="AA375" s="15"/>
      <c r="AB375" s="15"/>
      <c r="AC375" s="15"/>
      <c r="AD375" s="15"/>
      <c r="AE375" s="15"/>
      <c r="AF375" s="15"/>
      <c r="AG375" s="15"/>
      <c r="AH375" s="15"/>
      <c r="AI375" s="15"/>
      <c r="AJ375" s="15"/>
      <c r="AK375" s="15"/>
      <c r="AL375" s="15"/>
    </row>
    <row r="376" spans="2:38" x14ac:dyDescent="0.35">
      <c r="B376" s="15"/>
      <c r="C376" s="15"/>
      <c r="D376" s="15"/>
      <c r="E376" s="15"/>
      <c r="F376" s="15"/>
      <c r="G376" s="15"/>
      <c r="H376" s="15"/>
      <c r="I376" s="15"/>
      <c r="J376" s="15"/>
      <c r="K376" s="15"/>
      <c r="L376" s="15"/>
      <c r="M376" s="15"/>
      <c r="N376" s="15"/>
      <c r="O376" s="15"/>
      <c r="P376" s="15"/>
      <c r="Q376" s="15"/>
      <c r="R376" s="15"/>
      <c r="S376" s="15"/>
      <c r="T376" s="15"/>
      <c r="U376" s="15"/>
      <c r="V376" s="15"/>
      <c r="W376" s="15"/>
      <c r="X376" s="15"/>
      <c r="Y376" s="15"/>
      <c r="Z376" s="15"/>
      <c r="AA376" s="15"/>
      <c r="AB376" s="15"/>
      <c r="AC376" s="15"/>
      <c r="AD376" s="15"/>
      <c r="AE376" s="15"/>
      <c r="AF376" s="15"/>
      <c r="AG376" s="15"/>
      <c r="AH376" s="15"/>
      <c r="AI376" s="15"/>
      <c r="AJ376" s="15"/>
      <c r="AK376" s="15"/>
      <c r="AL376" s="15"/>
    </row>
    <row r="377" spans="2:38" x14ac:dyDescent="0.35">
      <c r="B377" s="15"/>
      <c r="C377" s="15"/>
      <c r="D377" s="15"/>
      <c r="E377" s="15"/>
      <c r="F377" s="15"/>
      <c r="G377" s="15"/>
      <c r="H377" s="15"/>
      <c r="I377" s="15"/>
      <c r="J377" s="15"/>
      <c r="K377" s="15"/>
      <c r="L377" s="15"/>
      <c r="M377" s="15"/>
      <c r="N377" s="15"/>
      <c r="O377" s="15"/>
      <c r="P377" s="15"/>
      <c r="Q377" s="15"/>
      <c r="R377" s="15"/>
      <c r="S377" s="15"/>
      <c r="T377" s="15"/>
      <c r="U377" s="15"/>
      <c r="V377" s="15"/>
      <c r="W377" s="15"/>
      <c r="X377" s="15"/>
      <c r="Y377" s="15"/>
      <c r="Z377" s="15"/>
      <c r="AA377" s="15"/>
      <c r="AB377" s="15"/>
      <c r="AC377" s="15"/>
      <c r="AD377" s="15"/>
      <c r="AE377" s="15"/>
      <c r="AF377" s="15"/>
      <c r="AG377" s="15"/>
      <c r="AH377" s="15"/>
      <c r="AI377" s="15"/>
      <c r="AJ377" s="15"/>
      <c r="AK377" s="15"/>
      <c r="AL377" s="15"/>
    </row>
    <row r="378" spans="2:38" x14ac:dyDescent="0.35">
      <c r="B378" s="15"/>
      <c r="C378" s="15"/>
      <c r="D378" s="15"/>
      <c r="E378" s="15"/>
      <c r="F378" s="15"/>
      <c r="G378" s="15"/>
      <c r="H378" s="15"/>
      <c r="I378" s="15"/>
      <c r="J378" s="15"/>
      <c r="K378" s="15"/>
      <c r="L378" s="15"/>
      <c r="M378" s="15"/>
      <c r="N378" s="15"/>
      <c r="O378" s="15"/>
      <c r="P378" s="15"/>
      <c r="Q378" s="15"/>
      <c r="R378" s="15"/>
      <c r="S378" s="15"/>
      <c r="T378" s="15"/>
      <c r="U378" s="15"/>
      <c r="V378" s="15"/>
      <c r="W378" s="15"/>
      <c r="X378" s="15"/>
      <c r="Y378" s="15"/>
      <c r="Z378" s="15"/>
      <c r="AA378" s="15"/>
      <c r="AB378" s="15"/>
      <c r="AC378" s="15"/>
      <c r="AD378" s="15"/>
      <c r="AE378" s="15"/>
      <c r="AF378" s="15"/>
      <c r="AG378" s="15"/>
      <c r="AH378" s="15"/>
      <c r="AI378" s="15"/>
      <c r="AJ378" s="15"/>
      <c r="AK378" s="15"/>
      <c r="AL378" s="15"/>
    </row>
    <row r="379" spans="2:38" x14ac:dyDescent="0.35">
      <c r="B379" s="15"/>
      <c r="C379" s="15"/>
      <c r="D379" s="15"/>
      <c r="E379" s="15"/>
      <c r="F379" s="15"/>
      <c r="G379" s="15"/>
      <c r="H379" s="15"/>
      <c r="I379" s="15"/>
      <c r="J379" s="15"/>
      <c r="K379" s="15"/>
      <c r="L379" s="15"/>
      <c r="M379" s="15"/>
      <c r="N379" s="15"/>
      <c r="O379" s="15"/>
      <c r="P379" s="15"/>
      <c r="Q379" s="15"/>
      <c r="R379" s="15"/>
      <c r="S379" s="15"/>
      <c r="T379" s="15"/>
      <c r="U379" s="15"/>
      <c r="V379" s="15"/>
      <c r="W379" s="15"/>
      <c r="X379" s="15"/>
      <c r="Y379" s="15"/>
      <c r="Z379" s="15"/>
      <c r="AA379" s="15"/>
      <c r="AB379" s="15"/>
      <c r="AC379" s="15"/>
      <c r="AD379" s="15"/>
      <c r="AE379" s="15"/>
      <c r="AF379" s="15"/>
      <c r="AG379" s="15"/>
      <c r="AH379" s="15"/>
      <c r="AI379" s="15"/>
      <c r="AJ379" s="15"/>
      <c r="AK379" s="15"/>
      <c r="AL379" s="15"/>
    </row>
    <row r="380" spans="2:38" x14ac:dyDescent="0.35">
      <c r="B380" s="15"/>
      <c r="C380" s="15"/>
      <c r="D380" s="15"/>
      <c r="E380" s="15"/>
      <c r="F380" s="15"/>
      <c r="G380" s="15"/>
      <c r="H380" s="15"/>
      <c r="I380" s="15"/>
      <c r="J380" s="15"/>
      <c r="K380" s="15"/>
      <c r="L380" s="15"/>
      <c r="M380" s="15"/>
      <c r="N380" s="15"/>
      <c r="O380" s="15"/>
      <c r="P380" s="15"/>
      <c r="Q380" s="15"/>
      <c r="R380" s="15"/>
      <c r="S380" s="15"/>
      <c r="T380" s="15"/>
      <c r="U380" s="15"/>
      <c r="V380" s="15"/>
      <c r="W380" s="15"/>
      <c r="X380" s="15"/>
      <c r="Y380" s="15"/>
      <c r="Z380" s="15"/>
      <c r="AA380" s="15"/>
      <c r="AB380" s="15"/>
      <c r="AC380" s="15"/>
      <c r="AD380" s="15"/>
      <c r="AE380" s="15"/>
      <c r="AF380" s="15"/>
      <c r="AG380" s="15"/>
      <c r="AH380" s="15"/>
      <c r="AI380" s="15"/>
      <c r="AJ380" s="15"/>
      <c r="AK380" s="15"/>
      <c r="AL380" s="15"/>
    </row>
    <row r="381" spans="2:38" x14ac:dyDescent="0.35">
      <c r="B381" s="15"/>
      <c r="C381" s="15"/>
      <c r="D381" s="15"/>
      <c r="E381" s="15"/>
      <c r="F381" s="15"/>
      <c r="G381" s="15"/>
      <c r="H381" s="15"/>
      <c r="I381" s="15"/>
      <c r="J381" s="15"/>
      <c r="K381" s="15"/>
      <c r="L381" s="15"/>
      <c r="M381" s="15"/>
      <c r="N381" s="15"/>
      <c r="O381" s="15"/>
      <c r="P381" s="15"/>
      <c r="Q381" s="15"/>
      <c r="R381" s="15"/>
      <c r="S381" s="15"/>
      <c r="T381" s="15"/>
      <c r="U381" s="15"/>
      <c r="V381" s="15"/>
      <c r="W381" s="15"/>
      <c r="X381" s="15"/>
      <c r="Y381" s="15"/>
      <c r="Z381" s="15"/>
      <c r="AA381" s="15"/>
      <c r="AB381" s="15"/>
      <c r="AC381" s="15"/>
      <c r="AD381" s="15"/>
      <c r="AE381" s="15"/>
      <c r="AF381" s="15"/>
      <c r="AG381" s="15"/>
      <c r="AH381" s="15"/>
      <c r="AI381" s="15"/>
      <c r="AJ381" s="15"/>
      <c r="AK381" s="15"/>
      <c r="AL381" s="15"/>
    </row>
    <row r="382" spans="2:38" x14ac:dyDescent="0.35">
      <c r="B382" s="15"/>
      <c r="C382" s="15"/>
      <c r="D382" s="15"/>
      <c r="E382" s="15"/>
      <c r="F382" s="15"/>
      <c r="G382" s="15"/>
      <c r="H382" s="15"/>
      <c r="I382" s="15"/>
      <c r="J382" s="15"/>
      <c r="K382" s="15"/>
      <c r="L382" s="15"/>
      <c r="M382" s="15"/>
      <c r="N382" s="15"/>
      <c r="O382" s="15"/>
      <c r="P382" s="15"/>
      <c r="Q382" s="15"/>
      <c r="R382" s="15"/>
      <c r="S382" s="15"/>
      <c r="T382" s="15"/>
      <c r="U382" s="15"/>
      <c r="V382" s="15"/>
      <c r="W382" s="15"/>
      <c r="X382" s="15"/>
      <c r="Y382" s="15"/>
      <c r="Z382" s="15"/>
      <c r="AA382" s="15"/>
      <c r="AB382" s="15"/>
      <c r="AC382" s="15"/>
      <c r="AD382" s="15"/>
      <c r="AE382" s="15"/>
      <c r="AF382" s="15"/>
      <c r="AG382" s="15"/>
      <c r="AH382" s="15"/>
      <c r="AI382" s="15"/>
      <c r="AJ382" s="15"/>
      <c r="AK382" s="15"/>
      <c r="AL382" s="15"/>
    </row>
    <row r="383" spans="2:38" x14ac:dyDescent="0.35">
      <c r="B383" s="15"/>
      <c r="C383" s="15"/>
      <c r="D383" s="15"/>
      <c r="E383" s="15"/>
      <c r="F383" s="15"/>
      <c r="G383" s="15"/>
      <c r="H383" s="15"/>
      <c r="I383" s="15"/>
      <c r="J383" s="15"/>
      <c r="K383" s="15"/>
      <c r="L383" s="15"/>
      <c r="M383" s="15"/>
      <c r="N383" s="15"/>
      <c r="O383" s="15"/>
      <c r="P383" s="15"/>
      <c r="Q383" s="15"/>
      <c r="R383" s="15"/>
      <c r="S383" s="15"/>
      <c r="T383" s="15"/>
      <c r="U383" s="15"/>
      <c r="V383" s="15"/>
      <c r="W383" s="15"/>
      <c r="X383" s="15"/>
      <c r="Y383" s="15"/>
      <c r="Z383" s="15"/>
      <c r="AA383" s="15"/>
      <c r="AB383" s="15"/>
      <c r="AC383" s="15"/>
      <c r="AD383" s="15"/>
      <c r="AE383" s="15"/>
      <c r="AF383" s="15"/>
      <c r="AG383" s="15"/>
      <c r="AH383" s="15"/>
      <c r="AI383" s="15"/>
      <c r="AJ383" s="15"/>
      <c r="AK383" s="15"/>
      <c r="AL383" s="15"/>
    </row>
    <row r="384" spans="2:38" x14ac:dyDescent="0.35">
      <c r="B384" s="15"/>
      <c r="C384" s="15"/>
      <c r="D384" s="15"/>
      <c r="E384" s="15"/>
      <c r="F384" s="15"/>
      <c r="G384" s="15"/>
      <c r="H384" s="15"/>
      <c r="I384" s="15"/>
      <c r="J384" s="15"/>
      <c r="K384" s="15"/>
      <c r="L384" s="15"/>
      <c r="M384" s="15"/>
      <c r="N384" s="15"/>
      <c r="O384" s="15"/>
      <c r="P384" s="15"/>
      <c r="Q384" s="15"/>
      <c r="R384" s="15"/>
      <c r="S384" s="15"/>
      <c r="T384" s="15"/>
      <c r="U384" s="15"/>
      <c r="V384" s="15"/>
      <c r="W384" s="15"/>
      <c r="X384" s="15"/>
      <c r="Y384" s="15"/>
      <c r="Z384" s="15"/>
      <c r="AA384" s="15"/>
      <c r="AB384" s="15"/>
      <c r="AC384" s="15"/>
      <c r="AD384" s="15"/>
      <c r="AE384" s="15"/>
      <c r="AF384" s="15"/>
      <c r="AG384" s="15"/>
      <c r="AH384" s="15"/>
      <c r="AI384" s="15"/>
      <c r="AJ384" s="15"/>
      <c r="AK384" s="15"/>
      <c r="AL384" s="15"/>
    </row>
    <row r="385" spans="2:38" x14ac:dyDescent="0.35">
      <c r="B385" s="15"/>
      <c r="C385" s="15"/>
      <c r="D385" s="15"/>
      <c r="E385" s="15"/>
      <c r="F385" s="15"/>
      <c r="G385" s="15"/>
      <c r="H385" s="15"/>
      <c r="I385" s="15"/>
      <c r="J385" s="15"/>
      <c r="K385" s="15"/>
      <c r="L385" s="15"/>
      <c r="M385" s="15"/>
      <c r="N385" s="15"/>
      <c r="O385" s="15"/>
      <c r="P385" s="15"/>
      <c r="Q385" s="15"/>
      <c r="R385" s="15"/>
      <c r="S385" s="15"/>
      <c r="T385" s="15"/>
      <c r="U385" s="15"/>
      <c r="V385" s="15"/>
      <c r="W385" s="15"/>
      <c r="X385" s="15"/>
      <c r="Y385" s="15"/>
      <c r="Z385" s="15"/>
      <c r="AA385" s="15"/>
      <c r="AB385" s="15"/>
      <c r="AC385" s="15"/>
      <c r="AD385" s="15"/>
      <c r="AE385" s="15"/>
      <c r="AF385" s="15"/>
      <c r="AG385" s="15"/>
      <c r="AH385" s="15"/>
      <c r="AI385" s="15"/>
      <c r="AJ385" s="15"/>
      <c r="AK385" s="15"/>
      <c r="AL385" s="15"/>
    </row>
    <row r="386" spans="2:38" x14ac:dyDescent="0.35">
      <c r="B386" s="15"/>
      <c r="C386" s="15"/>
      <c r="D386" s="15"/>
      <c r="E386" s="15"/>
      <c r="F386" s="15"/>
      <c r="G386" s="15"/>
      <c r="H386" s="15"/>
      <c r="I386" s="15"/>
      <c r="J386" s="15"/>
      <c r="K386" s="15"/>
      <c r="L386" s="15"/>
      <c r="M386" s="15"/>
      <c r="N386" s="15"/>
      <c r="O386" s="15"/>
      <c r="P386" s="15"/>
      <c r="Q386" s="15"/>
      <c r="R386" s="15"/>
      <c r="S386" s="15"/>
      <c r="T386" s="15"/>
      <c r="U386" s="15"/>
      <c r="V386" s="15"/>
      <c r="W386" s="15"/>
      <c r="X386" s="15"/>
      <c r="Y386" s="15"/>
      <c r="Z386" s="15"/>
      <c r="AA386" s="15"/>
      <c r="AB386" s="15"/>
      <c r="AC386" s="15"/>
      <c r="AD386" s="15"/>
      <c r="AE386" s="15"/>
      <c r="AF386" s="15"/>
      <c r="AG386" s="15"/>
      <c r="AH386" s="15"/>
      <c r="AI386" s="15"/>
      <c r="AJ386" s="15"/>
      <c r="AK386" s="15"/>
      <c r="AL386" s="15"/>
    </row>
    <row r="387" spans="2:38" x14ac:dyDescent="0.35">
      <c r="B387" s="15"/>
      <c r="C387" s="15"/>
      <c r="D387" s="15"/>
      <c r="E387" s="15"/>
      <c r="F387" s="15"/>
      <c r="G387" s="15"/>
      <c r="H387" s="15"/>
      <c r="I387" s="15"/>
      <c r="J387" s="15"/>
      <c r="K387" s="15"/>
      <c r="L387" s="15"/>
      <c r="M387" s="15"/>
      <c r="N387" s="15"/>
      <c r="O387" s="15"/>
      <c r="P387" s="15"/>
      <c r="Q387" s="15"/>
      <c r="R387" s="15"/>
      <c r="S387" s="15"/>
      <c r="T387" s="15"/>
      <c r="U387" s="15"/>
      <c r="V387" s="15"/>
      <c r="W387" s="15"/>
      <c r="X387" s="15"/>
      <c r="Y387" s="15"/>
      <c r="Z387" s="15"/>
      <c r="AA387" s="15"/>
      <c r="AB387" s="15"/>
      <c r="AC387" s="15"/>
      <c r="AD387" s="15"/>
      <c r="AE387" s="15"/>
      <c r="AF387" s="15"/>
      <c r="AG387" s="15"/>
      <c r="AH387" s="15"/>
      <c r="AI387" s="15"/>
      <c r="AJ387" s="15"/>
      <c r="AK387" s="15"/>
      <c r="AL387" s="15"/>
    </row>
    <row r="388" spans="2:38" x14ac:dyDescent="0.35">
      <c r="B388" s="15"/>
      <c r="C388" s="15"/>
      <c r="D388" s="15"/>
      <c r="E388" s="15"/>
      <c r="F388" s="15"/>
      <c r="G388" s="15"/>
      <c r="H388" s="15"/>
      <c r="I388" s="15"/>
      <c r="J388" s="15"/>
      <c r="K388" s="15"/>
      <c r="L388" s="15"/>
      <c r="M388" s="15"/>
      <c r="N388" s="15"/>
      <c r="O388" s="15"/>
      <c r="P388" s="15"/>
      <c r="Q388" s="15"/>
      <c r="R388" s="15"/>
      <c r="S388" s="15"/>
      <c r="T388" s="15"/>
      <c r="U388" s="15"/>
      <c r="V388" s="15"/>
      <c r="W388" s="15"/>
      <c r="X388" s="15"/>
      <c r="Y388" s="15"/>
      <c r="Z388" s="15"/>
      <c r="AA388" s="15"/>
      <c r="AB388" s="15"/>
      <c r="AC388" s="15"/>
      <c r="AD388" s="15"/>
      <c r="AE388" s="15"/>
      <c r="AF388" s="15"/>
      <c r="AG388" s="15"/>
      <c r="AH388" s="15"/>
      <c r="AI388" s="15"/>
      <c r="AJ388" s="15"/>
      <c r="AK388" s="15"/>
      <c r="AL388" s="15"/>
    </row>
    <row r="389" spans="2:38" x14ac:dyDescent="0.35">
      <c r="B389" s="15"/>
      <c r="C389" s="15"/>
      <c r="D389" s="15"/>
      <c r="E389" s="15"/>
      <c r="F389" s="15"/>
      <c r="G389" s="15"/>
      <c r="H389" s="15"/>
      <c r="I389" s="15"/>
      <c r="J389" s="15"/>
      <c r="K389" s="15"/>
      <c r="L389" s="15"/>
      <c r="M389" s="15"/>
      <c r="N389" s="15"/>
      <c r="O389" s="15"/>
      <c r="P389" s="15"/>
      <c r="Q389" s="15"/>
      <c r="R389" s="15"/>
      <c r="S389" s="15"/>
      <c r="T389" s="15"/>
      <c r="U389" s="15"/>
      <c r="V389" s="15"/>
      <c r="W389" s="15"/>
      <c r="X389" s="15"/>
      <c r="Y389" s="15"/>
      <c r="Z389" s="15"/>
      <c r="AA389" s="15"/>
      <c r="AB389" s="15"/>
      <c r="AC389" s="15"/>
      <c r="AD389" s="15"/>
      <c r="AE389" s="15"/>
      <c r="AF389" s="15"/>
      <c r="AG389" s="15"/>
      <c r="AH389" s="15"/>
      <c r="AI389" s="15"/>
      <c r="AJ389" s="15"/>
      <c r="AK389" s="15"/>
      <c r="AL389" s="15"/>
    </row>
    <row r="390" spans="2:38" x14ac:dyDescent="0.35">
      <c r="B390" s="15"/>
      <c r="C390" s="15"/>
      <c r="D390" s="15"/>
      <c r="E390" s="15"/>
      <c r="F390" s="15"/>
      <c r="G390" s="15"/>
      <c r="H390" s="15"/>
      <c r="I390" s="15"/>
      <c r="J390" s="15"/>
      <c r="K390" s="15"/>
      <c r="L390" s="15"/>
      <c r="M390" s="15"/>
      <c r="N390" s="15"/>
      <c r="O390" s="15"/>
      <c r="P390" s="15"/>
      <c r="Q390" s="15"/>
      <c r="R390" s="15"/>
      <c r="S390" s="15"/>
      <c r="T390" s="15"/>
      <c r="U390" s="15"/>
      <c r="V390" s="15"/>
      <c r="W390" s="15"/>
      <c r="X390" s="15"/>
      <c r="Y390" s="15"/>
      <c r="Z390" s="15"/>
      <c r="AA390" s="15"/>
      <c r="AB390" s="15"/>
      <c r="AC390" s="15"/>
      <c r="AD390" s="15"/>
      <c r="AE390" s="15"/>
      <c r="AF390" s="15"/>
      <c r="AG390" s="15"/>
      <c r="AH390" s="15"/>
      <c r="AI390" s="15"/>
      <c r="AJ390" s="15"/>
      <c r="AK390" s="15"/>
      <c r="AL390" s="15"/>
    </row>
    <row r="391" spans="2:38" x14ac:dyDescent="0.35">
      <c r="B391" s="15"/>
      <c r="C391" s="15"/>
      <c r="D391" s="15"/>
      <c r="E391" s="15"/>
      <c r="F391" s="15"/>
      <c r="G391" s="15"/>
      <c r="H391" s="15"/>
      <c r="I391" s="15"/>
      <c r="J391" s="15"/>
      <c r="K391" s="15"/>
      <c r="L391" s="15"/>
      <c r="M391" s="15"/>
      <c r="N391" s="15"/>
      <c r="O391" s="15"/>
      <c r="P391" s="15"/>
      <c r="Q391" s="15"/>
      <c r="R391" s="15"/>
      <c r="S391" s="15"/>
      <c r="T391" s="15"/>
      <c r="U391" s="15"/>
      <c r="V391" s="15"/>
      <c r="W391" s="15"/>
      <c r="X391" s="15"/>
      <c r="Y391" s="15"/>
      <c r="Z391" s="15"/>
      <c r="AA391" s="15"/>
      <c r="AB391" s="15"/>
      <c r="AC391" s="15"/>
      <c r="AD391" s="15"/>
      <c r="AE391" s="15"/>
      <c r="AF391" s="15"/>
      <c r="AG391" s="15"/>
      <c r="AH391" s="15"/>
      <c r="AI391" s="15"/>
      <c r="AJ391" s="15"/>
      <c r="AK391" s="15"/>
      <c r="AL391" s="15"/>
    </row>
    <row r="392" spans="2:38" x14ac:dyDescent="0.35">
      <c r="B392" s="15"/>
      <c r="C392" s="15"/>
      <c r="D392" s="15"/>
      <c r="E392" s="15"/>
      <c r="F392" s="15"/>
      <c r="G392" s="15"/>
      <c r="H392" s="15"/>
      <c r="I392" s="15"/>
      <c r="J392" s="15"/>
      <c r="K392" s="15"/>
      <c r="L392" s="15"/>
      <c r="M392" s="15"/>
      <c r="N392" s="15"/>
      <c r="O392" s="15"/>
      <c r="P392" s="15"/>
      <c r="Q392" s="15"/>
      <c r="R392" s="15"/>
      <c r="S392" s="15"/>
      <c r="T392" s="15"/>
      <c r="U392" s="15"/>
      <c r="V392" s="15"/>
      <c r="W392" s="15"/>
      <c r="X392" s="15"/>
      <c r="Y392" s="15"/>
      <c r="Z392" s="15"/>
      <c r="AA392" s="15"/>
      <c r="AB392" s="15"/>
      <c r="AC392" s="15"/>
      <c r="AD392" s="15"/>
      <c r="AE392" s="15"/>
      <c r="AF392" s="15"/>
      <c r="AG392" s="15"/>
      <c r="AH392" s="15"/>
      <c r="AI392" s="15"/>
      <c r="AJ392" s="15"/>
      <c r="AK392" s="15"/>
      <c r="AL392" s="15"/>
    </row>
    <row r="393" spans="2:38" x14ac:dyDescent="0.35">
      <c r="B393" s="15"/>
      <c r="C393" s="15"/>
      <c r="D393" s="15"/>
      <c r="E393" s="15"/>
      <c r="F393" s="15"/>
      <c r="G393" s="15"/>
      <c r="H393" s="15"/>
      <c r="I393" s="15"/>
      <c r="J393" s="15"/>
      <c r="K393" s="15"/>
      <c r="L393" s="15"/>
      <c r="M393" s="15"/>
      <c r="N393" s="15"/>
      <c r="O393" s="15"/>
      <c r="P393" s="15"/>
      <c r="Q393" s="15"/>
      <c r="R393" s="15"/>
      <c r="S393" s="15"/>
      <c r="T393" s="15"/>
      <c r="U393" s="15"/>
      <c r="V393" s="15"/>
      <c r="W393" s="15"/>
      <c r="X393" s="15"/>
      <c r="Y393" s="15"/>
      <c r="Z393" s="15"/>
      <c r="AA393" s="15"/>
      <c r="AB393" s="15"/>
      <c r="AC393" s="15"/>
      <c r="AD393" s="15"/>
      <c r="AE393" s="15"/>
      <c r="AF393" s="15"/>
      <c r="AG393" s="15"/>
      <c r="AH393" s="15"/>
      <c r="AI393" s="15"/>
      <c r="AJ393" s="15"/>
      <c r="AK393" s="15"/>
      <c r="AL393" s="15"/>
    </row>
    <row r="394" spans="2:38" x14ac:dyDescent="0.35">
      <c r="B394" s="15"/>
      <c r="C394" s="15"/>
      <c r="D394" s="15"/>
      <c r="E394" s="15"/>
      <c r="F394" s="15"/>
      <c r="G394" s="15"/>
      <c r="H394" s="15"/>
      <c r="I394" s="15"/>
      <c r="J394" s="15"/>
      <c r="K394" s="15"/>
      <c r="L394" s="15"/>
      <c r="M394" s="15"/>
      <c r="N394" s="15"/>
      <c r="O394" s="15"/>
      <c r="P394" s="15"/>
      <c r="Q394" s="15"/>
      <c r="R394" s="15"/>
      <c r="S394" s="15"/>
      <c r="T394" s="15"/>
      <c r="U394" s="15"/>
      <c r="V394" s="15"/>
      <c r="W394" s="15"/>
      <c r="X394" s="15"/>
      <c r="Y394" s="15"/>
      <c r="Z394" s="15"/>
      <c r="AA394" s="15"/>
      <c r="AB394" s="15"/>
      <c r="AC394" s="15"/>
      <c r="AD394" s="15"/>
      <c r="AE394" s="15"/>
      <c r="AF394" s="15"/>
      <c r="AG394" s="15"/>
      <c r="AH394" s="15"/>
      <c r="AI394" s="15"/>
      <c r="AJ394" s="15"/>
      <c r="AK394" s="15"/>
      <c r="AL394" s="15"/>
    </row>
    <row r="395" spans="2:38" x14ac:dyDescent="0.35">
      <c r="B395" s="15"/>
      <c r="C395" s="15"/>
      <c r="D395" s="15"/>
      <c r="E395" s="15"/>
      <c r="F395" s="15"/>
      <c r="G395" s="15"/>
      <c r="H395" s="15"/>
      <c r="I395" s="15"/>
      <c r="J395" s="15"/>
      <c r="K395" s="15"/>
      <c r="L395" s="15"/>
      <c r="M395" s="15"/>
      <c r="N395" s="15"/>
      <c r="O395" s="15"/>
      <c r="P395" s="15"/>
      <c r="Q395" s="15"/>
      <c r="R395" s="15"/>
      <c r="S395" s="15"/>
      <c r="T395" s="15"/>
      <c r="U395" s="15"/>
      <c r="V395" s="15"/>
      <c r="W395" s="15"/>
      <c r="X395" s="15"/>
      <c r="Y395" s="15"/>
      <c r="Z395" s="15"/>
      <c r="AA395" s="15"/>
      <c r="AB395" s="15"/>
      <c r="AC395" s="15"/>
      <c r="AD395" s="15"/>
      <c r="AE395" s="15"/>
      <c r="AF395" s="15"/>
      <c r="AG395" s="15"/>
      <c r="AH395" s="15"/>
      <c r="AI395" s="15"/>
      <c r="AJ395" s="15"/>
      <c r="AK395" s="15"/>
      <c r="AL395" s="15"/>
    </row>
    <row r="396" spans="2:38" x14ac:dyDescent="0.35">
      <c r="B396" s="15"/>
      <c r="C396" s="15"/>
      <c r="D396" s="15"/>
      <c r="E396" s="15"/>
      <c r="F396" s="15"/>
      <c r="G396" s="15"/>
      <c r="H396" s="15"/>
      <c r="I396" s="15"/>
      <c r="J396" s="15"/>
      <c r="K396" s="15"/>
      <c r="L396" s="15"/>
      <c r="M396" s="15"/>
      <c r="N396" s="15"/>
      <c r="O396" s="15"/>
      <c r="P396" s="15"/>
      <c r="Q396" s="15"/>
      <c r="R396" s="15"/>
      <c r="S396" s="15"/>
      <c r="T396" s="15"/>
      <c r="U396" s="15"/>
      <c r="V396" s="15"/>
      <c r="W396" s="15"/>
      <c r="X396" s="15"/>
      <c r="Y396" s="15"/>
      <c r="Z396" s="15"/>
      <c r="AA396" s="15"/>
      <c r="AB396" s="15"/>
      <c r="AC396" s="15"/>
      <c r="AD396" s="15"/>
      <c r="AE396" s="15"/>
      <c r="AF396" s="15"/>
      <c r="AG396" s="15"/>
      <c r="AH396" s="15"/>
      <c r="AI396" s="15"/>
      <c r="AJ396" s="15"/>
      <c r="AK396" s="15"/>
      <c r="AL396" s="15"/>
    </row>
    <row r="397" spans="2:38" x14ac:dyDescent="0.35">
      <c r="B397" s="15"/>
      <c r="C397" s="15"/>
      <c r="D397" s="15"/>
      <c r="E397" s="15"/>
      <c r="F397" s="15"/>
      <c r="G397" s="15"/>
      <c r="H397" s="15"/>
      <c r="I397" s="15"/>
      <c r="J397" s="15"/>
      <c r="K397" s="15"/>
      <c r="L397" s="15"/>
      <c r="M397" s="15"/>
      <c r="N397" s="15"/>
      <c r="O397" s="15"/>
      <c r="P397" s="15"/>
      <c r="Q397" s="15"/>
      <c r="R397" s="15"/>
      <c r="S397" s="15"/>
      <c r="T397" s="15"/>
      <c r="U397" s="15"/>
      <c r="V397" s="15"/>
      <c r="W397" s="15"/>
      <c r="X397" s="15"/>
      <c r="Y397" s="15"/>
      <c r="Z397" s="15"/>
      <c r="AA397" s="15"/>
      <c r="AB397" s="15"/>
      <c r="AC397" s="15"/>
      <c r="AD397" s="15"/>
      <c r="AE397" s="15"/>
      <c r="AF397" s="15"/>
      <c r="AG397" s="15"/>
      <c r="AH397" s="15"/>
      <c r="AI397" s="15"/>
      <c r="AJ397" s="15"/>
      <c r="AK397" s="15"/>
      <c r="AL397" s="15"/>
    </row>
    <row r="398" spans="2:38" x14ac:dyDescent="0.35">
      <c r="B398" s="15"/>
      <c r="C398" s="15"/>
      <c r="D398" s="15"/>
      <c r="E398" s="15"/>
      <c r="F398" s="15"/>
      <c r="G398" s="15"/>
      <c r="H398" s="15"/>
      <c r="I398" s="15"/>
      <c r="J398" s="15"/>
      <c r="K398" s="15"/>
      <c r="L398" s="15"/>
      <c r="M398" s="15"/>
      <c r="N398" s="15"/>
      <c r="O398" s="15"/>
      <c r="P398" s="15"/>
      <c r="Q398" s="15"/>
      <c r="R398" s="15"/>
      <c r="S398" s="15"/>
      <c r="T398" s="15"/>
      <c r="U398" s="15"/>
      <c r="V398" s="15"/>
      <c r="W398" s="15"/>
      <c r="X398" s="15"/>
      <c r="Y398" s="15"/>
      <c r="Z398" s="15"/>
      <c r="AA398" s="15"/>
      <c r="AB398" s="15"/>
      <c r="AC398" s="15"/>
      <c r="AD398" s="15"/>
      <c r="AE398" s="15"/>
      <c r="AF398" s="15"/>
      <c r="AG398" s="15"/>
      <c r="AH398" s="15"/>
      <c r="AI398" s="15"/>
      <c r="AJ398" s="15"/>
      <c r="AK398" s="15"/>
      <c r="AL398" s="15"/>
    </row>
    <row r="399" spans="2:38" x14ac:dyDescent="0.35">
      <c r="B399" s="15"/>
      <c r="C399" s="15"/>
      <c r="D399" s="15"/>
      <c r="E399" s="15"/>
      <c r="F399" s="15"/>
      <c r="G399" s="15"/>
      <c r="H399" s="15"/>
      <c r="I399" s="15"/>
      <c r="J399" s="15"/>
      <c r="K399" s="15"/>
      <c r="L399" s="15"/>
      <c r="M399" s="15"/>
      <c r="N399" s="15"/>
      <c r="O399" s="15"/>
      <c r="P399" s="15"/>
      <c r="Q399" s="15"/>
      <c r="R399" s="15"/>
      <c r="S399" s="15"/>
      <c r="T399" s="15"/>
      <c r="U399" s="15"/>
      <c r="V399" s="15"/>
      <c r="W399" s="15"/>
      <c r="X399" s="15"/>
      <c r="Y399" s="15"/>
      <c r="Z399" s="15"/>
      <c r="AA399" s="15"/>
      <c r="AB399" s="15"/>
      <c r="AC399" s="15"/>
      <c r="AD399" s="15"/>
      <c r="AE399" s="15"/>
      <c r="AF399" s="15"/>
      <c r="AG399" s="15"/>
      <c r="AH399" s="15"/>
      <c r="AI399" s="15"/>
      <c r="AJ399" s="15"/>
      <c r="AK399" s="15"/>
      <c r="AL399" s="15"/>
    </row>
    <row r="400" spans="2:38" x14ac:dyDescent="0.35">
      <c r="B400" s="15"/>
      <c r="C400" s="15"/>
      <c r="D400" s="15"/>
      <c r="E400" s="15"/>
      <c r="F400" s="15"/>
      <c r="G400" s="15"/>
      <c r="H400" s="15"/>
      <c r="I400" s="15"/>
      <c r="J400" s="15"/>
      <c r="K400" s="15"/>
      <c r="L400" s="15"/>
      <c r="M400" s="15"/>
      <c r="N400" s="15"/>
      <c r="O400" s="15"/>
      <c r="P400" s="15"/>
      <c r="Q400" s="15"/>
      <c r="R400" s="15"/>
      <c r="S400" s="15"/>
      <c r="T400" s="15"/>
      <c r="U400" s="15"/>
      <c r="V400" s="15"/>
      <c r="W400" s="15"/>
      <c r="X400" s="15"/>
      <c r="Y400" s="15"/>
      <c r="Z400" s="15"/>
      <c r="AA400" s="15"/>
      <c r="AB400" s="15"/>
      <c r="AC400" s="15"/>
      <c r="AD400" s="15"/>
      <c r="AE400" s="15"/>
      <c r="AF400" s="15"/>
      <c r="AG400" s="15"/>
      <c r="AH400" s="15"/>
      <c r="AI400" s="15"/>
      <c r="AJ400" s="15"/>
      <c r="AK400" s="15"/>
      <c r="AL400" s="15"/>
    </row>
    <row r="401" spans="2:38" x14ac:dyDescent="0.35">
      <c r="B401" s="15"/>
      <c r="C401" s="15"/>
      <c r="D401" s="15"/>
      <c r="E401" s="15"/>
      <c r="F401" s="15"/>
      <c r="G401" s="15"/>
      <c r="H401" s="15"/>
      <c r="I401" s="15"/>
      <c r="J401" s="15"/>
      <c r="K401" s="15"/>
      <c r="L401" s="15"/>
      <c r="M401" s="15"/>
      <c r="N401" s="15"/>
      <c r="O401" s="15"/>
      <c r="P401" s="15"/>
      <c r="Q401" s="15"/>
      <c r="R401" s="15"/>
      <c r="S401" s="15"/>
      <c r="T401" s="15"/>
      <c r="U401" s="15"/>
      <c r="V401" s="15"/>
      <c r="W401" s="15"/>
      <c r="X401" s="15"/>
      <c r="Y401" s="15"/>
      <c r="Z401" s="15"/>
      <c r="AA401" s="15"/>
      <c r="AB401" s="15"/>
      <c r="AC401" s="15"/>
      <c r="AD401" s="15"/>
      <c r="AE401" s="15"/>
      <c r="AF401" s="15"/>
      <c r="AG401" s="15"/>
      <c r="AH401" s="15"/>
      <c r="AI401" s="15"/>
      <c r="AJ401" s="15"/>
      <c r="AK401" s="15"/>
      <c r="AL401" s="15"/>
    </row>
    <row r="402" spans="2:38" x14ac:dyDescent="0.35">
      <c r="B402" s="15"/>
      <c r="C402" s="15"/>
      <c r="D402" s="15"/>
      <c r="E402" s="15"/>
      <c r="F402" s="15"/>
      <c r="G402" s="15"/>
      <c r="H402" s="15"/>
      <c r="I402" s="15"/>
      <c r="J402" s="15"/>
      <c r="K402" s="15"/>
      <c r="L402" s="15"/>
      <c r="M402" s="15"/>
      <c r="N402" s="15"/>
      <c r="O402" s="15"/>
      <c r="P402" s="15"/>
      <c r="Q402" s="15"/>
      <c r="R402" s="15"/>
      <c r="S402" s="15"/>
      <c r="T402" s="15"/>
      <c r="U402" s="15"/>
      <c r="V402" s="15"/>
      <c r="W402" s="15"/>
      <c r="X402" s="15"/>
      <c r="Y402" s="15"/>
      <c r="Z402" s="15"/>
      <c r="AA402" s="15"/>
      <c r="AB402" s="15"/>
      <c r="AC402" s="15"/>
      <c r="AD402" s="15"/>
      <c r="AE402" s="15"/>
      <c r="AF402" s="15"/>
      <c r="AG402" s="15"/>
      <c r="AH402" s="15"/>
      <c r="AI402" s="15"/>
      <c r="AJ402" s="15"/>
      <c r="AK402" s="15"/>
      <c r="AL402" s="15"/>
    </row>
    <row r="403" spans="2:38" x14ac:dyDescent="0.35">
      <c r="B403" s="15"/>
      <c r="C403" s="15"/>
      <c r="D403" s="15"/>
      <c r="E403" s="15"/>
      <c r="F403" s="15"/>
      <c r="G403" s="15"/>
      <c r="H403" s="15"/>
      <c r="I403" s="15"/>
      <c r="J403" s="15"/>
      <c r="K403" s="15"/>
      <c r="L403" s="15"/>
      <c r="M403" s="15"/>
      <c r="N403" s="15"/>
      <c r="O403" s="15"/>
      <c r="P403" s="15"/>
      <c r="Q403" s="15"/>
      <c r="R403" s="15"/>
      <c r="S403" s="15"/>
      <c r="T403" s="15"/>
      <c r="U403" s="15"/>
      <c r="V403" s="15"/>
      <c r="W403" s="15"/>
      <c r="X403" s="15"/>
      <c r="Y403" s="15"/>
      <c r="Z403" s="15"/>
      <c r="AA403" s="15"/>
      <c r="AB403" s="15"/>
      <c r="AC403" s="15"/>
      <c r="AD403" s="15"/>
      <c r="AE403" s="15"/>
      <c r="AF403" s="15"/>
      <c r="AG403" s="15"/>
      <c r="AH403" s="15"/>
      <c r="AI403" s="15"/>
      <c r="AJ403" s="15"/>
      <c r="AK403" s="15"/>
      <c r="AL403" s="15"/>
    </row>
    <row r="404" spans="2:38" x14ac:dyDescent="0.35">
      <c r="B404" s="15"/>
      <c r="C404" s="15"/>
      <c r="D404" s="15"/>
      <c r="E404" s="15"/>
      <c r="F404" s="15"/>
      <c r="G404" s="15"/>
      <c r="H404" s="15"/>
      <c r="I404" s="15"/>
      <c r="J404" s="15"/>
      <c r="K404" s="15"/>
      <c r="L404" s="15"/>
      <c r="M404" s="15"/>
      <c r="N404" s="15"/>
      <c r="O404" s="15"/>
      <c r="P404" s="15"/>
      <c r="Q404" s="15"/>
      <c r="R404" s="15"/>
      <c r="S404" s="15"/>
      <c r="T404" s="15"/>
      <c r="U404" s="15"/>
      <c r="V404" s="15"/>
      <c r="W404" s="15"/>
      <c r="X404" s="15"/>
      <c r="Y404" s="15"/>
      <c r="Z404" s="15"/>
      <c r="AA404" s="15"/>
      <c r="AB404" s="15"/>
      <c r="AC404" s="15"/>
      <c r="AD404" s="15"/>
      <c r="AE404" s="15"/>
      <c r="AF404" s="15"/>
      <c r="AG404" s="15"/>
      <c r="AH404" s="15"/>
      <c r="AI404" s="15"/>
      <c r="AJ404" s="15"/>
      <c r="AK404" s="15"/>
      <c r="AL404" s="15"/>
    </row>
    <row r="405" spans="2:38" x14ac:dyDescent="0.35">
      <c r="B405" s="15"/>
      <c r="C405" s="15"/>
      <c r="D405" s="15"/>
      <c r="E405" s="15"/>
      <c r="F405" s="15"/>
      <c r="G405" s="15"/>
      <c r="H405" s="15"/>
      <c r="I405" s="15"/>
      <c r="J405" s="15"/>
      <c r="K405" s="15"/>
      <c r="L405" s="15"/>
      <c r="M405" s="15"/>
      <c r="N405" s="15"/>
      <c r="O405" s="15"/>
      <c r="P405" s="15"/>
      <c r="Q405" s="15"/>
      <c r="R405" s="15"/>
      <c r="S405" s="15"/>
      <c r="T405" s="15"/>
      <c r="U405" s="15"/>
      <c r="V405" s="15"/>
      <c r="W405" s="15"/>
      <c r="X405" s="15"/>
      <c r="Y405" s="15"/>
      <c r="Z405" s="15"/>
      <c r="AA405" s="15"/>
      <c r="AB405" s="15"/>
      <c r="AC405" s="15"/>
      <c r="AD405" s="15"/>
      <c r="AE405" s="15"/>
      <c r="AF405" s="15"/>
      <c r="AG405" s="15"/>
      <c r="AH405" s="15"/>
      <c r="AI405" s="15"/>
      <c r="AJ405" s="15"/>
      <c r="AK405" s="15"/>
      <c r="AL405" s="15"/>
    </row>
    <row r="406" spans="2:38" x14ac:dyDescent="0.35">
      <c r="B406" s="15"/>
      <c r="C406" s="15"/>
      <c r="D406" s="15"/>
      <c r="E406" s="15"/>
      <c r="F406" s="15"/>
      <c r="G406" s="15"/>
      <c r="H406" s="15"/>
      <c r="I406" s="15"/>
      <c r="J406" s="15"/>
      <c r="K406" s="15"/>
      <c r="L406" s="15"/>
      <c r="M406" s="15"/>
      <c r="N406" s="15"/>
      <c r="O406" s="15"/>
      <c r="P406" s="15"/>
      <c r="Q406" s="15"/>
      <c r="R406" s="15"/>
      <c r="S406" s="15"/>
      <c r="T406" s="15"/>
      <c r="U406" s="15"/>
      <c r="V406" s="15"/>
      <c r="W406" s="15"/>
      <c r="X406" s="15"/>
      <c r="Y406" s="15"/>
      <c r="Z406" s="15"/>
      <c r="AA406" s="15"/>
      <c r="AB406" s="15"/>
      <c r="AC406" s="15"/>
      <c r="AD406" s="15"/>
      <c r="AE406" s="15"/>
      <c r="AF406" s="15"/>
      <c r="AG406" s="15"/>
      <c r="AH406" s="15"/>
      <c r="AI406" s="15"/>
      <c r="AJ406" s="15"/>
      <c r="AK406" s="15"/>
      <c r="AL406" s="15"/>
    </row>
    <row r="407" spans="2:38" x14ac:dyDescent="0.35">
      <c r="B407" s="15"/>
      <c r="C407" s="15"/>
      <c r="D407" s="15"/>
      <c r="E407" s="15"/>
      <c r="F407" s="15"/>
      <c r="G407" s="15"/>
      <c r="H407" s="15"/>
      <c r="I407" s="15"/>
      <c r="J407" s="15"/>
      <c r="K407" s="15"/>
      <c r="L407" s="15"/>
      <c r="M407" s="15"/>
      <c r="N407" s="15"/>
      <c r="O407" s="15"/>
      <c r="P407" s="15"/>
      <c r="Q407" s="15"/>
      <c r="R407" s="15"/>
      <c r="S407" s="15"/>
      <c r="T407" s="15"/>
      <c r="U407" s="15"/>
      <c r="V407" s="15"/>
      <c r="W407" s="15"/>
      <c r="X407" s="15"/>
      <c r="Y407" s="15"/>
      <c r="Z407" s="15"/>
      <c r="AA407" s="15"/>
      <c r="AB407" s="15"/>
      <c r="AC407" s="15"/>
      <c r="AD407" s="15"/>
      <c r="AE407" s="15"/>
      <c r="AF407" s="15"/>
      <c r="AG407" s="15"/>
      <c r="AH407" s="15"/>
      <c r="AI407" s="15"/>
      <c r="AJ407" s="15"/>
      <c r="AK407" s="15"/>
      <c r="AL407" s="15"/>
    </row>
    <row r="408" spans="2:38" x14ac:dyDescent="0.35">
      <c r="B408" s="15"/>
      <c r="C408" s="15"/>
      <c r="D408" s="15"/>
      <c r="E408" s="15"/>
      <c r="F408" s="15"/>
      <c r="G408" s="15"/>
      <c r="H408" s="15"/>
      <c r="I408" s="15"/>
      <c r="J408" s="15"/>
      <c r="K408" s="15"/>
      <c r="L408" s="15"/>
      <c r="M408" s="15"/>
      <c r="N408" s="15"/>
      <c r="O408" s="15"/>
      <c r="P408" s="15"/>
      <c r="Q408" s="15"/>
      <c r="R408" s="15"/>
      <c r="S408" s="15"/>
      <c r="T408" s="15"/>
      <c r="U408" s="15"/>
      <c r="V408" s="15"/>
      <c r="W408" s="15"/>
      <c r="X408" s="15"/>
      <c r="Y408" s="15"/>
      <c r="Z408" s="15"/>
      <c r="AA408" s="15"/>
      <c r="AB408" s="15"/>
      <c r="AC408" s="15"/>
      <c r="AD408" s="15"/>
      <c r="AE408" s="15"/>
      <c r="AF408" s="15"/>
      <c r="AG408" s="15"/>
      <c r="AH408" s="15"/>
      <c r="AI408" s="15"/>
      <c r="AJ408" s="15"/>
      <c r="AK408" s="15"/>
      <c r="AL408" s="15"/>
    </row>
    <row r="409" spans="2:38" x14ac:dyDescent="0.35">
      <c r="B409" s="15"/>
      <c r="C409" s="15"/>
      <c r="D409" s="15"/>
      <c r="E409" s="15"/>
      <c r="F409" s="15"/>
      <c r="G409" s="15"/>
      <c r="H409" s="15"/>
      <c r="I409" s="15"/>
      <c r="J409" s="15"/>
      <c r="K409" s="15"/>
      <c r="L409" s="15"/>
      <c r="M409" s="15"/>
      <c r="N409" s="15"/>
      <c r="O409" s="15"/>
      <c r="P409" s="15"/>
      <c r="Q409" s="15"/>
      <c r="R409" s="15"/>
      <c r="S409" s="15"/>
      <c r="T409" s="15"/>
      <c r="U409" s="15"/>
      <c r="V409" s="15"/>
      <c r="W409" s="15"/>
      <c r="X409" s="15"/>
      <c r="Y409" s="15"/>
      <c r="Z409" s="15"/>
      <c r="AA409" s="15"/>
      <c r="AB409" s="15"/>
      <c r="AC409" s="15"/>
      <c r="AD409" s="15"/>
      <c r="AE409" s="15"/>
      <c r="AF409" s="15"/>
      <c r="AG409" s="15"/>
      <c r="AH409" s="15"/>
      <c r="AI409" s="15"/>
      <c r="AJ409" s="15"/>
      <c r="AK409" s="15"/>
      <c r="AL409" s="15"/>
    </row>
    <row r="410" spans="2:38" x14ac:dyDescent="0.35">
      <c r="B410" s="15"/>
      <c r="C410" s="15"/>
      <c r="D410" s="15"/>
      <c r="E410" s="15"/>
      <c r="F410" s="15"/>
      <c r="G410" s="15"/>
      <c r="H410" s="15"/>
      <c r="I410" s="15"/>
      <c r="J410" s="15"/>
      <c r="K410" s="15"/>
      <c r="L410" s="15"/>
      <c r="M410" s="15"/>
      <c r="N410" s="15"/>
      <c r="O410" s="15"/>
      <c r="P410" s="15"/>
      <c r="Q410" s="15"/>
      <c r="R410" s="15"/>
      <c r="S410" s="15"/>
      <c r="T410" s="15"/>
      <c r="U410" s="15"/>
      <c r="V410" s="15"/>
      <c r="W410" s="15"/>
      <c r="X410" s="15"/>
      <c r="Y410" s="15"/>
      <c r="Z410" s="15"/>
      <c r="AA410" s="15"/>
      <c r="AB410" s="15"/>
      <c r="AC410" s="15"/>
      <c r="AD410" s="15"/>
      <c r="AE410" s="15"/>
      <c r="AF410" s="15"/>
      <c r="AG410" s="15"/>
      <c r="AH410" s="15"/>
      <c r="AI410" s="15"/>
      <c r="AJ410" s="15"/>
      <c r="AK410" s="15"/>
      <c r="AL410" s="15"/>
    </row>
    <row r="411" spans="2:38" x14ac:dyDescent="0.35">
      <c r="B411" s="15"/>
      <c r="C411" s="15"/>
      <c r="D411" s="15"/>
      <c r="E411" s="15"/>
      <c r="F411" s="15"/>
      <c r="G411" s="15"/>
      <c r="H411" s="15"/>
      <c r="I411" s="15"/>
      <c r="J411" s="15"/>
      <c r="K411" s="15"/>
      <c r="L411" s="15"/>
      <c r="M411" s="15"/>
      <c r="N411" s="15"/>
      <c r="O411" s="15"/>
      <c r="P411" s="15"/>
      <c r="Q411" s="15"/>
      <c r="R411" s="15"/>
      <c r="S411" s="15"/>
      <c r="T411" s="15"/>
      <c r="U411" s="15"/>
      <c r="V411" s="15"/>
      <c r="W411" s="15"/>
      <c r="X411" s="15"/>
      <c r="Y411" s="15"/>
      <c r="Z411" s="15"/>
      <c r="AA411" s="15"/>
      <c r="AB411" s="15"/>
      <c r="AC411" s="15"/>
      <c r="AD411" s="15"/>
      <c r="AE411" s="15"/>
      <c r="AF411" s="15"/>
      <c r="AG411" s="15"/>
      <c r="AH411" s="15"/>
      <c r="AI411" s="15"/>
      <c r="AJ411" s="15"/>
      <c r="AK411" s="15"/>
      <c r="AL411" s="15"/>
    </row>
    <row r="412" spans="2:38" x14ac:dyDescent="0.35">
      <c r="B412" s="15"/>
      <c r="C412" s="15"/>
      <c r="D412" s="15"/>
      <c r="E412" s="15"/>
      <c r="F412" s="15"/>
      <c r="G412" s="15"/>
      <c r="H412" s="15"/>
      <c r="I412" s="15"/>
      <c r="J412" s="15"/>
      <c r="K412" s="15"/>
      <c r="L412" s="15"/>
      <c r="M412" s="15"/>
      <c r="N412" s="15"/>
      <c r="O412" s="15"/>
      <c r="P412" s="15"/>
      <c r="Q412" s="15"/>
      <c r="R412" s="15"/>
      <c r="S412" s="15"/>
      <c r="T412" s="15"/>
      <c r="U412" s="15"/>
      <c r="V412" s="15"/>
      <c r="W412" s="15"/>
      <c r="X412" s="15"/>
      <c r="Y412" s="15"/>
      <c r="Z412" s="15"/>
      <c r="AA412" s="15"/>
      <c r="AB412" s="15"/>
      <c r="AC412" s="15"/>
      <c r="AD412" s="15"/>
      <c r="AE412" s="15"/>
      <c r="AF412" s="15"/>
      <c r="AG412" s="15"/>
      <c r="AH412" s="15"/>
      <c r="AI412" s="15"/>
      <c r="AJ412" s="15"/>
      <c r="AK412" s="15"/>
      <c r="AL412" s="15"/>
    </row>
    <row r="413" spans="2:38" x14ac:dyDescent="0.35">
      <c r="B413" s="15"/>
      <c r="C413" s="15"/>
      <c r="D413" s="15"/>
      <c r="E413" s="15"/>
      <c r="F413" s="15"/>
      <c r="G413" s="15"/>
      <c r="H413" s="15"/>
      <c r="I413" s="15"/>
      <c r="J413" s="15"/>
      <c r="K413" s="15"/>
      <c r="L413" s="15"/>
      <c r="M413" s="15"/>
      <c r="N413" s="15"/>
      <c r="O413" s="15"/>
      <c r="P413" s="15"/>
      <c r="Q413" s="15"/>
      <c r="R413" s="15"/>
      <c r="S413" s="15"/>
      <c r="T413" s="15"/>
      <c r="U413" s="15"/>
      <c r="V413" s="15"/>
      <c r="W413" s="15"/>
      <c r="X413" s="15"/>
      <c r="Y413" s="15"/>
      <c r="Z413" s="15"/>
      <c r="AA413" s="15"/>
      <c r="AB413" s="15"/>
      <c r="AC413" s="15"/>
      <c r="AD413" s="15"/>
      <c r="AE413" s="15"/>
      <c r="AF413" s="15"/>
      <c r="AG413" s="15"/>
      <c r="AH413" s="15"/>
      <c r="AI413" s="15"/>
      <c r="AJ413" s="15"/>
      <c r="AK413" s="15"/>
      <c r="AL413" s="15"/>
    </row>
    <row r="414" spans="2:38" x14ac:dyDescent="0.35">
      <c r="B414" s="15"/>
      <c r="C414" s="15"/>
      <c r="D414" s="15"/>
      <c r="E414" s="15"/>
      <c r="F414" s="15"/>
      <c r="G414" s="15"/>
      <c r="H414" s="15"/>
      <c r="I414" s="15"/>
      <c r="J414" s="15"/>
      <c r="K414" s="15"/>
      <c r="L414" s="15"/>
      <c r="M414" s="15"/>
      <c r="N414" s="15"/>
      <c r="O414" s="15"/>
      <c r="P414" s="15"/>
      <c r="Q414" s="15"/>
      <c r="R414" s="15"/>
      <c r="S414" s="15"/>
      <c r="T414" s="15"/>
      <c r="U414" s="15"/>
      <c r="V414" s="15"/>
      <c r="W414" s="15"/>
      <c r="X414" s="15"/>
      <c r="Y414" s="15"/>
      <c r="Z414" s="15"/>
      <c r="AA414" s="15"/>
      <c r="AB414" s="15"/>
      <c r="AC414" s="15"/>
      <c r="AD414" s="15"/>
      <c r="AE414" s="15"/>
      <c r="AF414" s="15"/>
      <c r="AG414" s="15"/>
      <c r="AH414" s="15"/>
      <c r="AI414" s="15"/>
      <c r="AJ414" s="15"/>
      <c r="AK414" s="15"/>
      <c r="AL414" s="15"/>
    </row>
    <row r="415" spans="2:38" x14ac:dyDescent="0.35">
      <c r="B415" s="15"/>
      <c r="C415" s="15"/>
      <c r="D415" s="15"/>
      <c r="E415" s="15"/>
      <c r="F415" s="15"/>
      <c r="G415" s="15"/>
      <c r="H415" s="15"/>
      <c r="I415" s="15"/>
      <c r="J415" s="15"/>
      <c r="K415" s="15"/>
      <c r="L415" s="15"/>
      <c r="M415" s="15"/>
      <c r="N415" s="15"/>
      <c r="O415" s="15"/>
      <c r="P415" s="15"/>
      <c r="Q415" s="15"/>
      <c r="R415" s="15"/>
      <c r="S415" s="15"/>
      <c r="T415" s="15"/>
      <c r="U415" s="15"/>
      <c r="V415" s="15"/>
      <c r="W415" s="15"/>
      <c r="X415" s="15"/>
      <c r="Y415" s="15"/>
      <c r="Z415" s="15"/>
      <c r="AA415" s="15"/>
      <c r="AB415" s="15"/>
      <c r="AC415" s="15"/>
      <c r="AD415" s="15"/>
      <c r="AE415" s="15"/>
      <c r="AF415" s="15"/>
      <c r="AG415" s="15"/>
      <c r="AH415" s="15"/>
      <c r="AI415" s="15"/>
      <c r="AJ415" s="15"/>
      <c r="AK415" s="15"/>
      <c r="AL415" s="15"/>
    </row>
    <row r="416" spans="2:38" x14ac:dyDescent="0.35">
      <c r="B416" s="15"/>
      <c r="C416" s="15"/>
      <c r="D416" s="15"/>
      <c r="E416" s="15"/>
      <c r="F416" s="15"/>
      <c r="G416" s="15"/>
      <c r="H416" s="15"/>
      <c r="I416" s="15"/>
      <c r="J416" s="15"/>
      <c r="K416" s="15"/>
      <c r="L416" s="15"/>
      <c r="M416" s="15"/>
      <c r="N416" s="15"/>
      <c r="O416" s="15"/>
      <c r="P416" s="15"/>
      <c r="Q416" s="15"/>
      <c r="R416" s="15"/>
      <c r="S416" s="15"/>
      <c r="T416" s="15"/>
      <c r="U416" s="15"/>
      <c r="V416" s="15"/>
      <c r="W416" s="15"/>
      <c r="X416" s="15"/>
      <c r="Y416" s="15"/>
      <c r="Z416" s="15"/>
      <c r="AA416" s="15"/>
      <c r="AB416" s="15"/>
      <c r="AC416" s="15"/>
      <c r="AD416" s="15"/>
      <c r="AE416" s="15"/>
      <c r="AF416" s="15"/>
      <c r="AG416" s="15"/>
      <c r="AH416" s="15"/>
      <c r="AI416" s="15"/>
      <c r="AJ416" s="15"/>
      <c r="AK416" s="15"/>
      <c r="AL416" s="15"/>
    </row>
    <row r="417" spans="2:38" x14ac:dyDescent="0.35">
      <c r="B417" s="15"/>
      <c r="C417" s="15"/>
      <c r="D417" s="15"/>
      <c r="E417" s="15"/>
      <c r="F417" s="15"/>
      <c r="G417" s="15"/>
      <c r="H417" s="15"/>
      <c r="I417" s="15"/>
      <c r="J417" s="15"/>
      <c r="K417" s="15"/>
      <c r="L417" s="15"/>
      <c r="M417" s="15"/>
      <c r="N417" s="15"/>
      <c r="O417" s="15"/>
      <c r="P417" s="15"/>
      <c r="Q417" s="15"/>
      <c r="R417" s="15"/>
      <c r="S417" s="15"/>
      <c r="T417" s="15"/>
      <c r="U417" s="15"/>
      <c r="V417" s="15"/>
      <c r="W417" s="15"/>
      <c r="X417" s="15"/>
      <c r="Y417" s="15"/>
      <c r="Z417" s="15"/>
      <c r="AA417" s="15"/>
      <c r="AB417" s="15"/>
      <c r="AC417" s="15"/>
      <c r="AD417" s="15"/>
      <c r="AE417" s="15"/>
      <c r="AF417" s="15"/>
      <c r="AG417" s="15"/>
      <c r="AH417" s="15"/>
      <c r="AI417" s="15"/>
      <c r="AJ417" s="15"/>
      <c r="AK417" s="15"/>
      <c r="AL417" s="15"/>
    </row>
    <row r="418" spans="2:38" x14ac:dyDescent="0.35">
      <c r="B418" s="15"/>
      <c r="C418" s="15"/>
      <c r="D418" s="15"/>
      <c r="E418" s="15"/>
      <c r="F418" s="15"/>
      <c r="G418" s="15"/>
      <c r="H418" s="15"/>
      <c r="I418" s="15"/>
      <c r="J418" s="15"/>
      <c r="K418" s="15"/>
      <c r="L418" s="15"/>
      <c r="M418" s="15"/>
      <c r="N418" s="15"/>
      <c r="O418" s="15"/>
      <c r="P418" s="15"/>
      <c r="Q418" s="15"/>
      <c r="R418" s="15"/>
      <c r="S418" s="15"/>
      <c r="T418" s="15"/>
      <c r="U418" s="15"/>
      <c r="V418" s="15"/>
      <c r="W418" s="15"/>
      <c r="X418" s="15"/>
      <c r="Y418" s="15"/>
      <c r="Z418" s="15"/>
      <c r="AA418" s="15"/>
      <c r="AB418" s="15"/>
      <c r="AC418" s="15"/>
      <c r="AD418" s="15"/>
      <c r="AE418" s="15"/>
      <c r="AF418" s="15"/>
      <c r="AG418" s="15"/>
      <c r="AH418" s="15"/>
      <c r="AI418" s="15"/>
      <c r="AJ418" s="15"/>
      <c r="AK418" s="15"/>
      <c r="AL418" s="15"/>
    </row>
    <row r="419" spans="2:38" x14ac:dyDescent="0.35">
      <c r="B419" s="15"/>
      <c r="C419" s="15"/>
      <c r="D419" s="15"/>
      <c r="E419" s="15"/>
      <c r="F419" s="15"/>
      <c r="G419" s="15"/>
      <c r="H419" s="15"/>
      <c r="I419" s="15"/>
      <c r="J419" s="15"/>
      <c r="K419" s="15"/>
      <c r="L419" s="15"/>
      <c r="M419" s="15"/>
      <c r="N419" s="15"/>
      <c r="O419" s="15"/>
      <c r="P419" s="15"/>
      <c r="Q419" s="15"/>
      <c r="R419" s="15"/>
      <c r="S419" s="15"/>
      <c r="T419" s="15"/>
      <c r="U419" s="15"/>
      <c r="V419" s="15"/>
      <c r="W419" s="15"/>
      <c r="X419" s="15"/>
      <c r="Y419" s="15"/>
      <c r="Z419" s="15"/>
      <c r="AA419" s="15"/>
      <c r="AB419" s="15"/>
      <c r="AC419" s="15"/>
      <c r="AD419" s="15"/>
      <c r="AE419" s="15"/>
      <c r="AF419" s="15"/>
      <c r="AG419" s="15"/>
      <c r="AH419" s="15"/>
      <c r="AI419" s="15"/>
      <c r="AJ419" s="15"/>
      <c r="AK419" s="15"/>
      <c r="AL419" s="15"/>
    </row>
    <row r="420" spans="2:38" x14ac:dyDescent="0.35">
      <c r="B420" s="15"/>
      <c r="C420" s="15"/>
      <c r="D420" s="15"/>
      <c r="E420" s="15"/>
      <c r="F420" s="15"/>
      <c r="G420" s="15"/>
      <c r="H420" s="15"/>
      <c r="I420" s="15"/>
      <c r="J420" s="15"/>
      <c r="K420" s="15"/>
      <c r="L420" s="15"/>
      <c r="M420" s="15"/>
      <c r="N420" s="15"/>
      <c r="O420" s="15"/>
      <c r="P420" s="15"/>
      <c r="Q420" s="15"/>
      <c r="R420" s="15"/>
      <c r="S420" s="15"/>
      <c r="T420" s="15"/>
      <c r="U420" s="15"/>
      <c r="V420" s="15"/>
      <c r="W420" s="15"/>
      <c r="X420" s="15"/>
      <c r="Y420" s="15"/>
      <c r="Z420" s="15"/>
      <c r="AA420" s="15"/>
      <c r="AB420" s="15"/>
      <c r="AC420" s="15"/>
      <c r="AD420" s="15"/>
      <c r="AE420" s="15"/>
      <c r="AF420" s="15"/>
      <c r="AG420" s="15"/>
      <c r="AH420" s="15"/>
      <c r="AI420" s="15"/>
      <c r="AJ420" s="15"/>
      <c r="AK420" s="15"/>
      <c r="AL420" s="15"/>
    </row>
    <row r="421" spans="2:38" x14ac:dyDescent="0.35">
      <c r="B421" s="15"/>
      <c r="C421" s="15"/>
      <c r="D421" s="15"/>
      <c r="E421" s="15"/>
      <c r="F421" s="15"/>
      <c r="G421" s="15"/>
      <c r="H421" s="15"/>
      <c r="I421" s="15"/>
      <c r="J421" s="15"/>
      <c r="K421" s="15"/>
      <c r="L421" s="15"/>
      <c r="M421" s="15"/>
      <c r="N421" s="15"/>
      <c r="O421" s="15"/>
      <c r="P421" s="15"/>
      <c r="Q421" s="15"/>
      <c r="R421" s="15"/>
      <c r="S421" s="15"/>
      <c r="T421" s="15"/>
      <c r="U421" s="15"/>
      <c r="V421" s="15"/>
      <c r="W421" s="15"/>
      <c r="X421" s="15"/>
      <c r="Y421" s="15"/>
      <c r="Z421" s="15"/>
      <c r="AA421" s="15"/>
      <c r="AB421" s="15"/>
      <c r="AC421" s="15"/>
      <c r="AD421" s="15"/>
      <c r="AE421" s="15"/>
      <c r="AF421" s="15"/>
      <c r="AG421" s="15"/>
      <c r="AH421" s="15"/>
      <c r="AI421" s="15"/>
      <c r="AJ421" s="15"/>
      <c r="AK421" s="15"/>
      <c r="AL421" s="15"/>
    </row>
    <row r="422" spans="2:38" x14ac:dyDescent="0.35">
      <c r="B422" s="15"/>
      <c r="C422" s="15"/>
      <c r="D422" s="15"/>
      <c r="E422" s="15"/>
      <c r="F422" s="15"/>
      <c r="G422" s="15"/>
      <c r="H422" s="15"/>
      <c r="I422" s="15"/>
      <c r="J422" s="15"/>
      <c r="K422" s="15"/>
      <c r="L422" s="15"/>
      <c r="M422" s="15"/>
      <c r="N422" s="15"/>
      <c r="O422" s="15"/>
      <c r="P422" s="15"/>
      <c r="Q422" s="15"/>
      <c r="R422" s="15"/>
      <c r="S422" s="15"/>
      <c r="T422" s="15"/>
      <c r="U422" s="15"/>
      <c r="V422" s="15"/>
      <c r="W422" s="15"/>
      <c r="X422" s="15"/>
      <c r="Y422" s="15"/>
      <c r="Z422" s="15"/>
      <c r="AA422" s="15"/>
      <c r="AB422" s="15"/>
      <c r="AC422" s="15"/>
      <c r="AD422" s="15"/>
      <c r="AE422" s="15"/>
      <c r="AF422" s="15"/>
      <c r="AG422" s="15"/>
      <c r="AH422" s="15"/>
      <c r="AI422" s="15"/>
      <c r="AJ422" s="15"/>
      <c r="AK422" s="15"/>
      <c r="AL422" s="15"/>
    </row>
    <row r="423" spans="2:38" x14ac:dyDescent="0.35">
      <c r="B423" s="15"/>
      <c r="C423" s="15"/>
      <c r="D423" s="15"/>
      <c r="E423" s="15"/>
      <c r="F423" s="15"/>
      <c r="G423" s="15"/>
      <c r="H423" s="15"/>
      <c r="I423" s="15"/>
      <c r="J423" s="15"/>
      <c r="K423" s="15"/>
      <c r="L423" s="15"/>
      <c r="M423" s="15"/>
      <c r="N423" s="15"/>
      <c r="O423" s="15"/>
      <c r="P423" s="15"/>
      <c r="Q423" s="15"/>
      <c r="R423" s="15"/>
      <c r="S423" s="15"/>
      <c r="T423" s="15"/>
      <c r="U423" s="15"/>
      <c r="V423" s="15"/>
      <c r="W423" s="15"/>
      <c r="X423" s="15"/>
      <c r="Y423" s="15"/>
      <c r="Z423" s="15"/>
      <c r="AA423" s="15"/>
      <c r="AB423" s="15"/>
      <c r="AC423" s="15"/>
      <c r="AD423" s="15"/>
      <c r="AE423" s="15"/>
      <c r="AF423" s="15"/>
      <c r="AG423" s="15"/>
      <c r="AH423" s="15"/>
      <c r="AI423" s="15"/>
      <c r="AJ423" s="15"/>
      <c r="AK423" s="15"/>
      <c r="AL423" s="15"/>
    </row>
    <row r="424" spans="2:38" x14ac:dyDescent="0.35">
      <c r="B424" s="15"/>
      <c r="C424" s="15"/>
      <c r="D424" s="15"/>
      <c r="E424" s="15"/>
      <c r="F424" s="15"/>
      <c r="G424" s="15"/>
      <c r="H424" s="15"/>
      <c r="I424" s="15"/>
      <c r="J424" s="15"/>
      <c r="K424" s="15"/>
      <c r="L424" s="15"/>
      <c r="M424" s="15"/>
      <c r="N424" s="15"/>
      <c r="O424" s="15"/>
      <c r="P424" s="15"/>
      <c r="Q424" s="15"/>
      <c r="R424" s="15"/>
      <c r="S424" s="15"/>
      <c r="T424" s="15"/>
      <c r="U424" s="15"/>
      <c r="V424" s="15"/>
      <c r="W424" s="15"/>
      <c r="X424" s="15"/>
      <c r="Y424" s="15"/>
      <c r="Z424" s="15"/>
      <c r="AA424" s="15"/>
      <c r="AB424" s="15"/>
      <c r="AC424" s="15"/>
      <c r="AD424" s="15"/>
      <c r="AE424" s="15"/>
      <c r="AF424" s="15"/>
      <c r="AG424" s="15"/>
      <c r="AH424" s="15"/>
      <c r="AI424" s="15"/>
      <c r="AJ424" s="15"/>
      <c r="AK424" s="15"/>
      <c r="AL424" s="15"/>
    </row>
    <row r="425" spans="2:38" x14ac:dyDescent="0.35">
      <c r="B425" s="15"/>
      <c r="C425" s="15"/>
      <c r="D425" s="15"/>
      <c r="E425" s="15"/>
      <c r="F425" s="15"/>
      <c r="G425" s="15"/>
      <c r="H425" s="15"/>
      <c r="I425" s="15"/>
      <c r="J425" s="15"/>
      <c r="K425" s="15"/>
      <c r="L425" s="15"/>
      <c r="M425" s="15"/>
      <c r="N425" s="15"/>
      <c r="O425" s="15"/>
      <c r="P425" s="15"/>
      <c r="Q425" s="15"/>
      <c r="R425" s="15"/>
      <c r="S425" s="15"/>
      <c r="T425" s="15"/>
      <c r="U425" s="15"/>
      <c r="V425" s="15"/>
      <c r="W425" s="15"/>
      <c r="X425" s="15"/>
      <c r="Y425" s="15"/>
      <c r="Z425" s="15"/>
      <c r="AA425" s="15"/>
      <c r="AB425" s="15"/>
      <c r="AC425" s="15"/>
      <c r="AD425" s="15"/>
      <c r="AE425" s="15"/>
      <c r="AF425" s="15"/>
      <c r="AG425" s="15"/>
      <c r="AH425" s="15"/>
      <c r="AI425" s="15"/>
      <c r="AJ425" s="15"/>
      <c r="AK425" s="15"/>
      <c r="AL425" s="15"/>
    </row>
    <row r="426" spans="2:38" x14ac:dyDescent="0.35">
      <c r="B426" s="15"/>
      <c r="C426" s="15"/>
      <c r="D426" s="15"/>
      <c r="E426" s="15"/>
      <c r="F426" s="15"/>
      <c r="G426" s="15"/>
      <c r="H426" s="15"/>
      <c r="I426" s="15"/>
      <c r="J426" s="15"/>
      <c r="K426" s="15"/>
      <c r="L426" s="15"/>
      <c r="M426" s="15"/>
      <c r="N426" s="15"/>
      <c r="O426" s="15"/>
      <c r="P426" s="15"/>
      <c r="Q426" s="15"/>
      <c r="R426" s="15"/>
      <c r="S426" s="15"/>
      <c r="T426" s="15"/>
      <c r="U426" s="15"/>
      <c r="V426" s="15"/>
      <c r="W426" s="15"/>
      <c r="X426" s="15"/>
      <c r="Y426" s="15"/>
      <c r="Z426" s="15"/>
      <c r="AA426" s="15"/>
      <c r="AB426" s="15"/>
      <c r="AC426" s="15"/>
      <c r="AD426" s="15"/>
      <c r="AE426" s="15"/>
      <c r="AF426" s="15"/>
      <c r="AG426" s="15"/>
      <c r="AH426" s="15"/>
      <c r="AI426" s="15"/>
      <c r="AJ426" s="15"/>
      <c r="AK426" s="15"/>
      <c r="AL426" s="15"/>
    </row>
    <row r="427" spans="2:38" x14ac:dyDescent="0.35">
      <c r="B427" s="15"/>
      <c r="C427" s="15"/>
      <c r="D427" s="15"/>
      <c r="E427" s="15"/>
      <c r="F427" s="15"/>
      <c r="G427" s="15"/>
      <c r="H427" s="15"/>
      <c r="I427" s="15"/>
      <c r="J427" s="15"/>
      <c r="K427" s="15"/>
      <c r="L427" s="15"/>
      <c r="M427" s="15"/>
      <c r="N427" s="15"/>
      <c r="O427" s="15"/>
      <c r="P427" s="15"/>
      <c r="Q427" s="15"/>
      <c r="R427" s="15"/>
      <c r="S427" s="15"/>
      <c r="T427" s="15"/>
      <c r="U427" s="15"/>
      <c r="V427" s="15"/>
      <c r="W427" s="15"/>
      <c r="X427" s="15"/>
      <c r="Y427" s="15"/>
      <c r="Z427" s="15"/>
      <c r="AA427" s="15"/>
      <c r="AB427" s="15"/>
      <c r="AC427" s="15"/>
      <c r="AD427" s="15"/>
      <c r="AE427" s="15"/>
      <c r="AF427" s="15"/>
      <c r="AG427" s="15"/>
      <c r="AH427" s="15"/>
      <c r="AI427" s="15"/>
      <c r="AJ427" s="15"/>
      <c r="AK427" s="15"/>
      <c r="AL427" s="15"/>
    </row>
    <row r="428" spans="2:38" x14ac:dyDescent="0.35">
      <c r="B428" s="15"/>
      <c r="C428" s="15"/>
      <c r="D428" s="15"/>
      <c r="E428" s="15"/>
      <c r="F428" s="15"/>
      <c r="G428" s="15"/>
      <c r="H428" s="15"/>
      <c r="I428" s="15"/>
      <c r="J428" s="15"/>
      <c r="K428" s="15"/>
      <c r="L428" s="15"/>
      <c r="M428" s="15"/>
      <c r="N428" s="15"/>
      <c r="O428" s="15"/>
      <c r="P428" s="15"/>
      <c r="Q428" s="15"/>
      <c r="R428" s="15"/>
      <c r="S428" s="15"/>
      <c r="T428" s="15"/>
      <c r="U428" s="15"/>
      <c r="V428" s="15"/>
      <c r="W428" s="15"/>
      <c r="X428" s="15"/>
      <c r="Y428" s="15"/>
      <c r="Z428" s="15"/>
      <c r="AA428" s="15"/>
      <c r="AB428" s="15"/>
      <c r="AC428" s="15"/>
      <c r="AD428" s="15"/>
      <c r="AE428" s="15"/>
      <c r="AF428" s="15"/>
      <c r="AG428" s="15"/>
      <c r="AH428" s="15"/>
      <c r="AI428" s="15"/>
      <c r="AJ428" s="15"/>
      <c r="AK428" s="15"/>
      <c r="AL428" s="15"/>
    </row>
    <row r="429" spans="2:38" x14ac:dyDescent="0.35">
      <c r="B429" s="15"/>
      <c r="C429" s="15"/>
      <c r="D429" s="15"/>
      <c r="E429" s="15"/>
      <c r="F429" s="15"/>
      <c r="G429" s="15"/>
      <c r="H429" s="15"/>
      <c r="I429" s="15"/>
      <c r="J429" s="15"/>
      <c r="K429" s="15"/>
      <c r="L429" s="15"/>
      <c r="M429" s="15"/>
      <c r="N429" s="15"/>
      <c r="O429" s="15"/>
      <c r="P429" s="15"/>
      <c r="Q429" s="15"/>
      <c r="R429" s="15"/>
      <c r="S429" s="15"/>
      <c r="T429" s="15"/>
      <c r="U429" s="15"/>
      <c r="V429" s="15"/>
      <c r="W429" s="15"/>
      <c r="X429" s="15"/>
      <c r="Y429" s="15"/>
      <c r="Z429" s="15"/>
      <c r="AA429" s="15"/>
      <c r="AB429" s="15"/>
      <c r="AC429" s="15"/>
      <c r="AD429" s="15"/>
      <c r="AE429" s="15"/>
      <c r="AF429" s="15"/>
      <c r="AG429" s="15"/>
      <c r="AH429" s="15"/>
      <c r="AI429" s="15"/>
      <c r="AJ429" s="15"/>
      <c r="AK429" s="15"/>
      <c r="AL429" s="15"/>
    </row>
    <row r="430" spans="2:38" x14ac:dyDescent="0.35">
      <c r="B430" s="15"/>
      <c r="C430" s="15"/>
      <c r="D430" s="15"/>
      <c r="E430" s="15"/>
      <c r="F430" s="15"/>
      <c r="G430" s="15"/>
      <c r="H430" s="15"/>
      <c r="I430" s="15"/>
      <c r="J430" s="15"/>
      <c r="K430" s="15"/>
      <c r="L430" s="15"/>
      <c r="M430" s="15"/>
      <c r="N430" s="15"/>
      <c r="O430" s="15"/>
      <c r="P430" s="15"/>
      <c r="Q430" s="15"/>
      <c r="R430" s="15"/>
      <c r="S430" s="15"/>
      <c r="T430" s="15"/>
      <c r="U430" s="15"/>
      <c r="V430" s="15"/>
      <c r="W430" s="15"/>
      <c r="X430" s="15"/>
      <c r="Y430" s="15"/>
      <c r="Z430" s="15"/>
      <c r="AA430" s="15"/>
      <c r="AB430" s="15"/>
      <c r="AC430" s="15"/>
      <c r="AD430" s="15"/>
      <c r="AE430" s="15"/>
      <c r="AF430" s="15"/>
      <c r="AG430" s="15"/>
      <c r="AH430" s="15"/>
      <c r="AI430" s="15"/>
      <c r="AJ430" s="15"/>
      <c r="AK430" s="15"/>
      <c r="AL430" s="15"/>
    </row>
    <row r="431" spans="2:38" x14ac:dyDescent="0.35">
      <c r="B431" s="15"/>
      <c r="C431" s="15"/>
      <c r="D431" s="15"/>
      <c r="E431" s="15"/>
      <c r="F431" s="15"/>
      <c r="G431" s="15"/>
      <c r="H431" s="15"/>
      <c r="I431" s="15"/>
      <c r="J431" s="15"/>
      <c r="K431" s="15"/>
      <c r="L431" s="15"/>
      <c r="M431" s="15"/>
      <c r="N431" s="15"/>
      <c r="O431" s="15"/>
      <c r="P431" s="15"/>
      <c r="Q431" s="15"/>
      <c r="R431" s="15"/>
      <c r="S431" s="15"/>
      <c r="T431" s="15"/>
      <c r="U431" s="15"/>
      <c r="V431" s="15"/>
      <c r="W431" s="15"/>
      <c r="X431" s="15"/>
      <c r="Y431" s="15"/>
      <c r="Z431" s="15"/>
      <c r="AA431" s="15"/>
      <c r="AB431" s="15"/>
      <c r="AC431" s="15"/>
      <c r="AD431" s="15"/>
      <c r="AE431" s="15"/>
      <c r="AF431" s="15"/>
      <c r="AG431" s="15"/>
      <c r="AH431" s="15"/>
      <c r="AI431" s="15"/>
      <c r="AJ431" s="15"/>
      <c r="AK431" s="15"/>
      <c r="AL431" s="15"/>
    </row>
    <row r="432" spans="2:38" x14ac:dyDescent="0.35">
      <c r="B432" s="15"/>
      <c r="C432" s="15"/>
      <c r="D432" s="15"/>
      <c r="E432" s="15"/>
      <c r="F432" s="15"/>
      <c r="G432" s="15"/>
      <c r="H432" s="15"/>
      <c r="I432" s="15"/>
      <c r="J432" s="15"/>
      <c r="K432" s="15"/>
      <c r="L432" s="15"/>
      <c r="M432" s="15"/>
      <c r="N432" s="15"/>
      <c r="O432" s="15"/>
      <c r="P432" s="15"/>
      <c r="Q432" s="15"/>
      <c r="R432" s="15"/>
      <c r="S432" s="15"/>
      <c r="T432" s="15"/>
      <c r="U432" s="15"/>
      <c r="V432" s="15"/>
      <c r="W432" s="15"/>
      <c r="X432" s="15"/>
      <c r="Y432" s="15"/>
      <c r="Z432" s="15"/>
      <c r="AA432" s="15"/>
      <c r="AB432" s="15"/>
      <c r="AC432" s="15"/>
      <c r="AD432" s="15"/>
      <c r="AE432" s="15"/>
      <c r="AF432" s="15"/>
      <c r="AG432" s="15"/>
      <c r="AH432" s="15"/>
      <c r="AI432" s="15"/>
      <c r="AJ432" s="15"/>
      <c r="AK432" s="15"/>
      <c r="AL432" s="15"/>
    </row>
    <row r="433" spans="2:38" x14ac:dyDescent="0.35">
      <c r="B433" s="15"/>
      <c r="C433" s="15"/>
      <c r="D433" s="15"/>
      <c r="E433" s="15"/>
      <c r="F433" s="15"/>
      <c r="G433" s="15"/>
      <c r="H433" s="15"/>
      <c r="I433" s="15"/>
      <c r="J433" s="15"/>
      <c r="K433" s="15"/>
      <c r="L433" s="15"/>
      <c r="M433" s="15"/>
      <c r="N433" s="15"/>
      <c r="O433" s="15"/>
      <c r="P433" s="15"/>
      <c r="Q433" s="15"/>
      <c r="R433" s="15"/>
      <c r="S433" s="15"/>
      <c r="T433" s="15"/>
      <c r="U433" s="15"/>
      <c r="V433" s="15"/>
      <c r="W433" s="15"/>
      <c r="X433" s="15"/>
      <c r="Y433" s="15"/>
      <c r="Z433" s="15"/>
      <c r="AA433" s="15"/>
      <c r="AB433" s="15"/>
      <c r="AC433" s="15"/>
      <c r="AD433" s="15"/>
      <c r="AE433" s="15"/>
      <c r="AF433" s="15"/>
      <c r="AG433" s="15"/>
      <c r="AH433" s="15"/>
      <c r="AI433" s="15"/>
      <c r="AJ433" s="15"/>
      <c r="AK433" s="15"/>
      <c r="AL433" s="15"/>
    </row>
    <row r="434" spans="2:38" x14ac:dyDescent="0.35">
      <c r="B434" s="15"/>
      <c r="C434" s="15"/>
      <c r="D434" s="15"/>
      <c r="E434" s="15"/>
      <c r="F434" s="15"/>
      <c r="G434" s="15"/>
      <c r="H434" s="15"/>
      <c r="I434" s="15"/>
      <c r="J434" s="15"/>
      <c r="K434" s="15"/>
      <c r="L434" s="15"/>
      <c r="M434" s="15"/>
      <c r="N434" s="15"/>
      <c r="O434" s="15"/>
      <c r="P434" s="15"/>
      <c r="Q434" s="15"/>
      <c r="R434" s="15"/>
      <c r="S434" s="15"/>
      <c r="T434" s="15"/>
      <c r="U434" s="15"/>
      <c r="V434" s="15"/>
      <c r="W434" s="15"/>
      <c r="X434" s="15"/>
      <c r="Y434" s="15"/>
      <c r="Z434" s="15"/>
      <c r="AA434" s="15"/>
      <c r="AB434" s="15"/>
      <c r="AC434" s="15"/>
      <c r="AD434" s="15"/>
      <c r="AE434" s="15"/>
      <c r="AF434" s="15"/>
      <c r="AG434" s="15"/>
      <c r="AH434" s="15"/>
      <c r="AI434" s="15"/>
      <c r="AJ434" s="15"/>
      <c r="AK434" s="15"/>
      <c r="AL434" s="15"/>
    </row>
    <row r="435" spans="2:38" x14ac:dyDescent="0.35">
      <c r="B435" s="15"/>
      <c r="C435" s="15"/>
      <c r="D435" s="15"/>
      <c r="E435" s="15"/>
      <c r="F435" s="15"/>
      <c r="G435" s="15"/>
      <c r="H435" s="15"/>
      <c r="I435" s="15"/>
      <c r="J435" s="15"/>
      <c r="K435" s="15"/>
      <c r="L435" s="15"/>
      <c r="M435" s="15"/>
      <c r="N435" s="15"/>
      <c r="O435" s="15"/>
      <c r="P435" s="15"/>
      <c r="Q435" s="15"/>
      <c r="R435" s="15"/>
      <c r="S435" s="15"/>
      <c r="T435" s="15"/>
      <c r="U435" s="15"/>
      <c r="V435" s="15"/>
      <c r="W435" s="15"/>
      <c r="X435" s="15"/>
      <c r="Y435" s="15"/>
      <c r="Z435" s="15"/>
      <c r="AA435" s="15"/>
      <c r="AB435" s="15"/>
      <c r="AC435" s="15"/>
      <c r="AD435" s="15"/>
      <c r="AE435" s="15"/>
      <c r="AF435" s="15"/>
      <c r="AG435" s="15"/>
      <c r="AH435" s="15"/>
      <c r="AI435" s="15"/>
      <c r="AJ435" s="15"/>
      <c r="AK435" s="15"/>
      <c r="AL435" s="15"/>
    </row>
    <row r="436" spans="2:38" x14ac:dyDescent="0.35">
      <c r="B436" s="15"/>
      <c r="C436" s="15"/>
      <c r="D436" s="15"/>
      <c r="E436" s="15"/>
      <c r="F436" s="15"/>
      <c r="G436" s="15"/>
      <c r="H436" s="15"/>
      <c r="I436" s="15"/>
      <c r="J436" s="15"/>
      <c r="K436" s="15"/>
      <c r="L436" s="15"/>
      <c r="M436" s="15"/>
      <c r="N436" s="15"/>
      <c r="O436" s="15"/>
      <c r="P436" s="15"/>
      <c r="Q436" s="15"/>
      <c r="R436" s="15"/>
      <c r="S436" s="15"/>
      <c r="T436" s="15"/>
      <c r="U436" s="15"/>
      <c r="V436" s="15"/>
      <c r="W436" s="15"/>
      <c r="X436" s="15"/>
      <c r="Y436" s="15"/>
      <c r="Z436" s="15"/>
      <c r="AA436" s="15"/>
      <c r="AB436" s="15"/>
      <c r="AC436" s="15"/>
      <c r="AD436" s="15"/>
      <c r="AE436" s="15"/>
      <c r="AF436" s="15"/>
      <c r="AG436" s="15"/>
      <c r="AH436" s="15"/>
      <c r="AI436" s="15"/>
      <c r="AJ436" s="15"/>
      <c r="AK436" s="15"/>
      <c r="AL436" s="15"/>
    </row>
    <row r="437" spans="2:38" x14ac:dyDescent="0.35">
      <c r="B437" s="15"/>
      <c r="C437" s="15"/>
      <c r="D437" s="15"/>
      <c r="E437" s="15"/>
      <c r="F437" s="15"/>
      <c r="G437" s="15"/>
      <c r="H437" s="15"/>
      <c r="I437" s="15"/>
      <c r="J437" s="15"/>
      <c r="K437" s="15"/>
      <c r="L437" s="15"/>
      <c r="M437" s="15"/>
      <c r="N437" s="15"/>
      <c r="O437" s="15"/>
      <c r="P437" s="15"/>
      <c r="Q437" s="15"/>
      <c r="R437" s="15"/>
      <c r="S437" s="15"/>
      <c r="T437" s="15"/>
      <c r="U437" s="15"/>
      <c r="V437" s="15"/>
      <c r="W437" s="15"/>
      <c r="X437" s="15"/>
      <c r="Y437" s="15"/>
      <c r="Z437" s="15"/>
      <c r="AA437" s="15"/>
      <c r="AB437" s="15"/>
      <c r="AC437" s="15"/>
      <c r="AD437" s="15"/>
      <c r="AE437" s="15"/>
      <c r="AF437" s="15"/>
      <c r="AG437" s="15"/>
      <c r="AH437" s="15"/>
      <c r="AI437" s="15"/>
      <c r="AJ437" s="15"/>
      <c r="AK437" s="15"/>
      <c r="AL437" s="15"/>
    </row>
    <row r="438" spans="2:38" x14ac:dyDescent="0.35">
      <c r="B438" s="15"/>
      <c r="C438" s="15"/>
      <c r="D438" s="15"/>
      <c r="E438" s="15"/>
      <c r="F438" s="15"/>
      <c r="G438" s="15"/>
      <c r="H438" s="15"/>
      <c r="I438" s="15"/>
      <c r="J438" s="15"/>
      <c r="K438" s="15"/>
      <c r="L438" s="15"/>
      <c r="M438" s="15"/>
      <c r="N438" s="15"/>
      <c r="O438" s="15"/>
      <c r="P438" s="15"/>
      <c r="Q438" s="15"/>
      <c r="R438" s="15"/>
      <c r="S438" s="15"/>
      <c r="T438" s="15"/>
      <c r="U438" s="15"/>
      <c r="V438" s="15"/>
      <c r="W438" s="15"/>
      <c r="X438" s="15"/>
      <c r="Y438" s="15"/>
      <c r="Z438" s="15"/>
      <c r="AA438" s="15"/>
      <c r="AB438" s="15"/>
      <c r="AC438" s="15"/>
      <c r="AD438" s="15"/>
      <c r="AE438" s="15"/>
      <c r="AF438" s="15"/>
      <c r="AG438" s="15"/>
      <c r="AH438" s="15"/>
      <c r="AI438" s="15"/>
      <c r="AJ438" s="15"/>
      <c r="AK438" s="15"/>
      <c r="AL438" s="15"/>
    </row>
    <row r="439" spans="2:38" x14ac:dyDescent="0.35">
      <c r="B439" s="15"/>
      <c r="C439" s="15"/>
      <c r="D439" s="15"/>
      <c r="E439" s="15"/>
      <c r="F439" s="15"/>
      <c r="G439" s="15"/>
      <c r="H439" s="15"/>
      <c r="I439" s="15"/>
      <c r="J439" s="15"/>
      <c r="K439" s="15"/>
      <c r="L439" s="15"/>
      <c r="M439" s="15"/>
      <c r="N439" s="15"/>
      <c r="O439" s="15"/>
      <c r="P439" s="15"/>
      <c r="Q439" s="15"/>
      <c r="R439" s="15"/>
      <c r="S439" s="15"/>
      <c r="T439" s="15"/>
      <c r="U439" s="15"/>
      <c r="V439" s="15"/>
      <c r="W439" s="15"/>
      <c r="X439" s="15"/>
      <c r="Y439" s="15"/>
      <c r="Z439" s="15"/>
      <c r="AA439" s="15"/>
      <c r="AB439" s="15"/>
      <c r="AC439" s="15"/>
      <c r="AD439" s="15"/>
      <c r="AE439" s="15"/>
      <c r="AF439" s="15"/>
      <c r="AG439" s="15"/>
      <c r="AH439" s="15"/>
      <c r="AI439" s="15"/>
      <c r="AJ439" s="15"/>
      <c r="AK439" s="15"/>
      <c r="AL439" s="15"/>
    </row>
    <row r="440" spans="2:38" x14ac:dyDescent="0.35">
      <c r="B440" s="15"/>
      <c r="C440" s="15"/>
      <c r="D440" s="15"/>
      <c r="E440" s="15"/>
      <c r="F440" s="15"/>
      <c r="G440" s="15"/>
      <c r="H440" s="15"/>
      <c r="I440" s="15"/>
      <c r="J440" s="15"/>
      <c r="K440" s="15"/>
      <c r="L440" s="15"/>
      <c r="M440" s="15"/>
      <c r="N440" s="15"/>
      <c r="O440" s="15"/>
      <c r="P440" s="15"/>
      <c r="Q440" s="15"/>
      <c r="R440" s="15"/>
      <c r="S440" s="15"/>
      <c r="T440" s="15"/>
      <c r="U440" s="15"/>
      <c r="V440" s="15"/>
      <c r="W440" s="15"/>
      <c r="X440" s="15"/>
      <c r="Y440" s="15"/>
      <c r="Z440" s="15"/>
      <c r="AA440" s="15"/>
      <c r="AB440" s="15"/>
      <c r="AC440" s="15"/>
      <c r="AD440" s="15"/>
      <c r="AE440" s="15"/>
      <c r="AF440" s="15"/>
      <c r="AG440" s="15"/>
      <c r="AH440" s="15"/>
      <c r="AI440" s="15"/>
      <c r="AJ440" s="15"/>
      <c r="AK440" s="15"/>
      <c r="AL440" s="15"/>
    </row>
    <row r="441" spans="2:38" x14ac:dyDescent="0.35">
      <c r="B441" s="15"/>
      <c r="C441" s="15"/>
      <c r="D441" s="15"/>
      <c r="E441" s="15"/>
      <c r="F441" s="15"/>
      <c r="G441" s="15"/>
      <c r="H441" s="15"/>
      <c r="I441" s="15"/>
      <c r="J441" s="15"/>
      <c r="K441" s="15"/>
      <c r="L441" s="15"/>
      <c r="M441" s="15"/>
      <c r="N441" s="15"/>
      <c r="O441" s="15"/>
      <c r="P441" s="15"/>
      <c r="Q441" s="15"/>
      <c r="R441" s="15"/>
      <c r="S441" s="15"/>
      <c r="T441" s="15"/>
      <c r="U441" s="15"/>
      <c r="V441" s="15"/>
      <c r="W441" s="15"/>
      <c r="X441" s="15"/>
      <c r="Y441" s="15"/>
      <c r="Z441" s="15"/>
      <c r="AA441" s="15"/>
      <c r="AB441" s="15"/>
      <c r="AC441" s="15"/>
      <c r="AD441" s="15"/>
      <c r="AE441" s="15"/>
      <c r="AF441" s="15"/>
      <c r="AG441" s="15"/>
      <c r="AH441" s="15"/>
      <c r="AI441" s="15"/>
      <c r="AJ441" s="15"/>
      <c r="AK441" s="15"/>
      <c r="AL441" s="15"/>
    </row>
    <row r="442" spans="2:38" x14ac:dyDescent="0.35">
      <c r="B442" s="15"/>
      <c r="C442" s="15"/>
      <c r="D442" s="15"/>
      <c r="E442" s="15"/>
      <c r="F442" s="15"/>
      <c r="G442" s="15"/>
      <c r="H442" s="15"/>
      <c r="I442" s="15"/>
      <c r="J442" s="15"/>
      <c r="K442" s="15"/>
      <c r="L442" s="15"/>
      <c r="M442" s="15"/>
      <c r="N442" s="15"/>
      <c r="O442" s="15"/>
      <c r="P442" s="15"/>
      <c r="Q442" s="15"/>
      <c r="R442" s="15"/>
      <c r="S442" s="15"/>
      <c r="T442" s="15"/>
      <c r="U442" s="15"/>
      <c r="V442" s="15"/>
      <c r="W442" s="15"/>
      <c r="X442" s="15"/>
      <c r="Y442" s="15"/>
      <c r="Z442" s="15"/>
      <c r="AA442" s="15"/>
      <c r="AB442" s="15"/>
      <c r="AC442" s="15"/>
      <c r="AD442" s="15"/>
      <c r="AE442" s="15"/>
      <c r="AF442" s="15"/>
      <c r="AG442" s="15"/>
      <c r="AH442" s="15"/>
      <c r="AI442" s="15"/>
      <c r="AJ442" s="15"/>
      <c r="AK442" s="15"/>
      <c r="AL442" s="15"/>
    </row>
    <row r="443" spans="2:38" x14ac:dyDescent="0.35">
      <c r="B443" s="15"/>
      <c r="C443" s="15"/>
      <c r="D443" s="15"/>
      <c r="E443" s="15"/>
      <c r="F443" s="15"/>
      <c r="G443" s="15"/>
      <c r="H443" s="15"/>
      <c r="I443" s="15"/>
      <c r="J443" s="15"/>
      <c r="K443" s="15"/>
      <c r="L443" s="15"/>
      <c r="M443" s="15"/>
      <c r="N443" s="15"/>
      <c r="O443" s="15"/>
      <c r="P443" s="15"/>
      <c r="Q443" s="15"/>
      <c r="R443" s="15"/>
      <c r="S443" s="15"/>
      <c r="T443" s="15"/>
      <c r="U443" s="15"/>
      <c r="V443" s="15"/>
      <c r="W443" s="15"/>
      <c r="X443" s="15"/>
      <c r="Y443" s="15"/>
      <c r="Z443" s="15"/>
      <c r="AA443" s="15"/>
      <c r="AB443" s="15"/>
      <c r="AC443" s="15"/>
      <c r="AD443" s="15"/>
      <c r="AE443" s="15"/>
      <c r="AF443" s="15"/>
      <c r="AG443" s="15"/>
      <c r="AH443" s="15"/>
      <c r="AI443" s="15"/>
      <c r="AJ443" s="15"/>
      <c r="AK443" s="15"/>
      <c r="AL443" s="15"/>
    </row>
    <row r="444" spans="2:38" x14ac:dyDescent="0.35">
      <c r="B444" s="15"/>
      <c r="C444" s="15"/>
      <c r="D444" s="15"/>
      <c r="E444" s="15"/>
      <c r="F444" s="15"/>
      <c r="G444" s="15"/>
      <c r="H444" s="15"/>
      <c r="I444" s="15"/>
      <c r="J444" s="15"/>
      <c r="K444" s="15"/>
      <c r="L444" s="15"/>
      <c r="M444" s="15"/>
      <c r="N444" s="15"/>
      <c r="O444" s="15"/>
      <c r="P444" s="15"/>
      <c r="Q444" s="15"/>
      <c r="R444" s="15"/>
      <c r="S444" s="15"/>
      <c r="T444" s="15"/>
      <c r="U444" s="15"/>
      <c r="V444" s="15"/>
      <c r="W444" s="15"/>
      <c r="X444" s="15"/>
      <c r="Y444" s="15"/>
      <c r="Z444" s="15"/>
      <c r="AA444" s="15"/>
      <c r="AB444" s="15"/>
      <c r="AC444" s="15"/>
      <c r="AD444" s="15"/>
      <c r="AE444" s="15"/>
      <c r="AF444" s="15"/>
      <c r="AG444" s="15"/>
      <c r="AH444" s="15"/>
      <c r="AI444" s="15"/>
      <c r="AJ444" s="15"/>
      <c r="AK444" s="15"/>
      <c r="AL444" s="15"/>
    </row>
    <row r="445" spans="2:38" x14ac:dyDescent="0.35">
      <c r="B445" s="15"/>
      <c r="C445" s="15"/>
      <c r="D445" s="15"/>
      <c r="E445" s="15"/>
      <c r="F445" s="15"/>
      <c r="G445" s="15"/>
      <c r="H445" s="15"/>
      <c r="I445" s="15"/>
      <c r="J445" s="15"/>
      <c r="K445" s="15"/>
      <c r="L445" s="15"/>
      <c r="M445" s="15"/>
      <c r="N445" s="15"/>
      <c r="O445" s="15"/>
      <c r="P445" s="15"/>
      <c r="Q445" s="15"/>
      <c r="R445" s="15"/>
      <c r="S445" s="15"/>
      <c r="T445" s="15"/>
      <c r="U445" s="15"/>
      <c r="V445" s="15"/>
      <c r="W445" s="15"/>
      <c r="X445" s="15"/>
      <c r="Y445" s="15"/>
      <c r="Z445" s="15"/>
      <c r="AA445" s="15"/>
      <c r="AB445" s="15"/>
      <c r="AC445" s="15"/>
      <c r="AD445" s="15"/>
      <c r="AE445" s="15"/>
      <c r="AF445" s="15"/>
      <c r="AG445" s="15"/>
      <c r="AH445" s="15"/>
      <c r="AI445" s="15"/>
      <c r="AJ445" s="15"/>
      <c r="AK445" s="15"/>
      <c r="AL445" s="15"/>
    </row>
    <row r="446" spans="2:38" x14ac:dyDescent="0.35">
      <c r="B446" s="15"/>
      <c r="C446" s="15"/>
      <c r="D446" s="15"/>
      <c r="E446" s="15"/>
      <c r="F446" s="15"/>
      <c r="G446" s="15"/>
      <c r="H446" s="15"/>
      <c r="I446" s="15"/>
      <c r="J446" s="15"/>
      <c r="K446" s="15"/>
      <c r="L446" s="15"/>
      <c r="M446" s="15"/>
      <c r="N446" s="15"/>
      <c r="O446" s="15"/>
      <c r="P446" s="15"/>
      <c r="Q446" s="15"/>
      <c r="R446" s="15"/>
      <c r="S446" s="15"/>
      <c r="T446" s="15"/>
      <c r="U446" s="15"/>
      <c r="V446" s="15"/>
      <c r="W446" s="15"/>
      <c r="X446" s="15"/>
      <c r="Y446" s="15"/>
      <c r="Z446" s="15"/>
      <c r="AA446" s="15"/>
      <c r="AB446" s="15"/>
      <c r="AC446" s="15"/>
      <c r="AD446" s="15"/>
      <c r="AE446" s="15"/>
      <c r="AF446" s="15"/>
      <c r="AG446" s="15"/>
      <c r="AH446" s="15"/>
      <c r="AI446" s="15"/>
      <c r="AJ446" s="15"/>
      <c r="AK446" s="15"/>
      <c r="AL446" s="15"/>
    </row>
    <row r="447" spans="2:38" x14ac:dyDescent="0.35">
      <c r="B447" s="15"/>
      <c r="C447" s="15"/>
      <c r="D447" s="15"/>
      <c r="E447" s="15"/>
      <c r="F447" s="15"/>
      <c r="G447" s="15"/>
      <c r="H447" s="15"/>
      <c r="I447" s="15"/>
      <c r="J447" s="15"/>
      <c r="K447" s="15"/>
      <c r="L447" s="15"/>
      <c r="M447" s="15"/>
      <c r="N447" s="15"/>
      <c r="O447" s="15"/>
      <c r="P447" s="15"/>
      <c r="Q447" s="15"/>
      <c r="R447" s="15"/>
      <c r="S447" s="15"/>
      <c r="T447" s="15"/>
      <c r="U447" s="15"/>
      <c r="V447" s="15"/>
      <c r="W447" s="15"/>
      <c r="X447" s="15"/>
      <c r="Y447" s="15"/>
      <c r="Z447" s="15"/>
      <c r="AA447" s="15"/>
      <c r="AB447" s="15"/>
      <c r="AC447" s="15"/>
      <c r="AD447" s="15"/>
      <c r="AE447" s="15"/>
      <c r="AF447" s="15"/>
      <c r="AG447" s="15"/>
      <c r="AH447" s="15"/>
      <c r="AI447" s="15"/>
      <c r="AJ447" s="15"/>
      <c r="AK447" s="15"/>
      <c r="AL447" s="15"/>
    </row>
    <row r="448" spans="2:38" x14ac:dyDescent="0.35">
      <c r="B448" s="15"/>
      <c r="C448" s="15"/>
      <c r="D448" s="15"/>
      <c r="E448" s="15"/>
      <c r="F448" s="15"/>
      <c r="G448" s="15"/>
      <c r="H448" s="15"/>
      <c r="I448" s="15"/>
      <c r="J448" s="15"/>
      <c r="K448" s="15"/>
      <c r="L448" s="15"/>
      <c r="M448" s="15"/>
      <c r="N448" s="15"/>
      <c r="O448" s="15"/>
      <c r="P448" s="15"/>
      <c r="Q448" s="15"/>
      <c r="R448" s="15"/>
      <c r="S448" s="15"/>
      <c r="T448" s="15"/>
      <c r="U448" s="15"/>
      <c r="V448" s="15"/>
      <c r="W448" s="15"/>
      <c r="X448" s="15"/>
      <c r="Y448" s="15"/>
      <c r="Z448" s="15"/>
      <c r="AA448" s="15"/>
      <c r="AB448" s="15"/>
      <c r="AC448" s="15"/>
      <c r="AD448" s="15"/>
      <c r="AE448" s="15"/>
      <c r="AF448" s="15"/>
      <c r="AG448" s="15"/>
      <c r="AH448" s="15"/>
      <c r="AI448" s="15"/>
      <c r="AJ448" s="15"/>
      <c r="AK448" s="15"/>
      <c r="AL448" s="15"/>
    </row>
    <row r="449" spans="2:38" x14ac:dyDescent="0.35">
      <c r="B449" s="15"/>
      <c r="C449" s="15"/>
      <c r="D449" s="15"/>
      <c r="E449" s="15"/>
      <c r="F449" s="15"/>
      <c r="G449" s="15"/>
      <c r="H449" s="15"/>
      <c r="I449" s="15"/>
      <c r="J449" s="15"/>
      <c r="K449" s="15"/>
      <c r="L449" s="15"/>
      <c r="M449" s="15"/>
      <c r="N449" s="15"/>
      <c r="O449" s="15"/>
      <c r="P449" s="15"/>
      <c r="Q449" s="15"/>
      <c r="R449" s="15"/>
      <c r="S449" s="15"/>
      <c r="T449" s="15"/>
      <c r="U449" s="15"/>
      <c r="V449" s="15"/>
      <c r="W449" s="15"/>
      <c r="X449" s="15"/>
      <c r="Y449" s="15"/>
      <c r="Z449" s="15"/>
      <c r="AA449" s="15"/>
      <c r="AB449" s="15"/>
      <c r="AC449" s="15"/>
      <c r="AD449" s="15"/>
      <c r="AE449" s="15"/>
      <c r="AF449" s="15"/>
      <c r="AG449" s="15"/>
      <c r="AH449" s="15"/>
      <c r="AI449" s="15"/>
      <c r="AJ449" s="15"/>
      <c r="AK449" s="15"/>
      <c r="AL449" s="15"/>
    </row>
    <row r="450" spans="2:38" x14ac:dyDescent="0.35">
      <c r="B450" s="15"/>
      <c r="C450" s="15"/>
      <c r="D450" s="15"/>
      <c r="E450" s="15"/>
      <c r="F450" s="15"/>
      <c r="G450" s="15"/>
      <c r="H450" s="15"/>
      <c r="I450" s="15"/>
      <c r="J450" s="15"/>
      <c r="K450" s="15"/>
      <c r="L450" s="15"/>
      <c r="M450" s="15"/>
      <c r="N450" s="15"/>
      <c r="O450" s="15"/>
      <c r="P450" s="15"/>
      <c r="Q450" s="15"/>
      <c r="R450" s="15"/>
      <c r="S450" s="15"/>
      <c r="T450" s="15"/>
      <c r="U450" s="15"/>
      <c r="V450" s="15"/>
      <c r="W450" s="15"/>
      <c r="X450" s="15"/>
      <c r="Y450" s="15"/>
      <c r="Z450" s="15"/>
      <c r="AA450" s="15"/>
      <c r="AB450" s="15"/>
      <c r="AC450" s="15"/>
      <c r="AD450" s="15"/>
      <c r="AE450" s="15"/>
      <c r="AF450" s="15"/>
      <c r="AG450" s="15"/>
      <c r="AH450" s="15"/>
      <c r="AI450" s="15"/>
      <c r="AJ450" s="15"/>
      <c r="AK450" s="15"/>
      <c r="AL450" s="15"/>
    </row>
    <row r="451" spans="2:38" x14ac:dyDescent="0.35">
      <c r="B451" s="15"/>
      <c r="C451" s="15"/>
      <c r="D451" s="15"/>
      <c r="E451" s="15"/>
      <c r="F451" s="15"/>
      <c r="G451" s="15"/>
      <c r="H451" s="15"/>
      <c r="I451" s="15"/>
      <c r="J451" s="15"/>
      <c r="K451" s="15"/>
      <c r="L451" s="15"/>
      <c r="M451" s="15"/>
      <c r="N451" s="15"/>
      <c r="O451" s="15"/>
      <c r="P451" s="15"/>
      <c r="Q451" s="15"/>
      <c r="R451" s="15"/>
      <c r="S451" s="15"/>
      <c r="T451" s="15"/>
      <c r="U451" s="15"/>
      <c r="V451" s="15"/>
      <c r="W451" s="15"/>
      <c r="X451" s="15"/>
      <c r="Y451" s="15"/>
      <c r="Z451" s="15"/>
      <c r="AA451" s="15"/>
      <c r="AB451" s="15"/>
      <c r="AC451" s="15"/>
      <c r="AD451" s="15"/>
      <c r="AE451" s="15"/>
      <c r="AF451" s="15"/>
      <c r="AG451" s="15"/>
      <c r="AH451" s="15"/>
      <c r="AI451" s="15"/>
      <c r="AJ451" s="15"/>
      <c r="AK451" s="15"/>
      <c r="AL451" s="15"/>
    </row>
    <row r="452" spans="2:38" x14ac:dyDescent="0.35">
      <c r="B452" s="15"/>
      <c r="C452" s="15"/>
      <c r="D452" s="15"/>
      <c r="E452" s="15"/>
      <c r="F452" s="15"/>
      <c r="G452" s="15"/>
      <c r="H452" s="15"/>
      <c r="I452" s="15"/>
      <c r="J452" s="15"/>
      <c r="K452" s="15"/>
      <c r="L452" s="15"/>
      <c r="M452" s="15"/>
      <c r="N452" s="15"/>
      <c r="O452" s="15"/>
      <c r="P452" s="15"/>
      <c r="Q452" s="15"/>
      <c r="R452" s="15"/>
      <c r="S452" s="15"/>
      <c r="T452" s="15"/>
      <c r="U452" s="15"/>
      <c r="V452" s="15"/>
      <c r="W452" s="15"/>
      <c r="X452" s="15"/>
      <c r="Y452" s="15"/>
      <c r="Z452" s="15"/>
      <c r="AA452" s="15"/>
      <c r="AB452" s="15"/>
      <c r="AC452" s="15"/>
      <c r="AD452" s="15"/>
      <c r="AE452" s="15"/>
      <c r="AF452" s="15"/>
      <c r="AG452" s="15"/>
      <c r="AH452" s="15"/>
      <c r="AI452" s="15"/>
      <c r="AJ452" s="15"/>
      <c r="AK452" s="15"/>
      <c r="AL452" s="15"/>
    </row>
    <row r="453" spans="2:38" x14ac:dyDescent="0.35">
      <c r="B453" s="15"/>
      <c r="C453" s="15"/>
      <c r="D453" s="15"/>
      <c r="E453" s="15"/>
      <c r="F453" s="15"/>
      <c r="G453" s="15"/>
      <c r="H453" s="15"/>
      <c r="I453" s="15"/>
      <c r="J453" s="15"/>
      <c r="K453" s="15"/>
      <c r="L453" s="15"/>
      <c r="M453" s="15"/>
      <c r="N453" s="15"/>
      <c r="O453" s="15"/>
      <c r="P453" s="15"/>
      <c r="Q453" s="15"/>
      <c r="R453" s="15"/>
      <c r="S453" s="15"/>
      <c r="T453" s="15"/>
      <c r="U453" s="15"/>
      <c r="V453" s="15"/>
      <c r="W453" s="15"/>
      <c r="X453" s="15"/>
      <c r="Y453" s="15"/>
      <c r="Z453" s="15"/>
      <c r="AA453" s="15"/>
      <c r="AB453" s="15"/>
      <c r="AC453" s="15"/>
      <c r="AD453" s="15"/>
      <c r="AE453" s="15"/>
      <c r="AF453" s="15"/>
      <c r="AG453" s="15"/>
      <c r="AH453" s="15"/>
      <c r="AI453" s="15"/>
      <c r="AJ453" s="15"/>
      <c r="AK453" s="15"/>
      <c r="AL453" s="15"/>
    </row>
    <row r="454" spans="2:38" x14ac:dyDescent="0.35">
      <c r="B454" s="15"/>
      <c r="C454" s="15"/>
      <c r="D454" s="15"/>
      <c r="E454" s="15"/>
      <c r="F454" s="15"/>
      <c r="G454" s="15"/>
      <c r="H454" s="15"/>
      <c r="I454" s="15"/>
      <c r="J454" s="15"/>
      <c r="K454" s="15"/>
      <c r="L454" s="15"/>
      <c r="M454" s="15"/>
      <c r="N454" s="15"/>
      <c r="O454" s="15"/>
      <c r="P454" s="15"/>
      <c r="Q454" s="15"/>
      <c r="R454" s="15"/>
      <c r="S454" s="15"/>
      <c r="T454" s="15"/>
      <c r="U454" s="15"/>
      <c r="V454" s="15"/>
      <c r="W454" s="15"/>
      <c r="X454" s="15"/>
      <c r="Y454" s="15"/>
      <c r="Z454" s="15"/>
      <c r="AA454" s="15"/>
      <c r="AB454" s="15"/>
      <c r="AC454" s="15"/>
      <c r="AD454" s="15"/>
      <c r="AE454" s="15"/>
      <c r="AF454" s="15"/>
      <c r="AG454" s="15"/>
      <c r="AH454" s="15"/>
      <c r="AI454" s="15"/>
      <c r="AJ454" s="15"/>
      <c r="AK454" s="15"/>
      <c r="AL454" s="15"/>
    </row>
    <row r="455" spans="2:38" x14ac:dyDescent="0.35">
      <c r="B455" s="15"/>
      <c r="C455" s="15"/>
      <c r="D455" s="15"/>
      <c r="E455" s="15"/>
      <c r="F455" s="15"/>
      <c r="G455" s="15"/>
      <c r="H455" s="15"/>
      <c r="I455" s="15"/>
      <c r="J455" s="15"/>
      <c r="K455" s="15"/>
      <c r="L455" s="15"/>
      <c r="M455" s="15"/>
      <c r="N455" s="15"/>
      <c r="O455" s="15"/>
      <c r="P455" s="15"/>
      <c r="Q455" s="15"/>
      <c r="R455" s="15"/>
      <c r="S455" s="15"/>
      <c r="T455" s="15"/>
      <c r="U455" s="15"/>
      <c r="V455" s="15"/>
      <c r="W455" s="15"/>
      <c r="X455" s="15"/>
      <c r="Y455" s="15"/>
      <c r="Z455" s="15"/>
      <c r="AA455" s="15"/>
      <c r="AB455" s="15"/>
      <c r="AC455" s="15"/>
      <c r="AD455" s="15"/>
      <c r="AE455" s="15"/>
      <c r="AF455" s="15"/>
      <c r="AG455" s="15"/>
      <c r="AH455" s="15"/>
      <c r="AI455" s="15"/>
      <c r="AJ455" s="15"/>
      <c r="AK455" s="15"/>
      <c r="AL455" s="15"/>
    </row>
    <row r="456" spans="2:38" x14ac:dyDescent="0.35">
      <c r="B456" s="15"/>
      <c r="C456" s="15"/>
      <c r="D456" s="15"/>
      <c r="E456" s="15"/>
      <c r="F456" s="15"/>
      <c r="G456" s="15"/>
      <c r="H456" s="15"/>
      <c r="I456" s="15"/>
      <c r="J456" s="15"/>
      <c r="K456" s="15"/>
      <c r="L456" s="15"/>
      <c r="M456" s="15"/>
      <c r="N456" s="15"/>
      <c r="O456" s="15"/>
      <c r="P456" s="15"/>
      <c r="Q456" s="15"/>
      <c r="R456" s="15"/>
      <c r="S456" s="15"/>
      <c r="T456" s="15"/>
      <c r="U456" s="15"/>
      <c r="V456" s="15"/>
      <c r="W456" s="15"/>
      <c r="X456" s="15"/>
      <c r="Y456" s="15"/>
      <c r="Z456" s="15"/>
      <c r="AA456" s="15"/>
      <c r="AB456" s="15"/>
      <c r="AC456" s="15"/>
      <c r="AD456" s="15"/>
      <c r="AE456" s="15"/>
      <c r="AF456" s="15"/>
      <c r="AG456" s="15"/>
      <c r="AH456" s="15"/>
      <c r="AI456" s="15"/>
      <c r="AJ456" s="15"/>
      <c r="AK456" s="15"/>
      <c r="AL456" s="15"/>
    </row>
    <row r="457" spans="2:38" x14ac:dyDescent="0.35">
      <c r="B457" s="15"/>
      <c r="C457" s="15"/>
      <c r="D457" s="15"/>
      <c r="E457" s="15"/>
      <c r="F457" s="15"/>
      <c r="G457" s="15"/>
      <c r="H457" s="15"/>
      <c r="I457" s="15"/>
      <c r="J457" s="15"/>
      <c r="K457" s="15"/>
      <c r="L457" s="15"/>
      <c r="M457" s="15"/>
      <c r="N457" s="15"/>
      <c r="O457" s="15"/>
      <c r="P457" s="15"/>
      <c r="Q457" s="15"/>
      <c r="R457" s="15"/>
      <c r="S457" s="15"/>
      <c r="T457" s="15"/>
      <c r="U457" s="15"/>
      <c r="V457" s="15"/>
      <c r="W457" s="15"/>
      <c r="X457" s="15"/>
      <c r="Y457" s="15"/>
      <c r="Z457" s="15"/>
      <c r="AA457" s="15"/>
      <c r="AB457" s="15"/>
      <c r="AC457" s="15"/>
      <c r="AD457" s="15"/>
      <c r="AE457" s="15"/>
      <c r="AF457" s="15"/>
      <c r="AG457" s="15"/>
      <c r="AH457" s="15"/>
      <c r="AI457" s="15"/>
      <c r="AJ457" s="15"/>
      <c r="AK457" s="15"/>
      <c r="AL457" s="15"/>
    </row>
    <row r="458" spans="2:38" x14ac:dyDescent="0.35">
      <c r="B458" s="15"/>
      <c r="C458" s="15"/>
      <c r="D458" s="15"/>
      <c r="E458" s="15"/>
      <c r="F458" s="15"/>
      <c r="G458" s="15"/>
      <c r="H458" s="15"/>
      <c r="I458" s="15"/>
      <c r="J458" s="15"/>
      <c r="K458" s="15"/>
      <c r="L458" s="15"/>
      <c r="M458" s="15"/>
      <c r="N458" s="15"/>
      <c r="O458" s="15"/>
      <c r="P458" s="15"/>
      <c r="Q458" s="15"/>
      <c r="R458" s="15"/>
      <c r="S458" s="15"/>
      <c r="T458" s="15"/>
      <c r="U458" s="15"/>
      <c r="V458" s="15"/>
      <c r="W458" s="15"/>
      <c r="X458" s="15"/>
      <c r="Y458" s="15"/>
      <c r="Z458" s="15"/>
      <c r="AA458" s="15"/>
      <c r="AB458" s="15"/>
      <c r="AC458" s="15"/>
      <c r="AD458" s="15"/>
      <c r="AE458" s="15"/>
      <c r="AF458" s="15"/>
      <c r="AG458" s="15"/>
      <c r="AH458" s="15"/>
      <c r="AI458" s="15"/>
      <c r="AJ458" s="15"/>
      <c r="AK458" s="15"/>
      <c r="AL458" s="15"/>
    </row>
    <row r="459" spans="2:38" x14ac:dyDescent="0.35">
      <c r="B459" s="15"/>
      <c r="C459" s="15"/>
      <c r="D459" s="15"/>
      <c r="E459" s="15"/>
      <c r="F459" s="15"/>
      <c r="G459" s="15"/>
      <c r="H459" s="15"/>
      <c r="I459" s="15"/>
      <c r="J459" s="15"/>
      <c r="K459" s="15"/>
      <c r="L459" s="15"/>
      <c r="M459" s="15"/>
      <c r="N459" s="15"/>
      <c r="O459" s="15"/>
      <c r="P459" s="15"/>
      <c r="Q459" s="15"/>
      <c r="R459" s="15"/>
      <c r="S459" s="15"/>
      <c r="T459" s="15"/>
      <c r="U459" s="15"/>
      <c r="V459" s="15"/>
      <c r="W459" s="15"/>
      <c r="X459" s="15"/>
      <c r="Y459" s="15"/>
      <c r="Z459" s="15"/>
      <c r="AA459" s="15"/>
      <c r="AB459" s="15"/>
      <c r="AC459" s="15"/>
      <c r="AD459" s="15"/>
      <c r="AE459" s="15"/>
      <c r="AF459" s="15"/>
      <c r="AG459" s="15"/>
      <c r="AH459" s="15"/>
      <c r="AI459" s="15"/>
      <c r="AJ459" s="15"/>
      <c r="AK459" s="15"/>
      <c r="AL459" s="15"/>
    </row>
    <row r="460" spans="2:38" x14ac:dyDescent="0.35">
      <c r="B460" s="15"/>
      <c r="C460" s="15"/>
      <c r="D460" s="15"/>
      <c r="E460" s="15"/>
      <c r="F460" s="15"/>
      <c r="G460" s="15"/>
      <c r="H460" s="15"/>
      <c r="I460" s="15"/>
      <c r="J460" s="15"/>
      <c r="K460" s="15"/>
      <c r="L460" s="15"/>
      <c r="M460" s="15"/>
      <c r="N460" s="15"/>
      <c r="O460" s="15"/>
      <c r="P460" s="15"/>
      <c r="Q460" s="15"/>
      <c r="R460" s="15"/>
      <c r="S460" s="15"/>
      <c r="T460" s="15"/>
      <c r="U460" s="15"/>
      <c r="V460" s="15"/>
      <c r="W460" s="15"/>
      <c r="X460" s="15"/>
      <c r="Y460" s="15"/>
      <c r="Z460" s="15"/>
      <c r="AA460" s="15"/>
      <c r="AB460" s="15"/>
      <c r="AC460" s="15"/>
      <c r="AD460" s="15"/>
      <c r="AE460" s="15"/>
      <c r="AF460" s="15"/>
      <c r="AG460" s="15"/>
      <c r="AH460" s="15"/>
      <c r="AI460" s="15"/>
      <c r="AJ460" s="15"/>
      <c r="AK460" s="15"/>
      <c r="AL460" s="15"/>
    </row>
    <row r="461" spans="2:38" x14ac:dyDescent="0.35">
      <c r="B461" s="15"/>
      <c r="C461" s="15"/>
      <c r="D461" s="15"/>
      <c r="E461" s="15"/>
      <c r="F461" s="15"/>
      <c r="G461" s="15"/>
      <c r="H461" s="15"/>
      <c r="I461" s="15"/>
      <c r="J461" s="15"/>
      <c r="K461" s="15"/>
      <c r="L461" s="15"/>
      <c r="M461" s="15"/>
      <c r="N461" s="15"/>
      <c r="O461" s="15"/>
      <c r="P461" s="15"/>
      <c r="Q461" s="15"/>
      <c r="R461" s="15"/>
      <c r="S461" s="15"/>
      <c r="T461" s="15"/>
      <c r="U461" s="15"/>
      <c r="V461" s="15"/>
      <c r="W461" s="15"/>
      <c r="X461" s="15"/>
      <c r="Y461" s="15"/>
      <c r="Z461" s="15"/>
      <c r="AA461" s="15"/>
      <c r="AB461" s="15"/>
      <c r="AC461" s="15"/>
      <c r="AD461" s="15"/>
      <c r="AE461" s="15"/>
      <c r="AF461" s="15"/>
      <c r="AG461" s="15"/>
      <c r="AH461" s="15"/>
      <c r="AI461" s="15"/>
      <c r="AJ461" s="15"/>
      <c r="AK461" s="15"/>
      <c r="AL461" s="15"/>
    </row>
    <row r="462" spans="2:38" x14ac:dyDescent="0.35">
      <c r="B462" s="15"/>
      <c r="C462" s="15"/>
      <c r="D462" s="15"/>
      <c r="E462" s="15"/>
      <c r="F462" s="15"/>
      <c r="G462" s="15"/>
      <c r="H462" s="15"/>
      <c r="I462" s="15"/>
      <c r="J462" s="15"/>
      <c r="K462" s="15"/>
      <c r="L462" s="15"/>
      <c r="M462" s="15"/>
      <c r="N462" s="15"/>
      <c r="O462" s="15"/>
      <c r="P462" s="15"/>
      <c r="Q462" s="15"/>
      <c r="R462" s="15"/>
      <c r="S462" s="15"/>
      <c r="T462" s="15"/>
      <c r="U462" s="15"/>
      <c r="V462" s="15"/>
      <c r="W462" s="15"/>
      <c r="X462" s="15"/>
      <c r="Y462" s="15"/>
      <c r="Z462" s="15"/>
      <c r="AA462" s="15"/>
      <c r="AB462" s="15"/>
      <c r="AC462" s="15"/>
      <c r="AD462" s="15"/>
      <c r="AE462" s="15"/>
      <c r="AF462" s="15"/>
      <c r="AG462" s="15"/>
      <c r="AH462" s="15"/>
      <c r="AI462" s="15"/>
      <c r="AJ462" s="15"/>
      <c r="AK462" s="15"/>
      <c r="AL462" s="15"/>
    </row>
    <row r="463" spans="2:38" x14ac:dyDescent="0.35">
      <c r="B463" s="15"/>
      <c r="C463" s="15"/>
      <c r="D463" s="15"/>
      <c r="E463" s="15"/>
      <c r="F463" s="15"/>
      <c r="G463" s="15"/>
      <c r="H463" s="15"/>
      <c r="I463" s="15"/>
      <c r="J463" s="15"/>
      <c r="K463" s="15"/>
      <c r="L463" s="15"/>
      <c r="M463" s="15"/>
      <c r="N463" s="15"/>
      <c r="O463" s="15"/>
      <c r="P463" s="15"/>
      <c r="Q463" s="15"/>
      <c r="R463" s="15"/>
      <c r="S463" s="15"/>
      <c r="T463" s="15"/>
      <c r="U463" s="15"/>
      <c r="V463" s="15"/>
      <c r="W463" s="15"/>
      <c r="X463" s="15"/>
      <c r="Y463" s="15"/>
      <c r="Z463" s="15"/>
      <c r="AA463" s="15"/>
      <c r="AB463" s="15"/>
      <c r="AC463" s="15"/>
      <c r="AD463" s="15"/>
      <c r="AE463" s="15"/>
      <c r="AF463" s="15"/>
      <c r="AG463" s="15"/>
      <c r="AH463" s="15"/>
      <c r="AI463" s="15"/>
      <c r="AJ463" s="15"/>
      <c r="AK463" s="15"/>
      <c r="AL463" s="15"/>
    </row>
    <row r="464" spans="2:38" x14ac:dyDescent="0.35">
      <c r="B464" s="15"/>
      <c r="C464" s="15"/>
      <c r="D464" s="15"/>
      <c r="E464" s="15"/>
      <c r="F464" s="15"/>
      <c r="G464" s="15"/>
      <c r="H464" s="15"/>
      <c r="I464" s="15"/>
      <c r="J464" s="15"/>
      <c r="K464" s="15"/>
      <c r="L464" s="15"/>
      <c r="M464" s="15"/>
      <c r="N464" s="15"/>
      <c r="O464" s="15"/>
      <c r="P464" s="15"/>
      <c r="Q464" s="15"/>
      <c r="R464" s="15"/>
      <c r="S464" s="15"/>
      <c r="T464" s="15"/>
      <c r="U464" s="15"/>
      <c r="V464" s="15"/>
      <c r="W464" s="15"/>
      <c r="X464" s="15"/>
      <c r="Y464" s="15"/>
      <c r="Z464" s="15"/>
      <c r="AA464" s="15"/>
      <c r="AB464" s="15"/>
      <c r="AC464" s="15"/>
      <c r="AD464" s="15"/>
      <c r="AE464" s="15"/>
      <c r="AF464" s="15"/>
      <c r="AG464" s="15"/>
      <c r="AH464" s="15"/>
      <c r="AI464" s="15"/>
      <c r="AJ464" s="15"/>
      <c r="AK464" s="15"/>
      <c r="AL464" s="15"/>
    </row>
    <row r="465" spans="2:38" x14ac:dyDescent="0.35">
      <c r="B465" s="15"/>
      <c r="C465" s="15"/>
      <c r="D465" s="15"/>
      <c r="E465" s="15"/>
      <c r="F465" s="15"/>
      <c r="G465" s="15"/>
      <c r="H465" s="15"/>
      <c r="I465" s="15"/>
      <c r="J465" s="15"/>
      <c r="K465" s="15"/>
      <c r="L465" s="15"/>
      <c r="M465" s="15"/>
      <c r="N465" s="15"/>
      <c r="O465" s="15"/>
      <c r="P465" s="15"/>
      <c r="Q465" s="15"/>
      <c r="R465" s="15"/>
      <c r="S465" s="15"/>
      <c r="T465" s="15"/>
      <c r="U465" s="15"/>
      <c r="V465" s="15"/>
      <c r="W465" s="15"/>
      <c r="X465" s="15"/>
      <c r="Y465" s="15"/>
      <c r="Z465" s="15"/>
      <c r="AA465" s="15"/>
      <c r="AB465" s="15"/>
      <c r="AC465" s="15"/>
      <c r="AD465" s="15"/>
      <c r="AE465" s="15"/>
      <c r="AF465" s="15"/>
      <c r="AG465" s="15"/>
      <c r="AH465" s="15"/>
      <c r="AI465" s="15"/>
      <c r="AJ465" s="15"/>
      <c r="AK465" s="15"/>
      <c r="AL465" s="15"/>
    </row>
    <row r="466" spans="2:38" x14ac:dyDescent="0.35">
      <c r="B466" s="15"/>
      <c r="C466" s="15"/>
      <c r="D466" s="15"/>
      <c r="E466" s="15"/>
      <c r="F466" s="15"/>
      <c r="G466" s="15"/>
      <c r="H466" s="15"/>
      <c r="I466" s="15"/>
      <c r="J466" s="15"/>
      <c r="K466" s="15"/>
      <c r="L466" s="15"/>
      <c r="M466" s="15"/>
      <c r="N466" s="15"/>
      <c r="O466" s="15"/>
      <c r="P466" s="15"/>
      <c r="Q466" s="15"/>
      <c r="R466" s="15"/>
      <c r="S466" s="15"/>
      <c r="T466" s="15"/>
      <c r="U466" s="15"/>
      <c r="V466" s="15"/>
      <c r="W466" s="15"/>
      <c r="X466" s="15"/>
      <c r="Y466" s="15"/>
      <c r="Z466" s="15"/>
      <c r="AA466" s="15"/>
      <c r="AB466" s="15"/>
      <c r="AC466" s="15"/>
      <c r="AD466" s="15"/>
      <c r="AE466" s="15"/>
      <c r="AF466" s="15"/>
      <c r="AG466" s="15"/>
      <c r="AH466" s="15"/>
      <c r="AI466" s="15"/>
      <c r="AJ466" s="15"/>
      <c r="AK466" s="15"/>
      <c r="AL466" s="15"/>
    </row>
    <row r="467" spans="2:38" x14ac:dyDescent="0.35">
      <c r="B467" s="15"/>
      <c r="C467" s="15"/>
      <c r="D467" s="15"/>
      <c r="E467" s="15"/>
      <c r="F467" s="15"/>
      <c r="G467" s="15"/>
      <c r="H467" s="15"/>
      <c r="I467" s="15"/>
      <c r="J467" s="15"/>
      <c r="K467" s="15"/>
      <c r="L467" s="15"/>
      <c r="M467" s="15"/>
      <c r="N467" s="15"/>
      <c r="O467" s="15"/>
      <c r="P467" s="15"/>
      <c r="Q467" s="15"/>
      <c r="R467" s="15"/>
      <c r="S467" s="15"/>
      <c r="T467" s="15"/>
      <c r="U467" s="15"/>
      <c r="V467" s="15"/>
      <c r="W467" s="15"/>
      <c r="X467" s="15"/>
      <c r="Y467" s="15"/>
      <c r="Z467" s="15"/>
      <c r="AA467" s="15"/>
      <c r="AB467" s="15"/>
      <c r="AC467" s="15"/>
      <c r="AD467" s="15"/>
      <c r="AE467" s="15"/>
      <c r="AF467" s="15"/>
      <c r="AG467" s="15"/>
      <c r="AH467" s="15"/>
      <c r="AI467" s="15"/>
      <c r="AJ467" s="15"/>
      <c r="AK467" s="15"/>
      <c r="AL467" s="15"/>
    </row>
    <row r="468" spans="2:38" x14ac:dyDescent="0.35">
      <c r="B468" s="15"/>
      <c r="C468" s="15"/>
      <c r="D468" s="15"/>
      <c r="E468" s="15"/>
      <c r="F468" s="15"/>
      <c r="G468" s="15"/>
      <c r="H468" s="15"/>
      <c r="I468" s="15"/>
      <c r="J468" s="15"/>
      <c r="K468" s="15"/>
      <c r="L468" s="15"/>
      <c r="M468" s="15"/>
      <c r="N468" s="15"/>
      <c r="O468" s="15"/>
      <c r="P468" s="15"/>
      <c r="Q468" s="15"/>
      <c r="R468" s="15"/>
      <c r="S468" s="15"/>
      <c r="T468" s="15"/>
      <c r="U468" s="15"/>
      <c r="V468" s="15"/>
      <c r="W468" s="15"/>
      <c r="X468" s="15"/>
      <c r="Y468" s="15"/>
      <c r="Z468" s="15"/>
      <c r="AA468" s="15"/>
      <c r="AB468" s="15"/>
      <c r="AC468" s="15"/>
      <c r="AD468" s="15"/>
      <c r="AE468" s="15"/>
      <c r="AF468" s="15"/>
      <c r="AG468" s="15"/>
      <c r="AH468" s="15"/>
      <c r="AI468" s="15"/>
      <c r="AJ468" s="15"/>
      <c r="AK468" s="15"/>
      <c r="AL468" s="15"/>
    </row>
    <row r="469" spans="2:38" x14ac:dyDescent="0.35">
      <c r="B469" s="15"/>
      <c r="C469" s="15"/>
      <c r="D469" s="15"/>
      <c r="E469" s="15"/>
      <c r="F469" s="15"/>
      <c r="G469" s="15"/>
      <c r="H469" s="15"/>
      <c r="I469" s="15"/>
      <c r="J469" s="15"/>
      <c r="K469" s="15"/>
      <c r="L469" s="15"/>
      <c r="M469" s="15"/>
      <c r="N469" s="15"/>
      <c r="O469" s="15"/>
      <c r="P469" s="15"/>
      <c r="Q469" s="15"/>
      <c r="R469" s="15"/>
      <c r="S469" s="15"/>
      <c r="T469" s="15"/>
      <c r="U469" s="15"/>
      <c r="V469" s="15"/>
      <c r="W469" s="15"/>
      <c r="X469" s="15"/>
      <c r="Y469" s="15"/>
      <c r="Z469" s="15"/>
      <c r="AA469" s="15"/>
      <c r="AB469" s="15"/>
      <c r="AC469" s="15"/>
      <c r="AD469" s="15"/>
      <c r="AE469" s="15"/>
      <c r="AF469" s="15"/>
      <c r="AG469" s="15"/>
      <c r="AH469" s="15"/>
      <c r="AI469" s="15"/>
      <c r="AJ469" s="15"/>
      <c r="AK469" s="15"/>
      <c r="AL469" s="15"/>
    </row>
    <row r="470" spans="2:38" x14ac:dyDescent="0.35">
      <c r="B470" s="15"/>
      <c r="C470" s="15"/>
      <c r="D470" s="15"/>
      <c r="E470" s="15"/>
      <c r="F470" s="15"/>
      <c r="G470" s="15"/>
      <c r="H470" s="15"/>
      <c r="I470" s="15"/>
      <c r="J470" s="15"/>
      <c r="K470" s="15"/>
      <c r="L470" s="15"/>
      <c r="M470" s="15"/>
      <c r="N470" s="15"/>
      <c r="O470" s="15"/>
      <c r="P470" s="15"/>
      <c r="Q470" s="15"/>
      <c r="R470" s="15"/>
      <c r="S470" s="15"/>
      <c r="T470" s="15"/>
      <c r="U470" s="15"/>
      <c r="V470" s="15"/>
      <c r="W470" s="15"/>
      <c r="X470" s="15"/>
      <c r="Y470" s="15"/>
      <c r="Z470" s="15"/>
      <c r="AA470" s="15"/>
      <c r="AB470" s="15"/>
      <c r="AC470" s="15"/>
      <c r="AD470" s="15"/>
      <c r="AE470" s="15"/>
      <c r="AF470" s="15"/>
      <c r="AG470" s="15"/>
      <c r="AH470" s="15"/>
      <c r="AI470" s="15"/>
      <c r="AJ470" s="15"/>
      <c r="AK470" s="15"/>
      <c r="AL470" s="15"/>
    </row>
    <row r="471" spans="2:38" x14ac:dyDescent="0.35">
      <c r="B471" s="15"/>
      <c r="C471" s="15"/>
      <c r="D471" s="15"/>
      <c r="E471" s="15"/>
      <c r="F471" s="15"/>
      <c r="G471" s="15"/>
      <c r="H471" s="15"/>
      <c r="I471" s="15"/>
      <c r="J471" s="15"/>
      <c r="K471" s="15"/>
      <c r="L471" s="15"/>
      <c r="M471" s="15"/>
      <c r="N471" s="15"/>
      <c r="O471" s="15"/>
      <c r="P471" s="15"/>
      <c r="Q471" s="15"/>
      <c r="R471" s="15"/>
      <c r="S471" s="15"/>
      <c r="T471" s="15"/>
      <c r="U471" s="15"/>
      <c r="V471" s="15"/>
      <c r="W471" s="15"/>
      <c r="X471" s="15"/>
      <c r="Y471" s="15"/>
      <c r="Z471" s="15"/>
      <c r="AA471" s="15"/>
      <c r="AB471" s="15"/>
      <c r="AC471" s="15"/>
      <c r="AD471" s="15"/>
      <c r="AE471" s="15"/>
      <c r="AF471" s="15"/>
      <c r="AG471" s="15"/>
      <c r="AH471" s="15"/>
      <c r="AI471" s="15"/>
      <c r="AJ471" s="15"/>
      <c r="AK471" s="15"/>
      <c r="AL471" s="15"/>
    </row>
    <row r="472" spans="2:38" x14ac:dyDescent="0.35">
      <c r="B472" s="15"/>
      <c r="C472" s="15"/>
      <c r="D472" s="15"/>
      <c r="E472" s="15"/>
      <c r="F472" s="15"/>
      <c r="G472" s="15"/>
      <c r="H472" s="15"/>
      <c r="I472" s="15"/>
      <c r="J472" s="15"/>
      <c r="K472" s="15"/>
      <c r="L472" s="15"/>
      <c r="M472" s="15"/>
      <c r="N472" s="15"/>
      <c r="O472" s="15"/>
      <c r="P472" s="15"/>
      <c r="Q472" s="15"/>
      <c r="R472" s="15"/>
      <c r="S472" s="15"/>
      <c r="T472" s="15"/>
      <c r="U472" s="15"/>
      <c r="V472" s="15"/>
      <c r="W472" s="15"/>
      <c r="X472" s="15"/>
      <c r="Y472" s="15"/>
      <c r="Z472" s="15"/>
      <c r="AA472" s="15"/>
      <c r="AB472" s="15"/>
      <c r="AC472" s="15"/>
      <c r="AD472" s="15"/>
      <c r="AE472" s="15"/>
      <c r="AF472" s="15"/>
      <c r="AG472" s="15"/>
      <c r="AH472" s="15"/>
      <c r="AI472" s="15"/>
      <c r="AJ472" s="15"/>
      <c r="AK472" s="15"/>
      <c r="AL472" s="15"/>
    </row>
    <row r="473" spans="2:38" x14ac:dyDescent="0.35">
      <c r="B473" s="15"/>
      <c r="C473" s="15"/>
      <c r="D473" s="15"/>
      <c r="E473" s="15"/>
      <c r="F473" s="15"/>
      <c r="G473" s="15"/>
      <c r="H473" s="15"/>
      <c r="I473" s="15"/>
      <c r="J473" s="15"/>
      <c r="K473" s="15"/>
      <c r="L473" s="15"/>
      <c r="M473" s="15"/>
      <c r="N473" s="15"/>
      <c r="O473" s="15"/>
      <c r="P473" s="15"/>
      <c r="Q473" s="15"/>
      <c r="R473" s="15"/>
      <c r="S473" s="15"/>
      <c r="T473" s="15"/>
      <c r="U473" s="15"/>
      <c r="V473" s="15"/>
      <c r="W473" s="15"/>
      <c r="X473" s="15"/>
      <c r="Y473" s="15"/>
      <c r="Z473" s="15"/>
      <c r="AA473" s="15"/>
      <c r="AB473" s="15"/>
      <c r="AC473" s="15"/>
      <c r="AD473" s="15"/>
      <c r="AE473" s="15"/>
      <c r="AF473" s="15"/>
      <c r="AG473" s="15"/>
      <c r="AH473" s="15"/>
      <c r="AI473" s="15"/>
      <c r="AJ473" s="15"/>
      <c r="AK473" s="15"/>
      <c r="AL473" s="15"/>
    </row>
    <row r="474" spans="2:38" x14ac:dyDescent="0.35">
      <c r="B474" s="15"/>
      <c r="C474" s="15"/>
      <c r="D474" s="15"/>
      <c r="E474" s="15"/>
      <c r="F474" s="15"/>
      <c r="G474" s="15"/>
      <c r="H474" s="15"/>
      <c r="I474" s="15"/>
      <c r="J474" s="15"/>
      <c r="K474" s="15"/>
      <c r="L474" s="15"/>
      <c r="M474" s="15"/>
      <c r="N474" s="15"/>
      <c r="O474" s="15"/>
      <c r="P474" s="15"/>
      <c r="Q474" s="15"/>
      <c r="R474" s="15"/>
      <c r="S474" s="15"/>
      <c r="T474" s="15"/>
      <c r="U474" s="15"/>
      <c r="V474" s="15"/>
      <c r="W474" s="15"/>
      <c r="X474" s="15"/>
      <c r="Y474" s="15"/>
      <c r="Z474" s="15"/>
      <c r="AA474" s="15"/>
      <c r="AB474" s="15"/>
      <c r="AC474" s="15"/>
      <c r="AD474" s="15"/>
      <c r="AE474" s="15"/>
      <c r="AF474" s="15"/>
      <c r="AG474" s="15"/>
      <c r="AH474" s="15"/>
      <c r="AI474" s="15"/>
      <c r="AJ474" s="15"/>
      <c r="AK474" s="15"/>
      <c r="AL474" s="15"/>
    </row>
    <row r="475" spans="2:38" x14ac:dyDescent="0.35">
      <c r="B475" s="15"/>
      <c r="C475" s="15"/>
      <c r="D475" s="15"/>
      <c r="E475" s="15"/>
      <c r="F475" s="15"/>
      <c r="G475" s="15"/>
      <c r="H475" s="15"/>
      <c r="I475" s="15"/>
      <c r="J475" s="15"/>
      <c r="K475" s="15"/>
      <c r="L475" s="15"/>
      <c r="M475" s="15"/>
      <c r="N475" s="15"/>
      <c r="O475" s="15"/>
      <c r="P475" s="15"/>
      <c r="Q475" s="15"/>
      <c r="R475" s="15"/>
      <c r="S475" s="15"/>
      <c r="T475" s="15"/>
      <c r="U475" s="15"/>
      <c r="V475" s="15"/>
      <c r="W475" s="15"/>
      <c r="X475" s="15"/>
      <c r="Y475" s="15"/>
      <c r="Z475" s="15"/>
      <c r="AA475" s="15"/>
      <c r="AB475" s="15"/>
      <c r="AC475" s="15"/>
      <c r="AD475" s="15"/>
      <c r="AE475" s="15"/>
      <c r="AF475" s="15"/>
      <c r="AG475" s="15"/>
      <c r="AH475" s="15"/>
      <c r="AI475" s="15"/>
      <c r="AJ475" s="15"/>
      <c r="AK475" s="15"/>
      <c r="AL475" s="15"/>
    </row>
    <row r="476" spans="2:38" x14ac:dyDescent="0.35">
      <c r="B476" s="15"/>
      <c r="C476" s="15"/>
      <c r="D476" s="15"/>
      <c r="E476" s="15"/>
      <c r="F476" s="15"/>
      <c r="G476" s="15"/>
      <c r="H476" s="15"/>
      <c r="I476" s="15"/>
      <c r="J476" s="15"/>
      <c r="K476" s="15"/>
      <c r="L476" s="15"/>
      <c r="M476" s="15"/>
      <c r="N476" s="15"/>
      <c r="O476" s="15"/>
      <c r="P476" s="15"/>
      <c r="Q476" s="15"/>
      <c r="R476" s="15"/>
      <c r="S476" s="15"/>
      <c r="T476" s="15"/>
      <c r="U476" s="15"/>
      <c r="V476" s="15"/>
      <c r="W476" s="15"/>
      <c r="X476" s="15"/>
      <c r="Y476" s="15"/>
      <c r="Z476" s="15"/>
      <c r="AA476" s="15"/>
      <c r="AB476" s="15"/>
      <c r="AC476" s="15"/>
      <c r="AD476" s="15"/>
      <c r="AE476" s="15"/>
      <c r="AF476" s="15"/>
      <c r="AG476" s="15"/>
      <c r="AH476" s="15"/>
      <c r="AI476" s="15"/>
      <c r="AJ476" s="15"/>
      <c r="AK476" s="15"/>
      <c r="AL476" s="15"/>
    </row>
    <row r="477" spans="2:38" x14ac:dyDescent="0.35">
      <c r="B477" s="15"/>
      <c r="C477" s="15"/>
      <c r="D477" s="15"/>
      <c r="E477" s="15"/>
      <c r="F477" s="15"/>
      <c r="G477" s="15"/>
      <c r="H477" s="15"/>
      <c r="I477" s="15"/>
      <c r="J477" s="15"/>
      <c r="K477" s="15"/>
      <c r="L477" s="15"/>
      <c r="M477" s="15"/>
      <c r="N477" s="15"/>
      <c r="O477" s="15"/>
      <c r="P477" s="15"/>
      <c r="Q477" s="15"/>
      <c r="R477" s="15"/>
      <c r="S477" s="15"/>
      <c r="T477" s="15"/>
      <c r="U477" s="15"/>
      <c r="V477" s="15"/>
      <c r="W477" s="15"/>
      <c r="X477" s="15"/>
      <c r="Y477" s="15"/>
      <c r="Z477" s="15"/>
      <c r="AA477" s="15"/>
      <c r="AB477" s="15"/>
      <c r="AC477" s="15"/>
      <c r="AD477" s="15"/>
      <c r="AE477" s="15"/>
      <c r="AF477" s="15"/>
      <c r="AG477" s="15"/>
      <c r="AH477" s="15"/>
      <c r="AI477" s="15"/>
      <c r="AJ477" s="15"/>
      <c r="AK477" s="15"/>
      <c r="AL477" s="15"/>
    </row>
    <row r="478" spans="2:38" x14ac:dyDescent="0.35">
      <c r="B478" s="15"/>
      <c r="C478" s="15"/>
      <c r="D478" s="15"/>
      <c r="E478" s="15"/>
      <c r="F478" s="15"/>
      <c r="G478" s="15"/>
      <c r="H478" s="15"/>
      <c r="I478" s="15"/>
      <c r="J478" s="15"/>
      <c r="K478" s="15"/>
      <c r="L478" s="15"/>
      <c r="M478" s="15"/>
      <c r="N478" s="15"/>
      <c r="O478" s="15"/>
      <c r="P478" s="15"/>
      <c r="Q478" s="15"/>
      <c r="R478" s="15"/>
      <c r="S478" s="15"/>
      <c r="T478" s="15"/>
      <c r="U478" s="15"/>
      <c r="V478" s="15"/>
      <c r="W478" s="15"/>
      <c r="X478" s="15"/>
      <c r="Y478" s="15"/>
      <c r="Z478" s="15"/>
      <c r="AA478" s="15"/>
      <c r="AB478" s="15"/>
      <c r="AC478" s="15"/>
      <c r="AD478" s="15"/>
      <c r="AE478" s="15"/>
      <c r="AF478" s="15"/>
      <c r="AG478" s="15"/>
      <c r="AH478" s="15"/>
      <c r="AI478" s="15"/>
      <c r="AJ478" s="15"/>
      <c r="AK478" s="15"/>
      <c r="AL478" s="15"/>
    </row>
    <row r="479" spans="2:38" x14ac:dyDescent="0.35">
      <c r="B479" s="15"/>
      <c r="C479" s="15"/>
      <c r="D479" s="15"/>
      <c r="E479" s="15"/>
      <c r="F479" s="15"/>
      <c r="G479" s="15"/>
      <c r="H479" s="15"/>
      <c r="I479" s="15"/>
      <c r="J479" s="15"/>
      <c r="K479" s="15"/>
      <c r="L479" s="15"/>
      <c r="M479" s="15"/>
      <c r="N479" s="15"/>
      <c r="O479" s="15"/>
      <c r="P479" s="15"/>
      <c r="Q479" s="15"/>
      <c r="R479" s="15"/>
      <c r="S479" s="15"/>
      <c r="T479" s="15"/>
      <c r="U479" s="15"/>
      <c r="V479" s="15"/>
      <c r="W479" s="15"/>
      <c r="X479" s="15"/>
      <c r="Y479" s="15"/>
      <c r="Z479" s="15"/>
      <c r="AA479" s="15"/>
      <c r="AB479" s="15"/>
      <c r="AC479" s="15"/>
      <c r="AD479" s="15"/>
      <c r="AE479" s="15"/>
      <c r="AF479" s="15"/>
      <c r="AG479" s="15"/>
      <c r="AH479" s="15"/>
      <c r="AI479" s="15"/>
      <c r="AJ479" s="15"/>
      <c r="AK479" s="15"/>
      <c r="AL479" s="15"/>
    </row>
    <row r="480" spans="2:38" x14ac:dyDescent="0.35">
      <c r="B480" s="15"/>
      <c r="C480" s="15"/>
      <c r="D480" s="15"/>
      <c r="E480" s="15"/>
      <c r="F480" s="15"/>
      <c r="G480" s="15"/>
      <c r="H480" s="15"/>
      <c r="I480" s="15"/>
      <c r="J480" s="15"/>
      <c r="K480" s="15"/>
      <c r="L480" s="15"/>
      <c r="M480" s="15"/>
      <c r="N480" s="15"/>
      <c r="O480" s="15"/>
      <c r="P480" s="15"/>
      <c r="Q480" s="15"/>
      <c r="R480" s="15"/>
      <c r="S480" s="15"/>
      <c r="T480" s="15"/>
      <c r="U480" s="15"/>
      <c r="V480" s="15"/>
      <c r="W480" s="15"/>
      <c r="X480" s="15"/>
      <c r="Y480" s="15"/>
      <c r="Z480" s="15"/>
      <c r="AA480" s="15"/>
      <c r="AB480" s="15"/>
      <c r="AC480" s="15"/>
      <c r="AD480" s="15"/>
      <c r="AE480" s="15"/>
      <c r="AF480" s="15"/>
      <c r="AG480" s="15"/>
      <c r="AH480" s="15"/>
      <c r="AI480" s="15"/>
      <c r="AJ480" s="15"/>
      <c r="AK480" s="15"/>
      <c r="AL480" s="15"/>
    </row>
    <row r="481" spans="2:38" x14ac:dyDescent="0.35">
      <c r="B481" s="15"/>
      <c r="C481" s="15"/>
      <c r="D481" s="15"/>
      <c r="E481" s="15"/>
      <c r="F481" s="15"/>
      <c r="G481" s="15"/>
      <c r="H481" s="15"/>
      <c r="I481" s="15"/>
      <c r="J481" s="15"/>
      <c r="K481" s="15"/>
      <c r="L481" s="15"/>
      <c r="M481" s="15"/>
      <c r="N481" s="15"/>
      <c r="O481" s="15"/>
      <c r="P481" s="15"/>
      <c r="Q481" s="15"/>
      <c r="R481" s="15"/>
      <c r="S481" s="15"/>
      <c r="T481" s="15"/>
      <c r="U481" s="15"/>
      <c r="V481" s="15"/>
      <c r="W481" s="15"/>
      <c r="X481" s="15"/>
      <c r="Y481" s="15"/>
      <c r="Z481" s="15"/>
      <c r="AA481" s="15"/>
      <c r="AB481" s="15"/>
      <c r="AC481" s="15"/>
      <c r="AD481" s="15"/>
      <c r="AE481" s="15"/>
      <c r="AF481" s="15"/>
      <c r="AG481" s="15"/>
      <c r="AH481" s="15"/>
      <c r="AI481" s="15"/>
      <c r="AJ481" s="15"/>
      <c r="AK481" s="15"/>
      <c r="AL481" s="15"/>
    </row>
    <row r="482" spans="2:38" x14ac:dyDescent="0.35">
      <c r="B482" s="15"/>
      <c r="C482" s="15"/>
      <c r="D482" s="15"/>
      <c r="E482" s="15"/>
      <c r="F482" s="15"/>
      <c r="G482" s="15"/>
      <c r="H482" s="15"/>
      <c r="I482" s="15"/>
      <c r="J482" s="15"/>
      <c r="K482" s="15"/>
      <c r="L482" s="15"/>
      <c r="M482" s="15"/>
      <c r="N482" s="15"/>
      <c r="O482" s="15"/>
      <c r="P482" s="15"/>
      <c r="Q482" s="15"/>
      <c r="R482" s="15"/>
      <c r="S482" s="15"/>
      <c r="T482" s="15"/>
      <c r="U482" s="15"/>
      <c r="V482" s="15"/>
      <c r="W482" s="15"/>
      <c r="X482" s="15"/>
      <c r="Y482" s="15"/>
      <c r="Z482" s="15"/>
      <c r="AA482" s="15"/>
      <c r="AB482" s="15"/>
      <c r="AC482" s="15"/>
      <c r="AD482" s="15"/>
      <c r="AE482" s="15"/>
      <c r="AF482" s="15"/>
      <c r="AG482" s="15"/>
      <c r="AH482" s="15"/>
      <c r="AI482" s="15"/>
      <c r="AJ482" s="15"/>
      <c r="AK482" s="15"/>
      <c r="AL482" s="15"/>
    </row>
    <row r="483" spans="2:38" x14ac:dyDescent="0.35">
      <c r="B483" s="15"/>
      <c r="C483" s="15"/>
      <c r="D483" s="15"/>
      <c r="E483" s="15"/>
      <c r="F483" s="15"/>
      <c r="G483" s="15"/>
      <c r="H483" s="15"/>
      <c r="I483" s="15"/>
      <c r="J483" s="15"/>
      <c r="K483" s="15"/>
      <c r="L483" s="15"/>
      <c r="M483" s="15"/>
      <c r="N483" s="15"/>
      <c r="O483" s="15"/>
      <c r="P483" s="15"/>
      <c r="Q483" s="15"/>
      <c r="R483" s="15"/>
      <c r="S483" s="15"/>
      <c r="T483" s="15"/>
      <c r="U483" s="15"/>
      <c r="V483" s="15"/>
      <c r="W483" s="15"/>
      <c r="X483" s="15"/>
      <c r="Y483" s="15"/>
      <c r="Z483" s="15"/>
      <c r="AA483" s="15"/>
      <c r="AB483" s="15"/>
      <c r="AC483" s="15"/>
      <c r="AD483" s="15"/>
      <c r="AE483" s="15"/>
      <c r="AF483" s="15"/>
      <c r="AG483" s="15"/>
      <c r="AH483" s="15"/>
      <c r="AI483" s="15"/>
      <c r="AJ483" s="15"/>
      <c r="AK483" s="15"/>
      <c r="AL483" s="15"/>
    </row>
    <row r="484" spans="2:38" x14ac:dyDescent="0.35">
      <c r="B484" s="15"/>
      <c r="C484" s="15"/>
      <c r="D484" s="15"/>
      <c r="E484" s="15"/>
      <c r="F484" s="15"/>
      <c r="G484" s="15"/>
      <c r="H484" s="15"/>
      <c r="I484" s="15"/>
      <c r="J484" s="15"/>
      <c r="K484" s="15"/>
      <c r="L484" s="15"/>
      <c r="M484" s="15"/>
      <c r="N484" s="15"/>
      <c r="O484" s="15"/>
      <c r="P484" s="15"/>
      <c r="Q484" s="15"/>
      <c r="R484" s="15"/>
      <c r="S484" s="15"/>
      <c r="T484" s="15"/>
      <c r="U484" s="15"/>
      <c r="V484" s="15"/>
      <c r="W484" s="15"/>
      <c r="X484" s="15"/>
      <c r="Y484" s="15"/>
      <c r="Z484" s="15"/>
      <c r="AA484" s="15"/>
      <c r="AB484" s="15"/>
      <c r="AC484" s="15"/>
      <c r="AD484" s="15"/>
      <c r="AE484" s="15"/>
      <c r="AF484" s="15"/>
      <c r="AG484" s="15"/>
      <c r="AH484" s="15"/>
      <c r="AI484" s="15"/>
      <c r="AJ484" s="15"/>
      <c r="AK484" s="15"/>
      <c r="AL484" s="15"/>
    </row>
    <row r="485" spans="2:38" x14ac:dyDescent="0.35">
      <c r="B485" s="15"/>
      <c r="C485" s="15"/>
      <c r="D485" s="15"/>
      <c r="E485" s="15"/>
      <c r="F485" s="15"/>
      <c r="G485" s="15"/>
      <c r="H485" s="15"/>
      <c r="I485" s="15"/>
      <c r="J485" s="15"/>
      <c r="K485" s="15"/>
      <c r="L485" s="15"/>
      <c r="M485" s="15"/>
      <c r="N485" s="15"/>
      <c r="O485" s="15"/>
      <c r="P485" s="15"/>
      <c r="Q485" s="15"/>
      <c r="R485" s="15"/>
      <c r="S485" s="15"/>
      <c r="T485" s="15"/>
      <c r="U485" s="15"/>
      <c r="V485" s="15"/>
      <c r="W485" s="15"/>
      <c r="X485" s="15"/>
      <c r="Y485" s="15"/>
      <c r="Z485" s="15"/>
      <c r="AA485" s="15"/>
      <c r="AB485" s="15"/>
      <c r="AC485" s="15"/>
      <c r="AD485" s="15"/>
      <c r="AE485" s="15"/>
      <c r="AF485" s="15"/>
      <c r="AG485" s="15"/>
      <c r="AH485" s="15"/>
      <c r="AI485" s="15"/>
      <c r="AJ485" s="15"/>
      <c r="AK485" s="15"/>
      <c r="AL485" s="15"/>
    </row>
    <row r="486" spans="2:38" x14ac:dyDescent="0.35">
      <c r="B486" s="15"/>
      <c r="C486" s="15"/>
      <c r="D486" s="15"/>
      <c r="E486" s="15"/>
      <c r="F486" s="15"/>
      <c r="G486" s="15"/>
      <c r="H486" s="15"/>
      <c r="I486" s="15"/>
      <c r="J486" s="15"/>
      <c r="K486" s="15"/>
      <c r="L486" s="15"/>
      <c r="M486" s="15"/>
      <c r="N486" s="15"/>
      <c r="O486" s="15"/>
      <c r="P486" s="15"/>
      <c r="Q486" s="15"/>
      <c r="R486" s="15"/>
      <c r="S486" s="15"/>
      <c r="T486" s="15"/>
      <c r="U486" s="15"/>
      <c r="V486" s="15"/>
      <c r="W486" s="15"/>
      <c r="X486" s="15"/>
      <c r="Y486" s="15"/>
      <c r="Z486" s="15"/>
      <c r="AA486" s="15"/>
      <c r="AB486" s="15"/>
      <c r="AC486" s="15"/>
      <c r="AD486" s="15"/>
      <c r="AE486" s="15"/>
      <c r="AF486" s="15"/>
      <c r="AG486" s="15"/>
      <c r="AH486" s="15"/>
      <c r="AI486" s="15"/>
      <c r="AJ486" s="15"/>
      <c r="AK486" s="15"/>
      <c r="AL486" s="15"/>
    </row>
    <row r="487" spans="2:38" x14ac:dyDescent="0.35">
      <c r="B487" s="15"/>
      <c r="C487" s="15"/>
      <c r="D487" s="15"/>
      <c r="E487" s="15"/>
      <c r="F487" s="15"/>
      <c r="G487" s="15"/>
      <c r="H487" s="15"/>
      <c r="I487" s="15"/>
      <c r="J487" s="15"/>
      <c r="K487" s="15"/>
      <c r="L487" s="15"/>
      <c r="M487" s="15"/>
      <c r="N487" s="15"/>
      <c r="O487" s="15"/>
      <c r="P487" s="15"/>
      <c r="Q487" s="15"/>
      <c r="R487" s="15"/>
      <c r="S487" s="15"/>
      <c r="T487" s="15"/>
      <c r="U487" s="15"/>
      <c r="V487" s="15"/>
      <c r="W487" s="15"/>
      <c r="X487" s="15"/>
      <c r="Y487" s="15"/>
      <c r="Z487" s="15"/>
      <c r="AA487" s="15"/>
      <c r="AB487" s="15"/>
      <c r="AC487" s="15"/>
      <c r="AD487" s="15"/>
      <c r="AE487" s="15"/>
      <c r="AF487" s="15"/>
      <c r="AG487" s="15"/>
      <c r="AH487" s="15"/>
      <c r="AI487" s="15"/>
      <c r="AJ487" s="15"/>
      <c r="AK487" s="15"/>
      <c r="AL487" s="15"/>
    </row>
    <row r="488" spans="2:38" x14ac:dyDescent="0.35">
      <c r="B488" s="15"/>
      <c r="C488" s="15"/>
      <c r="D488" s="15"/>
      <c r="E488" s="15"/>
      <c r="F488" s="15"/>
      <c r="G488" s="15"/>
      <c r="H488" s="15"/>
      <c r="I488" s="15"/>
      <c r="J488" s="15"/>
      <c r="K488" s="15"/>
      <c r="L488" s="15"/>
      <c r="M488" s="15"/>
      <c r="N488" s="15"/>
      <c r="O488" s="15"/>
      <c r="P488" s="15"/>
      <c r="Q488" s="15"/>
      <c r="R488" s="15"/>
      <c r="S488" s="15"/>
      <c r="T488" s="15"/>
      <c r="U488" s="15"/>
      <c r="V488" s="15"/>
      <c r="W488" s="15"/>
      <c r="X488" s="15"/>
      <c r="Y488" s="15"/>
      <c r="Z488" s="15"/>
      <c r="AA488" s="15"/>
      <c r="AB488" s="15"/>
      <c r="AC488" s="15"/>
      <c r="AD488" s="15"/>
      <c r="AE488" s="15"/>
      <c r="AF488" s="15"/>
      <c r="AG488" s="15"/>
      <c r="AH488" s="15"/>
      <c r="AI488" s="15"/>
      <c r="AJ488" s="15"/>
      <c r="AK488" s="15"/>
      <c r="AL488" s="15"/>
    </row>
    <row r="489" spans="2:38" x14ac:dyDescent="0.35">
      <c r="B489" s="15"/>
      <c r="C489" s="15"/>
      <c r="D489" s="15"/>
      <c r="E489" s="15"/>
      <c r="F489" s="15"/>
      <c r="G489" s="15"/>
      <c r="H489" s="15"/>
      <c r="I489" s="15"/>
      <c r="J489" s="15"/>
      <c r="K489" s="15"/>
      <c r="L489" s="15"/>
      <c r="M489" s="15"/>
      <c r="N489" s="15"/>
      <c r="O489" s="15"/>
      <c r="P489" s="15"/>
      <c r="Q489" s="15"/>
      <c r="R489" s="15"/>
      <c r="S489" s="15"/>
      <c r="T489" s="15"/>
      <c r="U489" s="15"/>
      <c r="V489" s="15"/>
      <c r="W489" s="15"/>
      <c r="X489" s="15"/>
      <c r="Y489" s="15"/>
      <c r="Z489" s="15"/>
      <c r="AA489" s="15"/>
      <c r="AB489" s="15"/>
      <c r="AC489" s="15"/>
      <c r="AD489" s="15"/>
      <c r="AE489" s="15"/>
      <c r="AF489" s="15"/>
      <c r="AG489" s="15"/>
      <c r="AH489" s="15"/>
      <c r="AI489" s="15"/>
      <c r="AJ489" s="15"/>
      <c r="AK489" s="15"/>
      <c r="AL489" s="15"/>
    </row>
    <row r="490" spans="2:38" x14ac:dyDescent="0.35">
      <c r="B490" s="15"/>
      <c r="C490" s="15"/>
      <c r="D490" s="15"/>
      <c r="E490" s="15"/>
      <c r="F490" s="15"/>
      <c r="G490" s="15"/>
      <c r="H490" s="15"/>
      <c r="I490" s="15"/>
      <c r="J490" s="15"/>
      <c r="K490" s="15"/>
      <c r="L490" s="15"/>
      <c r="M490" s="15"/>
      <c r="N490" s="15"/>
      <c r="O490" s="15"/>
      <c r="P490" s="15"/>
      <c r="Q490" s="15"/>
      <c r="R490" s="15"/>
      <c r="S490" s="15"/>
      <c r="T490" s="15"/>
      <c r="U490" s="15"/>
      <c r="V490" s="15"/>
      <c r="W490" s="15"/>
      <c r="X490" s="15"/>
      <c r="Y490" s="15"/>
      <c r="Z490" s="15"/>
      <c r="AA490" s="15"/>
      <c r="AB490" s="15"/>
      <c r="AC490" s="15"/>
      <c r="AD490" s="15"/>
      <c r="AE490" s="15"/>
      <c r="AF490" s="15"/>
      <c r="AG490" s="15"/>
      <c r="AH490" s="15"/>
      <c r="AI490" s="15"/>
      <c r="AJ490" s="15"/>
      <c r="AK490" s="15"/>
      <c r="AL490" s="15"/>
    </row>
    <row r="491" spans="2:38" x14ac:dyDescent="0.35">
      <c r="B491" s="15"/>
      <c r="C491" s="15"/>
      <c r="D491" s="15"/>
      <c r="E491" s="15"/>
      <c r="F491" s="15"/>
      <c r="G491" s="15"/>
      <c r="H491" s="15"/>
      <c r="I491" s="15"/>
      <c r="J491" s="15"/>
      <c r="K491" s="15"/>
      <c r="L491" s="15"/>
      <c r="M491" s="15"/>
      <c r="N491" s="15"/>
      <c r="O491" s="15"/>
      <c r="P491" s="15"/>
      <c r="Q491" s="15"/>
      <c r="R491" s="15"/>
      <c r="S491" s="15"/>
      <c r="T491" s="15"/>
      <c r="U491" s="15"/>
      <c r="V491" s="15"/>
      <c r="W491" s="15"/>
      <c r="X491" s="15"/>
      <c r="Y491" s="15"/>
      <c r="Z491" s="15"/>
      <c r="AA491" s="15"/>
      <c r="AB491" s="15"/>
      <c r="AC491" s="15"/>
      <c r="AD491" s="15"/>
      <c r="AE491" s="15"/>
      <c r="AF491" s="15"/>
      <c r="AG491" s="15"/>
      <c r="AH491" s="15"/>
      <c r="AI491" s="15"/>
      <c r="AJ491" s="15"/>
      <c r="AK491" s="15"/>
      <c r="AL491" s="15"/>
    </row>
    <row r="492" spans="2:38" x14ac:dyDescent="0.35">
      <c r="B492" s="15"/>
      <c r="C492" s="15"/>
      <c r="D492" s="15"/>
      <c r="E492" s="15"/>
      <c r="F492" s="15"/>
      <c r="G492" s="15"/>
      <c r="H492" s="15"/>
      <c r="I492" s="15"/>
      <c r="J492" s="15"/>
      <c r="K492" s="15"/>
      <c r="L492" s="15"/>
      <c r="M492" s="15"/>
      <c r="N492" s="15"/>
      <c r="O492" s="15"/>
      <c r="P492" s="15"/>
      <c r="Q492" s="15"/>
      <c r="R492" s="15"/>
      <c r="S492" s="15"/>
      <c r="T492" s="15"/>
      <c r="U492" s="15"/>
      <c r="V492" s="15"/>
      <c r="W492" s="15"/>
      <c r="X492" s="15"/>
      <c r="Y492" s="15"/>
      <c r="Z492" s="15"/>
      <c r="AA492" s="15"/>
      <c r="AB492" s="15"/>
      <c r="AC492" s="15"/>
      <c r="AD492" s="15"/>
      <c r="AE492" s="15"/>
      <c r="AF492" s="15"/>
      <c r="AG492" s="15"/>
      <c r="AH492" s="15"/>
      <c r="AI492" s="15"/>
      <c r="AJ492" s="15"/>
      <c r="AK492" s="15"/>
      <c r="AL492" s="15"/>
    </row>
    <row r="493" spans="2:38" x14ac:dyDescent="0.35">
      <c r="B493" s="15"/>
      <c r="C493" s="15"/>
      <c r="D493" s="15"/>
      <c r="E493" s="15"/>
      <c r="F493" s="15"/>
      <c r="G493" s="15"/>
      <c r="H493" s="15"/>
      <c r="I493" s="15"/>
      <c r="J493" s="15"/>
      <c r="K493" s="15"/>
      <c r="L493" s="15"/>
      <c r="M493" s="15"/>
      <c r="N493" s="15"/>
      <c r="O493" s="15"/>
      <c r="P493" s="15"/>
      <c r="Q493" s="15"/>
      <c r="R493" s="15"/>
      <c r="S493" s="15"/>
      <c r="T493" s="15"/>
      <c r="U493" s="15"/>
      <c r="V493" s="15"/>
      <c r="W493" s="15"/>
      <c r="X493" s="15"/>
      <c r="Y493" s="15"/>
      <c r="Z493" s="15"/>
      <c r="AA493" s="15"/>
      <c r="AB493" s="15"/>
      <c r="AC493" s="15"/>
      <c r="AD493" s="15"/>
      <c r="AE493" s="15"/>
      <c r="AF493" s="15"/>
      <c r="AG493" s="15"/>
      <c r="AH493" s="15"/>
      <c r="AI493" s="15"/>
      <c r="AJ493" s="15"/>
      <c r="AK493" s="15"/>
      <c r="AL493" s="15"/>
    </row>
    <row r="494" spans="2:38" x14ac:dyDescent="0.35">
      <c r="B494" s="15"/>
      <c r="C494" s="15"/>
      <c r="D494" s="15"/>
      <c r="E494" s="15"/>
      <c r="F494" s="15"/>
      <c r="G494" s="15"/>
      <c r="H494" s="15"/>
      <c r="I494" s="15"/>
      <c r="J494" s="15"/>
      <c r="K494" s="15"/>
      <c r="L494" s="15"/>
      <c r="M494" s="15"/>
      <c r="N494" s="15"/>
      <c r="O494" s="15"/>
      <c r="P494" s="15"/>
      <c r="Q494" s="15"/>
      <c r="R494" s="15"/>
      <c r="S494" s="15"/>
      <c r="T494" s="15"/>
      <c r="U494" s="15"/>
      <c r="V494" s="15"/>
      <c r="W494" s="15"/>
      <c r="X494" s="15"/>
      <c r="Y494" s="15"/>
      <c r="Z494" s="15"/>
      <c r="AA494" s="15"/>
      <c r="AB494" s="15"/>
      <c r="AC494" s="15"/>
      <c r="AD494" s="15"/>
      <c r="AE494" s="15"/>
      <c r="AF494" s="15"/>
      <c r="AG494" s="15"/>
      <c r="AH494" s="15"/>
      <c r="AI494" s="15"/>
      <c r="AJ494" s="15"/>
      <c r="AK494" s="15"/>
      <c r="AL494" s="15"/>
    </row>
    <row r="495" spans="2:38" x14ac:dyDescent="0.35">
      <c r="B495" s="15"/>
      <c r="C495" s="15"/>
      <c r="D495" s="15"/>
      <c r="E495" s="15"/>
      <c r="F495" s="15"/>
      <c r="G495" s="15"/>
      <c r="H495" s="15"/>
      <c r="I495" s="15"/>
      <c r="J495" s="15"/>
      <c r="K495" s="15"/>
      <c r="L495" s="15"/>
      <c r="M495" s="15"/>
      <c r="N495" s="15"/>
      <c r="O495" s="15"/>
      <c r="P495" s="15"/>
      <c r="Q495" s="15"/>
      <c r="R495" s="15"/>
      <c r="S495" s="15"/>
      <c r="T495" s="15"/>
      <c r="U495" s="15"/>
      <c r="V495" s="15"/>
      <c r="W495" s="15"/>
      <c r="X495" s="15"/>
      <c r="Y495" s="15"/>
      <c r="Z495" s="15"/>
      <c r="AA495" s="15"/>
      <c r="AB495" s="15"/>
      <c r="AC495" s="15"/>
      <c r="AD495" s="15"/>
      <c r="AE495" s="15"/>
      <c r="AF495" s="15"/>
      <c r="AG495" s="15"/>
      <c r="AH495" s="15"/>
      <c r="AI495" s="15"/>
      <c r="AJ495" s="15"/>
      <c r="AK495" s="15"/>
      <c r="AL495" s="15"/>
    </row>
    <row r="496" spans="2:38" x14ac:dyDescent="0.35">
      <c r="B496" s="15"/>
      <c r="C496" s="15"/>
      <c r="D496" s="15"/>
      <c r="E496" s="15"/>
      <c r="F496" s="15"/>
      <c r="G496" s="15"/>
      <c r="H496" s="15"/>
      <c r="I496" s="15"/>
      <c r="J496" s="15"/>
      <c r="K496" s="15"/>
      <c r="L496" s="15"/>
      <c r="M496" s="15"/>
      <c r="N496" s="15"/>
      <c r="O496" s="15"/>
      <c r="P496" s="15"/>
      <c r="Q496" s="15"/>
      <c r="R496" s="15"/>
      <c r="S496" s="15"/>
      <c r="T496" s="15"/>
      <c r="U496" s="15"/>
      <c r="V496" s="15"/>
      <c r="W496" s="15"/>
      <c r="X496" s="15"/>
      <c r="Y496" s="15"/>
      <c r="Z496" s="15"/>
      <c r="AA496" s="15"/>
      <c r="AB496" s="15"/>
      <c r="AC496" s="15"/>
      <c r="AD496" s="15"/>
      <c r="AE496" s="15"/>
      <c r="AF496" s="15"/>
      <c r="AG496" s="15"/>
      <c r="AH496" s="15"/>
      <c r="AI496" s="15"/>
      <c r="AJ496" s="15"/>
      <c r="AK496" s="15"/>
      <c r="AL496" s="15"/>
    </row>
    <row r="497" spans="2:38" x14ac:dyDescent="0.35">
      <c r="B497" s="15"/>
      <c r="C497" s="15"/>
      <c r="D497" s="15"/>
      <c r="E497" s="15"/>
      <c r="F497" s="15"/>
      <c r="G497" s="15"/>
      <c r="H497" s="15"/>
      <c r="I497" s="15"/>
      <c r="J497" s="15"/>
      <c r="K497" s="15"/>
      <c r="L497" s="15"/>
      <c r="M497" s="15"/>
      <c r="N497" s="15"/>
      <c r="O497" s="15"/>
      <c r="P497" s="15"/>
      <c r="Q497" s="15"/>
      <c r="R497" s="15"/>
      <c r="S497" s="15"/>
      <c r="T497" s="15"/>
      <c r="U497" s="15"/>
      <c r="V497" s="15"/>
      <c r="W497" s="15"/>
      <c r="X497" s="15"/>
      <c r="Y497" s="15"/>
      <c r="Z497" s="15"/>
      <c r="AA497" s="15"/>
      <c r="AB497" s="15"/>
      <c r="AC497" s="15"/>
      <c r="AD497" s="15"/>
      <c r="AE497" s="15"/>
      <c r="AF497" s="15"/>
      <c r="AG497" s="15"/>
      <c r="AH497" s="15"/>
      <c r="AI497" s="15"/>
      <c r="AJ497" s="15"/>
      <c r="AK497" s="15"/>
      <c r="AL497" s="15"/>
    </row>
    <row r="498" spans="2:38" x14ac:dyDescent="0.35">
      <c r="B498" s="15"/>
      <c r="C498" s="15"/>
      <c r="D498" s="15"/>
      <c r="E498" s="15"/>
      <c r="F498" s="15"/>
      <c r="G498" s="15"/>
      <c r="H498" s="15"/>
      <c r="I498" s="15"/>
      <c r="J498" s="15"/>
      <c r="K498" s="15"/>
      <c r="L498" s="15"/>
      <c r="M498" s="15"/>
      <c r="N498" s="15"/>
      <c r="O498" s="15"/>
      <c r="P498" s="15"/>
      <c r="Q498" s="15"/>
      <c r="R498" s="15"/>
      <c r="S498" s="15"/>
      <c r="T498" s="15"/>
      <c r="U498" s="15"/>
      <c r="V498" s="15"/>
      <c r="W498" s="15"/>
      <c r="X498" s="15"/>
      <c r="Y498" s="15"/>
      <c r="Z498" s="15"/>
      <c r="AA498" s="15"/>
      <c r="AB498" s="15"/>
      <c r="AC498" s="15"/>
      <c r="AD498" s="15"/>
      <c r="AE498" s="15"/>
      <c r="AF498" s="15"/>
      <c r="AG498" s="15"/>
      <c r="AH498" s="15"/>
      <c r="AI498" s="15"/>
      <c r="AJ498" s="15"/>
      <c r="AK498" s="15"/>
      <c r="AL498" s="15"/>
    </row>
    <row r="499" spans="2:38" x14ac:dyDescent="0.35">
      <c r="B499" s="15"/>
      <c r="C499" s="15"/>
      <c r="D499" s="15"/>
      <c r="E499" s="15"/>
      <c r="F499" s="15"/>
      <c r="G499" s="15"/>
      <c r="H499" s="15"/>
      <c r="I499" s="15"/>
      <c r="J499" s="15"/>
      <c r="K499" s="15"/>
      <c r="L499" s="15"/>
      <c r="M499" s="15"/>
      <c r="N499" s="15"/>
      <c r="O499" s="15"/>
      <c r="P499" s="15"/>
      <c r="Q499" s="15"/>
      <c r="R499" s="15"/>
      <c r="S499" s="15"/>
      <c r="T499" s="15"/>
      <c r="U499" s="15"/>
      <c r="V499" s="15"/>
      <c r="W499" s="15"/>
      <c r="X499" s="15"/>
      <c r="Y499" s="15"/>
      <c r="Z499" s="15"/>
      <c r="AA499" s="15"/>
      <c r="AB499" s="15"/>
      <c r="AC499" s="15"/>
      <c r="AD499" s="15"/>
      <c r="AE499" s="15"/>
      <c r="AF499" s="15"/>
      <c r="AG499" s="15"/>
      <c r="AH499" s="15"/>
      <c r="AI499" s="15"/>
      <c r="AJ499" s="15"/>
      <c r="AK499" s="15"/>
      <c r="AL499" s="15"/>
    </row>
    <row r="500" spans="2:38" x14ac:dyDescent="0.35">
      <c r="B500" s="15"/>
      <c r="C500" s="15"/>
      <c r="D500" s="15"/>
      <c r="E500" s="15"/>
      <c r="F500" s="15"/>
      <c r="G500" s="15"/>
      <c r="H500" s="15"/>
      <c r="I500" s="15"/>
      <c r="J500" s="15"/>
      <c r="K500" s="15"/>
      <c r="L500" s="15"/>
      <c r="M500" s="15"/>
      <c r="N500" s="15"/>
      <c r="O500" s="15"/>
      <c r="P500" s="15"/>
      <c r="Q500" s="15"/>
      <c r="R500" s="15"/>
      <c r="S500" s="15"/>
      <c r="T500" s="15"/>
      <c r="U500" s="15"/>
      <c r="V500" s="15"/>
      <c r="W500" s="15"/>
      <c r="X500" s="15"/>
      <c r="Y500" s="15"/>
      <c r="Z500" s="15"/>
      <c r="AA500" s="15"/>
      <c r="AB500" s="15"/>
      <c r="AC500" s="15"/>
      <c r="AD500" s="15"/>
      <c r="AE500" s="15"/>
      <c r="AF500" s="15"/>
      <c r="AG500" s="15"/>
      <c r="AH500" s="15"/>
      <c r="AI500" s="15"/>
      <c r="AJ500" s="15"/>
      <c r="AK500" s="15"/>
      <c r="AL500" s="15"/>
    </row>
    <row r="501" spans="2:38" x14ac:dyDescent="0.35">
      <c r="B501" s="15"/>
      <c r="C501" s="15"/>
      <c r="D501" s="15"/>
      <c r="E501" s="15"/>
      <c r="F501" s="15"/>
      <c r="G501" s="15"/>
      <c r="H501" s="15"/>
      <c r="I501" s="15"/>
      <c r="J501" s="15"/>
      <c r="K501" s="15"/>
      <c r="L501" s="15"/>
      <c r="M501" s="15"/>
      <c r="N501" s="15"/>
      <c r="O501" s="15"/>
      <c r="P501" s="15"/>
      <c r="Q501" s="15"/>
      <c r="R501" s="15"/>
      <c r="S501" s="15"/>
      <c r="T501" s="15"/>
      <c r="U501" s="15"/>
      <c r="V501" s="15"/>
      <c r="W501" s="15"/>
      <c r="X501" s="15"/>
      <c r="Y501" s="15"/>
      <c r="Z501" s="15"/>
      <c r="AA501" s="15"/>
      <c r="AB501" s="15"/>
      <c r="AC501" s="15"/>
      <c r="AD501" s="15"/>
      <c r="AE501" s="15"/>
      <c r="AF501" s="15"/>
      <c r="AG501" s="15"/>
      <c r="AH501" s="15"/>
      <c r="AI501" s="15"/>
      <c r="AJ501" s="15"/>
      <c r="AK501" s="15"/>
      <c r="AL501" s="15"/>
    </row>
    <row r="502" spans="2:38" x14ac:dyDescent="0.35">
      <c r="B502" s="15"/>
      <c r="C502" s="15"/>
      <c r="D502" s="15"/>
      <c r="E502" s="15"/>
      <c r="F502" s="15"/>
      <c r="G502" s="15"/>
      <c r="H502" s="15"/>
      <c r="I502" s="15"/>
      <c r="J502" s="15"/>
      <c r="K502" s="15"/>
      <c r="L502" s="15"/>
      <c r="M502" s="15"/>
      <c r="N502" s="15"/>
      <c r="O502" s="15"/>
      <c r="P502" s="15"/>
      <c r="Q502" s="15"/>
      <c r="R502" s="15"/>
      <c r="S502" s="15"/>
      <c r="T502" s="15"/>
      <c r="U502" s="15"/>
      <c r="V502" s="15"/>
      <c r="W502" s="15"/>
      <c r="X502" s="15"/>
      <c r="Y502" s="15"/>
      <c r="Z502" s="15"/>
      <c r="AA502" s="15"/>
      <c r="AB502" s="15"/>
      <c r="AC502" s="15"/>
      <c r="AD502" s="15"/>
      <c r="AE502" s="15"/>
      <c r="AF502" s="15"/>
      <c r="AG502" s="15"/>
      <c r="AH502" s="15"/>
      <c r="AI502" s="15"/>
      <c r="AJ502" s="15"/>
      <c r="AK502" s="15"/>
      <c r="AL502" s="15"/>
    </row>
    <row r="503" spans="2:38" x14ac:dyDescent="0.35">
      <c r="B503" s="15"/>
      <c r="C503" s="15"/>
      <c r="D503" s="15"/>
      <c r="E503" s="15"/>
      <c r="F503" s="15"/>
      <c r="G503" s="15"/>
      <c r="H503" s="15"/>
      <c r="I503" s="15"/>
      <c r="J503" s="15"/>
      <c r="K503" s="15"/>
      <c r="L503" s="15"/>
      <c r="M503" s="15"/>
      <c r="N503" s="15"/>
      <c r="O503" s="15"/>
      <c r="P503" s="15"/>
      <c r="Q503" s="15"/>
      <c r="R503" s="15"/>
      <c r="S503" s="15"/>
      <c r="T503" s="15"/>
      <c r="U503" s="15"/>
      <c r="V503" s="15"/>
      <c r="W503" s="15"/>
      <c r="X503" s="15"/>
      <c r="Y503" s="15"/>
      <c r="Z503" s="15"/>
      <c r="AA503" s="15"/>
      <c r="AB503" s="15"/>
      <c r="AC503" s="15"/>
      <c r="AD503" s="15"/>
      <c r="AE503" s="15"/>
      <c r="AF503" s="15"/>
      <c r="AG503" s="15"/>
      <c r="AH503" s="15"/>
      <c r="AI503" s="15"/>
      <c r="AJ503" s="15"/>
      <c r="AK503" s="15"/>
      <c r="AL503" s="15"/>
    </row>
    <row r="504" spans="2:38" x14ac:dyDescent="0.35">
      <c r="B504" s="15"/>
      <c r="C504" s="15"/>
      <c r="D504" s="15"/>
      <c r="E504" s="15"/>
      <c r="F504" s="15"/>
      <c r="G504" s="15"/>
      <c r="H504" s="15"/>
      <c r="I504" s="15"/>
      <c r="J504" s="15"/>
      <c r="K504" s="15"/>
      <c r="L504" s="15"/>
      <c r="M504" s="15"/>
      <c r="N504" s="15"/>
      <c r="O504" s="15"/>
      <c r="P504" s="15"/>
      <c r="Q504" s="15"/>
      <c r="R504" s="15"/>
      <c r="S504" s="15"/>
      <c r="T504" s="15"/>
      <c r="U504" s="15"/>
      <c r="V504" s="15"/>
      <c r="W504" s="15"/>
      <c r="X504" s="15"/>
      <c r="Y504" s="15"/>
      <c r="Z504" s="15"/>
      <c r="AA504" s="15"/>
      <c r="AB504" s="15"/>
      <c r="AC504" s="15"/>
      <c r="AD504" s="15"/>
      <c r="AE504" s="15"/>
      <c r="AF504" s="15"/>
      <c r="AG504" s="15"/>
      <c r="AH504" s="15"/>
      <c r="AI504" s="15"/>
      <c r="AJ504" s="15"/>
      <c r="AK504" s="15"/>
      <c r="AL504" s="15"/>
    </row>
    <row r="505" spans="2:38" x14ac:dyDescent="0.35">
      <c r="B505" s="15"/>
      <c r="C505" s="15"/>
      <c r="D505" s="15"/>
      <c r="E505" s="15"/>
      <c r="F505" s="15"/>
      <c r="G505" s="15"/>
      <c r="H505" s="15"/>
      <c r="I505" s="15"/>
      <c r="J505" s="15"/>
      <c r="K505" s="15"/>
      <c r="L505" s="15"/>
      <c r="M505" s="15"/>
      <c r="N505" s="15"/>
      <c r="O505" s="15"/>
      <c r="P505" s="15"/>
      <c r="Q505" s="15"/>
      <c r="R505" s="15"/>
      <c r="S505" s="15"/>
      <c r="T505" s="15"/>
      <c r="U505" s="15"/>
      <c r="V505" s="15"/>
      <c r="W505" s="15"/>
      <c r="X505" s="15"/>
      <c r="Y505" s="15"/>
      <c r="Z505" s="15"/>
      <c r="AA505" s="15"/>
      <c r="AB505" s="15"/>
      <c r="AC505" s="15"/>
      <c r="AD505" s="15"/>
      <c r="AE505" s="15"/>
      <c r="AF505" s="15"/>
      <c r="AG505" s="15"/>
      <c r="AH505" s="15"/>
      <c r="AI505" s="15"/>
      <c r="AJ505" s="15"/>
      <c r="AK505" s="15"/>
      <c r="AL505" s="15"/>
    </row>
    <row r="506" spans="2:38" x14ac:dyDescent="0.35">
      <c r="B506" s="15"/>
      <c r="C506" s="15"/>
      <c r="D506" s="15"/>
      <c r="E506" s="15"/>
      <c r="F506" s="15"/>
      <c r="G506" s="15"/>
      <c r="H506" s="15"/>
      <c r="I506" s="15"/>
      <c r="J506" s="15"/>
      <c r="K506" s="15"/>
      <c r="L506" s="15"/>
      <c r="M506" s="15"/>
      <c r="N506" s="15"/>
      <c r="O506" s="15"/>
      <c r="P506" s="15"/>
      <c r="Q506" s="15"/>
      <c r="R506" s="15"/>
      <c r="S506" s="15"/>
      <c r="T506" s="15"/>
      <c r="U506" s="15"/>
      <c r="V506" s="15"/>
      <c r="W506" s="15"/>
      <c r="X506" s="15"/>
      <c r="Y506" s="15"/>
      <c r="Z506" s="15"/>
      <c r="AA506" s="15"/>
      <c r="AB506" s="15"/>
      <c r="AC506" s="15"/>
      <c r="AD506" s="15"/>
      <c r="AE506" s="15"/>
      <c r="AF506" s="15"/>
      <c r="AG506" s="15"/>
      <c r="AH506" s="15"/>
      <c r="AI506" s="15"/>
      <c r="AJ506" s="15"/>
      <c r="AK506" s="15"/>
      <c r="AL506" s="15"/>
    </row>
    <row r="507" spans="2:38" x14ac:dyDescent="0.35">
      <c r="B507" s="15"/>
      <c r="C507" s="15"/>
      <c r="D507" s="15"/>
      <c r="E507" s="15"/>
      <c r="F507" s="15"/>
      <c r="G507" s="15"/>
      <c r="H507" s="15"/>
      <c r="I507" s="15"/>
      <c r="J507" s="15"/>
      <c r="K507" s="15"/>
      <c r="L507" s="15"/>
      <c r="M507" s="15"/>
      <c r="N507" s="15"/>
      <c r="O507" s="15"/>
      <c r="P507" s="15"/>
      <c r="Q507" s="15"/>
      <c r="R507" s="15"/>
      <c r="S507" s="15"/>
      <c r="T507" s="15"/>
      <c r="U507" s="15"/>
      <c r="V507" s="15"/>
      <c r="W507" s="15"/>
      <c r="X507" s="15"/>
      <c r="Y507" s="15"/>
      <c r="Z507" s="15"/>
      <c r="AA507" s="15"/>
      <c r="AB507" s="15"/>
      <c r="AC507" s="15"/>
      <c r="AD507" s="15"/>
      <c r="AE507" s="15"/>
      <c r="AF507" s="15"/>
      <c r="AG507" s="15"/>
      <c r="AH507" s="15"/>
      <c r="AI507" s="15"/>
      <c r="AJ507" s="15"/>
      <c r="AK507" s="15"/>
      <c r="AL507" s="15"/>
    </row>
    <row r="508" spans="2:38" x14ac:dyDescent="0.35">
      <c r="B508" s="15"/>
      <c r="C508" s="15"/>
      <c r="D508" s="15"/>
      <c r="E508" s="15"/>
      <c r="F508" s="15"/>
      <c r="G508" s="15"/>
      <c r="H508" s="15"/>
      <c r="I508" s="15"/>
      <c r="J508" s="15"/>
      <c r="K508" s="15"/>
      <c r="L508" s="15"/>
      <c r="M508" s="15"/>
      <c r="N508" s="15"/>
      <c r="O508" s="15"/>
      <c r="P508" s="15"/>
      <c r="Q508" s="15"/>
      <c r="R508" s="15"/>
      <c r="S508" s="15"/>
      <c r="T508" s="15"/>
      <c r="U508" s="15"/>
      <c r="V508" s="15"/>
      <c r="W508" s="15"/>
      <c r="X508" s="15"/>
      <c r="Y508" s="15"/>
      <c r="Z508" s="15"/>
      <c r="AA508" s="15"/>
      <c r="AB508" s="15"/>
      <c r="AC508" s="15"/>
      <c r="AD508" s="15"/>
      <c r="AE508" s="15"/>
      <c r="AF508" s="15"/>
      <c r="AG508" s="15"/>
      <c r="AH508" s="15"/>
      <c r="AI508" s="15"/>
      <c r="AJ508" s="15"/>
      <c r="AK508" s="15"/>
      <c r="AL508" s="15"/>
    </row>
    <row r="509" spans="2:38" x14ac:dyDescent="0.35">
      <c r="B509" s="15"/>
      <c r="C509" s="15"/>
      <c r="D509" s="15"/>
      <c r="E509" s="15"/>
      <c r="F509" s="15"/>
      <c r="G509" s="15"/>
      <c r="H509" s="15"/>
      <c r="I509" s="15"/>
      <c r="J509" s="15"/>
      <c r="K509" s="15"/>
      <c r="L509" s="15"/>
      <c r="M509" s="15"/>
      <c r="N509" s="15"/>
      <c r="O509" s="15"/>
      <c r="P509" s="15"/>
      <c r="Q509" s="15"/>
      <c r="R509" s="15"/>
      <c r="S509" s="15"/>
      <c r="T509" s="15"/>
      <c r="U509" s="15"/>
      <c r="V509" s="15"/>
      <c r="W509" s="15"/>
      <c r="X509" s="15"/>
      <c r="Y509" s="15"/>
      <c r="Z509" s="15"/>
      <c r="AA509" s="15"/>
      <c r="AB509" s="15"/>
      <c r="AC509" s="15"/>
      <c r="AD509" s="15"/>
      <c r="AE509" s="15"/>
      <c r="AF509" s="15"/>
      <c r="AG509" s="15"/>
      <c r="AH509" s="15"/>
      <c r="AI509" s="15"/>
      <c r="AJ509" s="15"/>
      <c r="AK509" s="15"/>
      <c r="AL509" s="15"/>
    </row>
    <row r="510" spans="2:38" x14ac:dyDescent="0.35">
      <c r="B510" s="15"/>
      <c r="C510" s="15"/>
      <c r="D510" s="15"/>
      <c r="E510" s="15"/>
      <c r="F510" s="15"/>
      <c r="G510" s="15"/>
      <c r="H510" s="15"/>
      <c r="I510" s="15"/>
      <c r="J510" s="15"/>
      <c r="K510" s="15"/>
      <c r="L510" s="15"/>
      <c r="M510" s="15"/>
      <c r="N510" s="15"/>
      <c r="O510" s="15"/>
      <c r="P510" s="15"/>
      <c r="Q510" s="15"/>
      <c r="R510" s="15"/>
      <c r="S510" s="15"/>
      <c r="T510" s="15"/>
      <c r="U510" s="15"/>
      <c r="V510" s="15"/>
      <c r="W510" s="15"/>
      <c r="X510" s="15"/>
      <c r="Y510" s="15"/>
      <c r="Z510" s="15"/>
      <c r="AA510" s="15"/>
      <c r="AB510" s="15"/>
      <c r="AC510" s="15"/>
      <c r="AD510" s="15"/>
      <c r="AE510" s="15"/>
      <c r="AF510" s="15"/>
      <c r="AG510" s="15"/>
      <c r="AH510" s="15"/>
      <c r="AI510" s="15"/>
      <c r="AJ510" s="15"/>
      <c r="AK510" s="15"/>
      <c r="AL510" s="15"/>
    </row>
    <row r="511" spans="2:38" x14ac:dyDescent="0.35">
      <c r="B511" s="15"/>
      <c r="C511" s="15"/>
      <c r="D511" s="15"/>
      <c r="E511" s="15"/>
      <c r="F511" s="15"/>
      <c r="G511" s="15"/>
      <c r="H511" s="15"/>
      <c r="I511" s="15"/>
      <c r="J511" s="15"/>
      <c r="K511" s="15"/>
      <c r="L511" s="15"/>
      <c r="M511" s="15"/>
      <c r="N511" s="15"/>
      <c r="O511" s="15"/>
      <c r="P511" s="15"/>
      <c r="Q511" s="15"/>
      <c r="R511" s="15"/>
      <c r="S511" s="15"/>
      <c r="T511" s="15"/>
      <c r="U511" s="15"/>
      <c r="V511" s="15"/>
      <c r="W511" s="15"/>
      <c r="X511" s="15"/>
      <c r="Y511" s="15"/>
      <c r="Z511" s="15"/>
      <c r="AA511" s="15"/>
      <c r="AB511" s="15"/>
      <c r="AC511" s="15"/>
      <c r="AD511" s="15"/>
      <c r="AE511" s="15"/>
      <c r="AF511" s="15"/>
      <c r="AG511" s="15"/>
      <c r="AH511" s="15"/>
      <c r="AI511" s="15"/>
      <c r="AJ511" s="15"/>
      <c r="AK511" s="15"/>
      <c r="AL511" s="15"/>
    </row>
    <row r="512" spans="2:38" x14ac:dyDescent="0.35">
      <c r="B512" s="15"/>
      <c r="C512" s="15"/>
      <c r="D512" s="15"/>
      <c r="E512" s="15"/>
      <c r="F512" s="15"/>
      <c r="G512" s="15"/>
      <c r="H512" s="15"/>
      <c r="I512" s="15"/>
      <c r="J512" s="15"/>
      <c r="K512" s="15"/>
      <c r="L512" s="15"/>
      <c r="M512" s="15"/>
      <c r="N512" s="15"/>
      <c r="O512" s="15"/>
      <c r="P512" s="15"/>
      <c r="Q512" s="15"/>
      <c r="R512" s="15"/>
      <c r="S512" s="15"/>
      <c r="T512" s="15"/>
      <c r="U512" s="15"/>
      <c r="V512" s="15"/>
      <c r="W512" s="15"/>
      <c r="X512" s="15"/>
      <c r="Y512" s="15"/>
      <c r="Z512" s="15"/>
      <c r="AA512" s="15"/>
      <c r="AB512" s="15"/>
      <c r="AC512" s="15"/>
      <c r="AD512" s="15"/>
      <c r="AE512" s="15"/>
      <c r="AF512" s="15"/>
      <c r="AG512" s="15"/>
      <c r="AH512" s="15"/>
      <c r="AI512" s="15"/>
      <c r="AJ512" s="15"/>
      <c r="AK512" s="15"/>
      <c r="AL512" s="15"/>
    </row>
    <row r="513" spans="2:38" x14ac:dyDescent="0.35">
      <c r="B513" s="15"/>
      <c r="C513" s="15"/>
      <c r="D513" s="15"/>
      <c r="E513" s="15"/>
      <c r="F513" s="15"/>
      <c r="G513" s="15"/>
      <c r="H513" s="15"/>
      <c r="I513" s="15"/>
      <c r="J513" s="15"/>
      <c r="K513" s="15"/>
      <c r="L513" s="15"/>
      <c r="M513" s="15"/>
      <c r="N513" s="15"/>
      <c r="O513" s="15"/>
      <c r="P513" s="15"/>
      <c r="Q513" s="15"/>
      <c r="R513" s="15"/>
      <c r="S513" s="15"/>
      <c r="T513" s="15"/>
      <c r="U513" s="15"/>
      <c r="V513" s="15"/>
      <c r="W513" s="15"/>
      <c r="X513" s="15"/>
      <c r="Y513" s="15"/>
      <c r="Z513" s="15"/>
      <c r="AA513" s="15"/>
      <c r="AB513" s="15"/>
      <c r="AC513" s="15"/>
      <c r="AD513" s="15"/>
      <c r="AE513" s="15"/>
      <c r="AF513" s="15"/>
      <c r="AG513" s="15"/>
      <c r="AH513" s="15"/>
      <c r="AI513" s="15"/>
      <c r="AJ513" s="15"/>
      <c r="AK513" s="15"/>
      <c r="AL513" s="15"/>
    </row>
    <row r="514" spans="2:38" x14ac:dyDescent="0.35">
      <c r="B514" s="15"/>
      <c r="C514" s="15"/>
      <c r="D514" s="15"/>
      <c r="E514" s="15"/>
      <c r="F514" s="15"/>
      <c r="G514" s="15"/>
      <c r="H514" s="15"/>
      <c r="I514" s="15"/>
      <c r="J514" s="15"/>
      <c r="K514" s="15"/>
      <c r="L514" s="15"/>
      <c r="M514" s="15"/>
      <c r="N514" s="15"/>
      <c r="O514" s="15"/>
      <c r="P514" s="15"/>
      <c r="Q514" s="15"/>
      <c r="R514" s="15"/>
      <c r="S514" s="15"/>
      <c r="T514" s="15"/>
      <c r="U514" s="15"/>
      <c r="V514" s="15"/>
      <c r="W514" s="15"/>
      <c r="X514" s="15"/>
      <c r="Y514" s="15"/>
      <c r="Z514" s="15"/>
      <c r="AA514" s="15"/>
      <c r="AB514" s="15"/>
      <c r="AC514" s="15"/>
      <c r="AD514" s="15"/>
      <c r="AE514" s="15"/>
      <c r="AF514" s="15"/>
      <c r="AG514" s="15"/>
      <c r="AH514" s="15"/>
      <c r="AI514" s="15"/>
      <c r="AJ514" s="15"/>
      <c r="AK514" s="15"/>
      <c r="AL514" s="15"/>
    </row>
    <row r="515" spans="2:38" x14ac:dyDescent="0.35">
      <c r="B515" s="15"/>
      <c r="C515" s="15"/>
      <c r="D515" s="15"/>
      <c r="E515" s="15"/>
      <c r="F515" s="15"/>
      <c r="G515" s="15"/>
      <c r="H515" s="15"/>
      <c r="I515" s="15"/>
      <c r="J515" s="15"/>
      <c r="K515" s="15"/>
      <c r="L515" s="15"/>
      <c r="M515" s="15"/>
      <c r="N515" s="15"/>
      <c r="O515" s="15"/>
      <c r="P515" s="15"/>
      <c r="Q515" s="15"/>
      <c r="R515" s="15"/>
      <c r="S515" s="15"/>
      <c r="T515" s="15"/>
      <c r="U515" s="15"/>
      <c r="V515" s="15"/>
      <c r="W515" s="15"/>
      <c r="X515" s="15"/>
      <c r="Y515" s="15"/>
      <c r="Z515" s="15"/>
      <c r="AA515" s="15"/>
      <c r="AB515" s="15"/>
      <c r="AC515" s="15"/>
      <c r="AD515" s="15"/>
      <c r="AE515" s="15"/>
      <c r="AF515" s="15"/>
      <c r="AG515" s="15"/>
      <c r="AH515" s="15"/>
      <c r="AI515" s="15"/>
      <c r="AJ515" s="15"/>
      <c r="AK515" s="15"/>
      <c r="AL515" s="15"/>
    </row>
    <row r="516" spans="2:38" x14ac:dyDescent="0.35">
      <c r="B516" s="15"/>
      <c r="C516" s="15"/>
      <c r="D516" s="15"/>
      <c r="E516" s="15"/>
      <c r="F516" s="15"/>
      <c r="G516" s="15"/>
      <c r="H516" s="15"/>
      <c r="I516" s="15"/>
      <c r="J516" s="15"/>
      <c r="K516" s="15"/>
      <c r="L516" s="15"/>
      <c r="M516" s="15"/>
      <c r="N516" s="15"/>
      <c r="O516" s="15"/>
      <c r="P516" s="15"/>
      <c r="Q516" s="15"/>
      <c r="R516" s="15"/>
      <c r="S516" s="15"/>
      <c r="T516" s="15"/>
      <c r="U516" s="15"/>
      <c r="V516" s="15"/>
      <c r="W516" s="15"/>
      <c r="X516" s="15"/>
      <c r="Y516" s="15"/>
      <c r="Z516" s="15"/>
      <c r="AA516" s="15"/>
      <c r="AB516" s="15"/>
      <c r="AC516" s="15"/>
      <c r="AD516" s="15"/>
      <c r="AE516" s="15"/>
      <c r="AF516" s="15"/>
      <c r="AG516" s="15"/>
      <c r="AH516" s="15"/>
      <c r="AI516" s="15"/>
      <c r="AJ516" s="15"/>
      <c r="AK516" s="15"/>
      <c r="AL516" s="15"/>
    </row>
    <row r="517" spans="2:38" x14ac:dyDescent="0.35">
      <c r="B517" s="15"/>
      <c r="C517" s="15"/>
      <c r="D517" s="15"/>
      <c r="E517" s="15"/>
      <c r="F517" s="15"/>
      <c r="G517" s="15"/>
      <c r="H517" s="15"/>
      <c r="I517" s="15"/>
      <c r="J517" s="15"/>
      <c r="K517" s="15"/>
      <c r="L517" s="15"/>
      <c r="M517" s="15"/>
      <c r="N517" s="15"/>
      <c r="O517" s="15"/>
      <c r="P517" s="15"/>
      <c r="Q517" s="15"/>
      <c r="R517" s="15"/>
      <c r="S517" s="15"/>
      <c r="T517" s="15"/>
      <c r="U517" s="15"/>
      <c r="V517" s="15"/>
      <c r="W517" s="15"/>
      <c r="X517" s="15"/>
      <c r="Y517" s="15"/>
      <c r="Z517" s="15"/>
      <c r="AA517" s="15"/>
      <c r="AB517" s="15"/>
      <c r="AC517" s="15"/>
      <c r="AD517" s="15"/>
      <c r="AE517" s="15"/>
      <c r="AF517" s="15"/>
      <c r="AG517" s="15"/>
      <c r="AH517" s="15"/>
      <c r="AI517" s="15"/>
      <c r="AJ517" s="15"/>
      <c r="AK517" s="15"/>
      <c r="AL517" s="15"/>
    </row>
    <row r="518" spans="2:38" x14ac:dyDescent="0.35">
      <c r="B518" s="15"/>
      <c r="C518" s="15"/>
      <c r="D518" s="15"/>
      <c r="E518" s="15"/>
      <c r="F518" s="15"/>
      <c r="G518" s="15"/>
      <c r="H518" s="15"/>
      <c r="I518" s="15"/>
      <c r="J518" s="15"/>
      <c r="K518" s="15"/>
      <c r="L518" s="15"/>
      <c r="M518" s="15"/>
      <c r="N518" s="15"/>
      <c r="O518" s="15"/>
      <c r="P518" s="15"/>
      <c r="Q518" s="15"/>
      <c r="R518" s="15"/>
      <c r="S518" s="15"/>
      <c r="T518" s="15"/>
      <c r="U518" s="15"/>
      <c r="V518" s="15"/>
      <c r="W518" s="15"/>
      <c r="X518" s="15"/>
      <c r="Y518" s="15"/>
      <c r="Z518" s="15"/>
      <c r="AA518" s="15"/>
      <c r="AB518" s="15"/>
      <c r="AC518" s="15"/>
      <c r="AD518" s="15"/>
      <c r="AE518" s="15"/>
      <c r="AF518" s="15"/>
      <c r="AG518" s="15"/>
      <c r="AH518" s="15"/>
      <c r="AI518" s="15"/>
      <c r="AJ518" s="15"/>
      <c r="AK518" s="15"/>
      <c r="AL518" s="15"/>
    </row>
    <row r="519" spans="2:38" x14ac:dyDescent="0.35">
      <c r="B519" s="15"/>
      <c r="C519" s="15"/>
      <c r="D519" s="15"/>
      <c r="E519" s="15"/>
      <c r="F519" s="15"/>
      <c r="G519" s="15"/>
      <c r="H519" s="15"/>
      <c r="I519" s="15"/>
      <c r="J519" s="15"/>
      <c r="K519" s="15"/>
      <c r="L519" s="15"/>
      <c r="M519" s="15"/>
      <c r="N519" s="15"/>
      <c r="O519" s="15"/>
      <c r="P519" s="15"/>
      <c r="Q519" s="15"/>
      <c r="R519" s="15"/>
      <c r="S519" s="15"/>
      <c r="T519" s="15"/>
      <c r="U519" s="15"/>
      <c r="V519" s="15"/>
      <c r="W519" s="15"/>
      <c r="X519" s="15"/>
      <c r="Y519" s="15"/>
      <c r="Z519" s="15"/>
      <c r="AA519" s="15"/>
      <c r="AB519" s="15"/>
      <c r="AC519" s="15"/>
      <c r="AD519" s="15"/>
      <c r="AE519" s="15"/>
      <c r="AF519" s="15"/>
      <c r="AG519" s="15"/>
      <c r="AH519" s="15"/>
      <c r="AI519" s="15"/>
      <c r="AJ519" s="15"/>
      <c r="AK519" s="15"/>
      <c r="AL519" s="15"/>
    </row>
    <row r="520" spans="2:38" x14ac:dyDescent="0.35">
      <c r="B520" s="15"/>
      <c r="C520" s="15"/>
      <c r="D520" s="15"/>
      <c r="E520" s="15"/>
      <c r="F520" s="15"/>
      <c r="G520" s="15"/>
      <c r="H520" s="15"/>
      <c r="I520" s="15"/>
      <c r="J520" s="15"/>
      <c r="K520" s="15"/>
      <c r="L520" s="15"/>
      <c r="M520" s="15"/>
      <c r="N520" s="15"/>
      <c r="O520" s="15"/>
      <c r="P520" s="15"/>
      <c r="Q520" s="15"/>
      <c r="R520" s="15"/>
      <c r="S520" s="15"/>
      <c r="T520" s="15"/>
      <c r="U520" s="15"/>
      <c r="V520" s="15"/>
      <c r="W520" s="15"/>
      <c r="X520" s="15"/>
      <c r="Y520" s="15"/>
      <c r="Z520" s="15"/>
      <c r="AA520" s="15"/>
      <c r="AB520" s="15"/>
      <c r="AC520" s="15"/>
      <c r="AD520" s="15"/>
      <c r="AE520" s="15"/>
      <c r="AF520" s="15"/>
      <c r="AG520" s="15"/>
      <c r="AH520" s="15"/>
      <c r="AI520" s="15"/>
      <c r="AJ520" s="15"/>
      <c r="AK520" s="15"/>
      <c r="AL520" s="15"/>
    </row>
    <row r="521" spans="2:38" x14ac:dyDescent="0.35">
      <c r="B521" s="15"/>
      <c r="C521" s="15"/>
      <c r="D521" s="15"/>
      <c r="E521" s="15"/>
      <c r="F521" s="15"/>
      <c r="G521" s="15"/>
      <c r="H521" s="15"/>
      <c r="I521" s="15"/>
      <c r="J521" s="15"/>
      <c r="K521" s="15"/>
      <c r="L521" s="15"/>
      <c r="M521" s="15"/>
      <c r="N521" s="15"/>
      <c r="O521" s="15"/>
      <c r="P521" s="15"/>
      <c r="Q521" s="15"/>
      <c r="R521" s="15"/>
      <c r="S521" s="15"/>
      <c r="T521" s="15"/>
      <c r="U521" s="15"/>
      <c r="V521" s="15"/>
      <c r="W521" s="15"/>
      <c r="X521" s="15"/>
      <c r="Y521" s="15"/>
      <c r="Z521" s="15"/>
      <c r="AA521" s="15"/>
      <c r="AB521" s="15"/>
      <c r="AC521" s="15"/>
      <c r="AD521" s="15"/>
      <c r="AE521" s="15"/>
      <c r="AF521" s="15"/>
      <c r="AG521" s="15"/>
      <c r="AH521" s="15"/>
      <c r="AI521" s="15"/>
      <c r="AJ521" s="15"/>
      <c r="AK521" s="15"/>
      <c r="AL521" s="15"/>
    </row>
    <row r="522" spans="2:38" x14ac:dyDescent="0.35">
      <c r="B522" s="15"/>
      <c r="C522" s="15"/>
      <c r="D522" s="15"/>
      <c r="E522" s="15"/>
      <c r="F522" s="15"/>
      <c r="G522" s="15"/>
      <c r="H522" s="15"/>
      <c r="I522" s="15"/>
      <c r="J522" s="15"/>
      <c r="K522" s="15"/>
      <c r="L522" s="15"/>
      <c r="M522" s="15"/>
      <c r="N522" s="15"/>
      <c r="O522" s="15"/>
      <c r="P522" s="15"/>
      <c r="Q522" s="15"/>
      <c r="R522" s="15"/>
      <c r="S522" s="15"/>
      <c r="T522" s="15"/>
      <c r="U522" s="15"/>
      <c r="V522" s="15"/>
      <c r="W522" s="15"/>
      <c r="X522" s="15"/>
      <c r="Y522" s="15"/>
      <c r="Z522" s="15"/>
      <c r="AA522" s="15"/>
      <c r="AB522" s="15"/>
      <c r="AC522" s="15"/>
      <c r="AD522" s="15"/>
      <c r="AE522" s="15"/>
      <c r="AF522" s="15"/>
      <c r="AG522" s="15"/>
      <c r="AH522" s="15"/>
      <c r="AI522" s="15"/>
      <c r="AJ522" s="15"/>
      <c r="AK522" s="15"/>
      <c r="AL522" s="15"/>
    </row>
    <row r="523" spans="2:38" x14ac:dyDescent="0.35">
      <c r="B523" s="15"/>
      <c r="C523" s="15"/>
      <c r="D523" s="15"/>
      <c r="E523" s="15"/>
      <c r="F523" s="15"/>
      <c r="G523" s="15"/>
      <c r="H523" s="15"/>
      <c r="I523" s="15"/>
      <c r="J523" s="15"/>
      <c r="K523" s="15"/>
      <c r="L523" s="15"/>
      <c r="M523" s="15"/>
      <c r="N523" s="15"/>
      <c r="O523" s="15"/>
      <c r="P523" s="15"/>
      <c r="Q523" s="15"/>
      <c r="R523" s="15"/>
      <c r="S523" s="15"/>
      <c r="T523" s="15"/>
      <c r="U523" s="15"/>
      <c r="V523" s="15"/>
      <c r="W523" s="15"/>
      <c r="X523" s="15"/>
      <c r="Y523" s="15"/>
      <c r="Z523" s="15"/>
      <c r="AA523" s="15"/>
      <c r="AB523" s="15"/>
      <c r="AC523" s="15"/>
      <c r="AD523" s="15"/>
      <c r="AE523" s="15"/>
      <c r="AF523" s="15"/>
      <c r="AG523" s="15"/>
      <c r="AH523" s="15"/>
      <c r="AI523" s="15"/>
      <c r="AJ523" s="15"/>
      <c r="AK523" s="15"/>
      <c r="AL523" s="15"/>
    </row>
    <row r="524" spans="2:38" x14ac:dyDescent="0.35">
      <c r="B524" s="15"/>
      <c r="C524" s="15"/>
      <c r="D524" s="15"/>
      <c r="E524" s="15"/>
      <c r="F524" s="15"/>
      <c r="G524" s="15"/>
      <c r="H524" s="15"/>
      <c r="I524" s="15"/>
      <c r="J524" s="15"/>
      <c r="K524" s="15"/>
      <c r="L524" s="15"/>
      <c r="M524" s="15"/>
      <c r="N524" s="15"/>
      <c r="O524" s="15"/>
      <c r="P524" s="15"/>
      <c r="Q524" s="15"/>
      <c r="R524" s="15"/>
      <c r="S524" s="15"/>
      <c r="T524" s="15"/>
      <c r="U524" s="15"/>
      <c r="V524" s="15"/>
      <c r="W524" s="15"/>
      <c r="X524" s="15"/>
      <c r="Y524" s="15"/>
      <c r="Z524" s="15"/>
      <c r="AA524" s="15"/>
      <c r="AB524" s="15"/>
      <c r="AC524" s="15"/>
      <c r="AD524" s="15"/>
      <c r="AE524" s="15"/>
      <c r="AF524" s="15"/>
      <c r="AG524" s="15"/>
      <c r="AH524" s="15"/>
      <c r="AI524" s="15"/>
      <c r="AJ524" s="15"/>
      <c r="AK524" s="15"/>
      <c r="AL524" s="15"/>
    </row>
    <row r="525" spans="2:38" x14ac:dyDescent="0.35">
      <c r="B525" s="15"/>
      <c r="C525" s="15"/>
      <c r="D525" s="15"/>
      <c r="E525" s="15"/>
      <c r="F525" s="15"/>
      <c r="G525" s="15"/>
      <c r="H525" s="15"/>
      <c r="I525" s="15"/>
      <c r="J525" s="15"/>
      <c r="K525" s="15"/>
      <c r="L525" s="15"/>
      <c r="M525" s="15"/>
      <c r="N525" s="15"/>
      <c r="O525" s="15"/>
      <c r="P525" s="15"/>
      <c r="Q525" s="15"/>
      <c r="R525" s="15"/>
      <c r="S525" s="15"/>
      <c r="T525" s="15"/>
      <c r="U525" s="15"/>
      <c r="V525" s="15"/>
      <c r="W525" s="15"/>
      <c r="X525" s="15"/>
      <c r="Y525" s="15"/>
      <c r="Z525" s="15"/>
      <c r="AA525" s="15"/>
      <c r="AB525" s="15"/>
      <c r="AC525" s="15"/>
      <c r="AD525" s="15"/>
      <c r="AE525" s="15"/>
      <c r="AF525" s="15"/>
      <c r="AG525" s="15"/>
      <c r="AH525" s="15"/>
      <c r="AI525" s="15"/>
      <c r="AJ525" s="15"/>
      <c r="AK525" s="15"/>
      <c r="AL525" s="15"/>
    </row>
    <row r="526" spans="2:38" x14ac:dyDescent="0.35">
      <c r="B526" s="15"/>
      <c r="C526" s="15"/>
      <c r="D526" s="15"/>
      <c r="E526" s="15"/>
      <c r="F526" s="15"/>
      <c r="G526" s="15"/>
      <c r="H526" s="15"/>
      <c r="I526" s="15"/>
      <c r="J526" s="15"/>
      <c r="K526" s="15"/>
      <c r="L526" s="15"/>
      <c r="M526" s="15"/>
      <c r="N526" s="15"/>
      <c r="O526" s="15"/>
      <c r="P526" s="15"/>
      <c r="Q526" s="15"/>
      <c r="R526" s="15"/>
      <c r="S526" s="15"/>
      <c r="T526" s="15"/>
      <c r="U526" s="15"/>
      <c r="V526" s="15"/>
      <c r="W526" s="15"/>
      <c r="X526" s="15"/>
      <c r="Y526" s="15"/>
      <c r="Z526" s="15"/>
      <c r="AA526" s="15"/>
      <c r="AB526" s="15"/>
      <c r="AC526" s="15"/>
      <c r="AD526" s="15"/>
      <c r="AE526" s="15"/>
      <c r="AF526" s="15"/>
      <c r="AG526" s="15"/>
      <c r="AH526" s="15"/>
      <c r="AI526" s="15"/>
      <c r="AJ526" s="15"/>
      <c r="AK526" s="15"/>
      <c r="AL526" s="15"/>
    </row>
    <row r="527" spans="2:38" x14ac:dyDescent="0.35">
      <c r="B527" s="15"/>
      <c r="C527" s="15"/>
      <c r="D527" s="15"/>
      <c r="E527" s="15"/>
      <c r="F527" s="15"/>
      <c r="G527" s="15"/>
      <c r="H527" s="15"/>
      <c r="I527" s="15"/>
      <c r="J527" s="15"/>
      <c r="K527" s="15"/>
      <c r="L527" s="15"/>
      <c r="M527" s="15"/>
      <c r="N527" s="15"/>
      <c r="O527" s="15"/>
      <c r="P527" s="15"/>
      <c r="Q527" s="15"/>
      <c r="R527" s="15"/>
      <c r="S527" s="15"/>
      <c r="T527" s="15"/>
      <c r="U527" s="15"/>
      <c r="V527" s="15"/>
      <c r="W527" s="15"/>
      <c r="X527" s="15"/>
      <c r="Y527" s="15"/>
      <c r="Z527" s="15"/>
      <c r="AA527" s="15"/>
      <c r="AB527" s="15"/>
      <c r="AC527" s="15"/>
      <c r="AD527" s="15"/>
      <c r="AE527" s="15"/>
      <c r="AF527" s="15"/>
      <c r="AG527" s="15"/>
      <c r="AH527" s="15"/>
      <c r="AI527" s="15"/>
      <c r="AJ527" s="15"/>
      <c r="AK527" s="15"/>
      <c r="AL527" s="15"/>
    </row>
    <row r="528" spans="2:38" x14ac:dyDescent="0.35">
      <c r="B528" s="15"/>
      <c r="C528" s="15"/>
      <c r="D528" s="15"/>
      <c r="E528" s="15"/>
      <c r="F528" s="15"/>
      <c r="G528" s="15"/>
      <c r="H528" s="15"/>
      <c r="I528" s="15"/>
      <c r="J528" s="15"/>
      <c r="K528" s="15"/>
      <c r="L528" s="15"/>
      <c r="M528" s="15"/>
      <c r="N528" s="15"/>
      <c r="O528" s="15"/>
      <c r="P528" s="15"/>
      <c r="Q528" s="15"/>
      <c r="R528" s="15"/>
      <c r="S528" s="15"/>
      <c r="T528" s="15"/>
      <c r="U528" s="15"/>
      <c r="V528" s="15"/>
      <c r="W528" s="15"/>
      <c r="X528" s="15"/>
      <c r="Y528" s="15"/>
      <c r="Z528" s="15"/>
      <c r="AA528" s="15"/>
      <c r="AB528" s="15"/>
      <c r="AC528" s="15"/>
      <c r="AD528" s="15"/>
      <c r="AE528" s="15"/>
      <c r="AF528" s="15"/>
      <c r="AG528" s="15"/>
      <c r="AH528" s="15"/>
      <c r="AI528" s="15"/>
      <c r="AJ528" s="15"/>
      <c r="AK528" s="15"/>
      <c r="AL528" s="15"/>
    </row>
    <row r="529" spans="2:38" x14ac:dyDescent="0.35">
      <c r="B529" s="15"/>
      <c r="C529" s="15"/>
      <c r="D529" s="15"/>
      <c r="E529" s="15"/>
      <c r="F529" s="15"/>
      <c r="G529" s="15"/>
      <c r="H529" s="15"/>
      <c r="I529" s="15"/>
      <c r="J529" s="15"/>
      <c r="K529" s="15"/>
      <c r="L529" s="15"/>
      <c r="M529" s="15"/>
      <c r="N529" s="15"/>
      <c r="O529" s="15"/>
      <c r="P529" s="15"/>
      <c r="Q529" s="15"/>
      <c r="R529" s="15"/>
      <c r="S529" s="15"/>
      <c r="T529" s="15"/>
      <c r="U529" s="15"/>
      <c r="V529" s="15"/>
      <c r="W529" s="15"/>
      <c r="X529" s="15"/>
      <c r="Y529" s="15"/>
      <c r="Z529" s="15"/>
      <c r="AA529" s="15"/>
      <c r="AB529" s="15"/>
      <c r="AC529" s="15"/>
      <c r="AD529" s="15"/>
      <c r="AE529" s="15"/>
      <c r="AF529" s="15"/>
      <c r="AG529" s="15"/>
      <c r="AH529" s="15"/>
      <c r="AI529" s="15"/>
      <c r="AJ529" s="15"/>
      <c r="AK529" s="15"/>
      <c r="AL529" s="15"/>
    </row>
    <row r="530" spans="2:38" x14ac:dyDescent="0.35">
      <c r="B530" s="15"/>
      <c r="C530" s="15"/>
      <c r="D530" s="15"/>
      <c r="E530" s="15"/>
      <c r="F530" s="15"/>
      <c r="G530" s="15"/>
      <c r="H530" s="15"/>
      <c r="I530" s="15"/>
      <c r="J530" s="15"/>
      <c r="K530" s="15"/>
      <c r="L530" s="15"/>
      <c r="M530" s="15"/>
      <c r="N530" s="15"/>
      <c r="O530" s="15"/>
      <c r="P530" s="15"/>
      <c r="Q530" s="15"/>
      <c r="R530" s="15"/>
      <c r="S530" s="15"/>
      <c r="T530" s="15"/>
      <c r="U530" s="15"/>
      <c r="V530" s="15"/>
      <c r="W530" s="15"/>
      <c r="X530" s="15"/>
      <c r="Y530" s="15"/>
      <c r="Z530" s="15"/>
      <c r="AA530" s="15"/>
      <c r="AB530" s="15"/>
      <c r="AC530" s="15"/>
      <c r="AD530" s="15"/>
      <c r="AE530" s="15"/>
      <c r="AF530" s="15"/>
      <c r="AG530" s="15"/>
      <c r="AH530" s="15"/>
      <c r="AI530" s="15"/>
      <c r="AJ530" s="15"/>
      <c r="AK530" s="15"/>
      <c r="AL530" s="15"/>
    </row>
    <row r="531" spans="2:38" x14ac:dyDescent="0.35">
      <c r="B531" s="15"/>
      <c r="C531" s="15"/>
      <c r="D531" s="15"/>
      <c r="E531" s="15"/>
      <c r="F531" s="15"/>
      <c r="G531" s="15"/>
      <c r="H531" s="15"/>
      <c r="I531" s="15"/>
      <c r="J531" s="15"/>
      <c r="K531" s="15"/>
      <c r="L531" s="15"/>
      <c r="M531" s="15"/>
      <c r="N531" s="15"/>
      <c r="O531" s="15"/>
      <c r="P531" s="15"/>
      <c r="Q531" s="15"/>
      <c r="R531" s="15"/>
      <c r="S531" s="15"/>
      <c r="T531" s="15"/>
      <c r="U531" s="15"/>
      <c r="V531" s="15"/>
      <c r="W531" s="15"/>
      <c r="X531" s="15"/>
      <c r="Y531" s="15"/>
      <c r="Z531" s="15"/>
      <c r="AA531" s="15"/>
      <c r="AB531" s="15"/>
      <c r="AC531" s="15"/>
      <c r="AD531" s="15"/>
      <c r="AE531" s="15"/>
      <c r="AF531" s="15"/>
      <c r="AG531" s="15"/>
      <c r="AH531" s="15"/>
      <c r="AI531" s="15"/>
      <c r="AJ531" s="15"/>
      <c r="AK531" s="15"/>
      <c r="AL531" s="15"/>
    </row>
    <row r="532" spans="2:38" x14ac:dyDescent="0.35">
      <c r="B532" s="15"/>
      <c r="C532" s="15"/>
      <c r="D532" s="15"/>
      <c r="E532" s="15"/>
      <c r="F532" s="15"/>
      <c r="G532" s="15"/>
      <c r="H532" s="15"/>
      <c r="I532" s="15"/>
      <c r="J532" s="15"/>
      <c r="K532" s="15"/>
      <c r="L532" s="15"/>
      <c r="M532" s="15"/>
      <c r="N532" s="15"/>
      <c r="O532" s="15"/>
      <c r="P532" s="15"/>
      <c r="Q532" s="15"/>
      <c r="R532" s="15"/>
      <c r="S532" s="15"/>
      <c r="T532" s="15"/>
      <c r="U532" s="15"/>
      <c r="V532" s="15"/>
      <c r="W532" s="15"/>
      <c r="X532" s="15"/>
      <c r="Y532" s="15"/>
      <c r="Z532" s="15"/>
      <c r="AA532" s="15"/>
      <c r="AB532" s="15"/>
      <c r="AC532" s="15"/>
      <c r="AD532" s="15"/>
      <c r="AE532" s="15"/>
      <c r="AF532" s="15"/>
      <c r="AG532" s="15"/>
      <c r="AH532" s="15"/>
      <c r="AI532" s="15"/>
      <c r="AJ532" s="15"/>
      <c r="AK532" s="15"/>
      <c r="AL532" s="15"/>
    </row>
    <row r="533" spans="2:38" x14ac:dyDescent="0.35">
      <c r="B533" s="15"/>
      <c r="C533" s="15"/>
      <c r="D533" s="15"/>
      <c r="E533" s="15"/>
      <c r="F533" s="15"/>
      <c r="G533" s="15"/>
      <c r="H533" s="15"/>
      <c r="I533" s="15"/>
      <c r="J533" s="15"/>
      <c r="K533" s="15"/>
      <c r="L533" s="15"/>
      <c r="M533" s="15"/>
      <c r="N533" s="15"/>
      <c r="O533" s="15"/>
      <c r="P533" s="15"/>
      <c r="Q533" s="15"/>
      <c r="R533" s="15"/>
      <c r="S533" s="15"/>
      <c r="T533" s="15"/>
      <c r="U533" s="15"/>
      <c r="V533" s="15"/>
      <c r="W533" s="15"/>
      <c r="X533" s="15"/>
      <c r="Y533" s="15"/>
      <c r="Z533" s="15"/>
      <c r="AA533" s="15"/>
      <c r="AB533" s="15"/>
      <c r="AC533" s="15"/>
      <c r="AD533" s="15"/>
      <c r="AE533" s="15"/>
      <c r="AF533" s="15"/>
      <c r="AG533" s="15"/>
      <c r="AH533" s="15"/>
      <c r="AI533" s="15"/>
      <c r="AJ533" s="15"/>
      <c r="AK533" s="15"/>
      <c r="AL533" s="15"/>
    </row>
    <row r="534" spans="2:38" x14ac:dyDescent="0.35">
      <c r="B534" s="15"/>
      <c r="C534" s="15"/>
      <c r="D534" s="15"/>
      <c r="E534" s="15"/>
      <c r="F534" s="15"/>
      <c r="G534" s="15"/>
      <c r="H534" s="15"/>
      <c r="I534" s="15"/>
      <c r="J534" s="15"/>
      <c r="K534" s="15"/>
      <c r="L534" s="15"/>
      <c r="M534" s="15"/>
      <c r="N534" s="15"/>
      <c r="O534" s="15"/>
      <c r="P534" s="15"/>
      <c r="Q534" s="15"/>
      <c r="R534" s="15"/>
      <c r="S534" s="15"/>
      <c r="T534" s="15"/>
      <c r="U534" s="15"/>
      <c r="V534" s="15"/>
      <c r="W534" s="15"/>
      <c r="X534" s="15"/>
      <c r="Y534" s="15"/>
      <c r="Z534" s="15"/>
      <c r="AA534" s="15"/>
      <c r="AB534" s="15"/>
      <c r="AC534" s="15"/>
      <c r="AD534" s="15"/>
      <c r="AE534" s="15"/>
      <c r="AF534" s="15"/>
      <c r="AG534" s="15"/>
      <c r="AH534" s="15"/>
      <c r="AI534" s="15"/>
      <c r="AJ534" s="15"/>
      <c r="AK534" s="15"/>
      <c r="AL534" s="15"/>
    </row>
    <row r="535" spans="2:38" x14ac:dyDescent="0.35">
      <c r="B535" s="15"/>
      <c r="C535" s="15"/>
      <c r="D535" s="15"/>
      <c r="E535" s="15"/>
      <c r="F535" s="15"/>
      <c r="G535" s="15"/>
      <c r="H535" s="15"/>
      <c r="I535" s="15"/>
      <c r="J535" s="15"/>
      <c r="K535" s="15"/>
      <c r="L535" s="15"/>
      <c r="M535" s="15"/>
      <c r="N535" s="15"/>
      <c r="O535" s="15"/>
      <c r="P535" s="15"/>
      <c r="Q535" s="15"/>
      <c r="R535" s="15"/>
      <c r="S535" s="15"/>
      <c r="T535" s="15"/>
      <c r="U535" s="15"/>
      <c r="V535" s="15"/>
      <c r="W535" s="15"/>
      <c r="X535" s="15"/>
      <c r="Y535" s="15"/>
      <c r="Z535" s="15"/>
      <c r="AA535" s="15"/>
      <c r="AB535" s="15"/>
      <c r="AC535" s="15"/>
      <c r="AD535" s="15"/>
      <c r="AE535" s="15"/>
      <c r="AF535" s="15"/>
      <c r="AG535" s="15"/>
      <c r="AH535" s="15"/>
      <c r="AI535" s="15"/>
      <c r="AJ535" s="15"/>
      <c r="AK535" s="15"/>
      <c r="AL535" s="15"/>
    </row>
    <row r="536" spans="2:38" x14ac:dyDescent="0.35">
      <c r="B536" s="15"/>
      <c r="C536" s="15"/>
      <c r="D536" s="15"/>
      <c r="E536" s="15"/>
      <c r="F536" s="15"/>
      <c r="G536" s="15"/>
      <c r="H536" s="15"/>
      <c r="I536" s="15"/>
      <c r="J536" s="15"/>
      <c r="K536" s="15"/>
      <c r="L536" s="15"/>
      <c r="M536" s="15"/>
      <c r="N536" s="15"/>
      <c r="O536" s="15"/>
      <c r="P536" s="15"/>
      <c r="Q536" s="15"/>
      <c r="R536" s="15"/>
      <c r="S536" s="15"/>
      <c r="T536" s="15"/>
      <c r="U536" s="15"/>
      <c r="V536" s="15"/>
      <c r="W536" s="15"/>
      <c r="X536" s="15"/>
      <c r="Y536" s="15"/>
      <c r="Z536" s="15"/>
      <c r="AA536" s="15"/>
      <c r="AB536" s="15"/>
      <c r="AC536" s="15"/>
      <c r="AD536" s="15"/>
      <c r="AE536" s="15"/>
      <c r="AF536" s="15"/>
      <c r="AG536" s="15"/>
      <c r="AH536" s="15"/>
      <c r="AI536" s="15"/>
      <c r="AJ536" s="15"/>
      <c r="AK536" s="15"/>
      <c r="AL536" s="15"/>
    </row>
    <row r="537" spans="2:38" x14ac:dyDescent="0.35">
      <c r="B537" s="15"/>
      <c r="C537" s="15"/>
      <c r="D537" s="15"/>
      <c r="E537" s="15"/>
      <c r="F537" s="15"/>
      <c r="G537" s="15"/>
      <c r="H537" s="15"/>
      <c r="I537" s="15"/>
      <c r="J537" s="15"/>
      <c r="K537" s="15"/>
      <c r="L537" s="15"/>
      <c r="M537" s="15"/>
      <c r="N537" s="15"/>
      <c r="O537" s="15"/>
      <c r="P537" s="15"/>
      <c r="Q537" s="15"/>
      <c r="R537" s="15"/>
      <c r="S537" s="15"/>
      <c r="T537" s="15"/>
      <c r="U537" s="15"/>
      <c r="V537" s="15"/>
      <c r="W537" s="15"/>
      <c r="X537" s="15"/>
      <c r="Y537" s="15"/>
      <c r="Z537" s="15"/>
      <c r="AA537" s="15"/>
      <c r="AB537" s="15"/>
      <c r="AC537" s="15"/>
      <c r="AD537" s="15"/>
      <c r="AE537" s="15"/>
      <c r="AF537" s="15"/>
      <c r="AG537" s="15"/>
      <c r="AH537" s="15"/>
      <c r="AI537" s="15"/>
      <c r="AJ537" s="15"/>
      <c r="AK537" s="15"/>
      <c r="AL537" s="15"/>
    </row>
    <row r="538" spans="2:38" x14ac:dyDescent="0.35">
      <c r="B538" s="15"/>
      <c r="C538" s="15"/>
      <c r="D538" s="15"/>
      <c r="E538" s="15"/>
      <c r="F538" s="15"/>
      <c r="G538" s="15"/>
      <c r="H538" s="15"/>
      <c r="I538" s="15"/>
      <c r="J538" s="15"/>
      <c r="K538" s="15"/>
      <c r="L538" s="15"/>
      <c r="M538" s="15"/>
      <c r="N538" s="15"/>
      <c r="O538" s="15"/>
      <c r="P538" s="15"/>
      <c r="Q538" s="15"/>
      <c r="R538" s="15"/>
      <c r="S538" s="15"/>
      <c r="T538" s="15"/>
      <c r="U538" s="15"/>
      <c r="V538" s="15"/>
      <c r="W538" s="15"/>
      <c r="X538" s="15"/>
      <c r="Y538" s="15"/>
      <c r="Z538" s="15"/>
      <c r="AA538" s="15"/>
      <c r="AB538" s="15"/>
      <c r="AC538" s="15"/>
      <c r="AD538" s="15"/>
      <c r="AE538" s="15"/>
      <c r="AF538" s="15"/>
      <c r="AG538" s="15"/>
      <c r="AH538" s="15"/>
      <c r="AI538" s="15"/>
      <c r="AJ538" s="15"/>
      <c r="AK538" s="15"/>
      <c r="AL538" s="15"/>
    </row>
    <row r="539" spans="2:38" x14ac:dyDescent="0.35">
      <c r="B539" s="15"/>
      <c r="C539" s="15"/>
      <c r="D539" s="15"/>
      <c r="E539" s="15"/>
      <c r="F539" s="15"/>
      <c r="G539" s="15"/>
      <c r="H539" s="15"/>
      <c r="I539" s="15"/>
      <c r="J539" s="15"/>
      <c r="K539" s="15"/>
      <c r="L539" s="15"/>
      <c r="M539" s="15"/>
      <c r="N539" s="15"/>
      <c r="O539" s="15"/>
      <c r="P539" s="15"/>
      <c r="Q539" s="15"/>
      <c r="R539" s="15"/>
      <c r="S539" s="15"/>
      <c r="T539" s="15"/>
      <c r="U539" s="15"/>
      <c r="V539" s="15"/>
      <c r="W539" s="15"/>
      <c r="X539" s="15"/>
      <c r="Y539" s="15"/>
      <c r="Z539" s="15"/>
      <c r="AA539" s="15"/>
      <c r="AB539" s="15"/>
      <c r="AC539" s="15"/>
      <c r="AD539" s="15"/>
      <c r="AE539" s="15"/>
      <c r="AF539" s="15"/>
      <c r="AG539" s="15"/>
      <c r="AH539" s="15"/>
      <c r="AI539" s="15"/>
      <c r="AJ539" s="15"/>
      <c r="AK539" s="15"/>
      <c r="AL539" s="15"/>
    </row>
    <row r="540" spans="2:38" x14ac:dyDescent="0.35">
      <c r="B540" s="15"/>
      <c r="C540" s="15"/>
      <c r="D540" s="15"/>
      <c r="E540" s="15"/>
      <c r="F540" s="15"/>
      <c r="G540" s="15"/>
      <c r="H540" s="15"/>
      <c r="I540" s="15"/>
      <c r="J540" s="15"/>
      <c r="K540" s="15"/>
      <c r="L540" s="15"/>
      <c r="M540" s="15"/>
      <c r="N540" s="15"/>
      <c r="O540" s="15"/>
      <c r="P540" s="15"/>
      <c r="Q540" s="15"/>
      <c r="R540" s="15"/>
      <c r="S540" s="15"/>
      <c r="T540" s="15"/>
      <c r="U540" s="15"/>
      <c r="V540" s="15"/>
      <c r="W540" s="15"/>
      <c r="X540" s="15"/>
      <c r="Y540" s="15"/>
      <c r="Z540" s="15"/>
      <c r="AA540" s="15"/>
      <c r="AB540" s="15"/>
      <c r="AC540" s="15"/>
      <c r="AD540" s="15"/>
      <c r="AE540" s="15"/>
      <c r="AF540" s="15"/>
      <c r="AG540" s="15"/>
      <c r="AH540" s="15"/>
      <c r="AI540" s="15"/>
      <c r="AJ540" s="15"/>
      <c r="AK540" s="15"/>
      <c r="AL540" s="15"/>
    </row>
    <row r="541" spans="2:38" x14ac:dyDescent="0.35">
      <c r="B541" s="15"/>
      <c r="C541" s="15"/>
      <c r="D541" s="15"/>
      <c r="E541" s="15"/>
      <c r="F541" s="15"/>
      <c r="G541" s="15"/>
      <c r="H541" s="15"/>
      <c r="I541" s="15"/>
      <c r="J541" s="15"/>
      <c r="K541" s="15"/>
      <c r="L541" s="15"/>
      <c r="M541" s="15"/>
      <c r="N541" s="15"/>
      <c r="O541" s="15"/>
      <c r="P541" s="15"/>
      <c r="Q541" s="15"/>
      <c r="R541" s="15"/>
      <c r="S541" s="15"/>
      <c r="T541" s="15"/>
      <c r="U541" s="15"/>
      <c r="V541" s="15"/>
      <c r="W541" s="15"/>
      <c r="X541" s="15"/>
      <c r="Y541" s="15"/>
      <c r="Z541" s="15"/>
      <c r="AA541" s="15"/>
      <c r="AB541" s="15"/>
      <c r="AC541" s="15"/>
      <c r="AD541" s="15"/>
      <c r="AE541" s="15"/>
      <c r="AF541" s="15"/>
      <c r="AG541" s="15"/>
      <c r="AH541" s="15"/>
      <c r="AI541" s="15"/>
      <c r="AJ541" s="15"/>
      <c r="AK541" s="15"/>
      <c r="AL541" s="15"/>
    </row>
    <row r="542" spans="2:38" x14ac:dyDescent="0.35">
      <c r="B542" s="15"/>
      <c r="C542" s="15"/>
      <c r="D542" s="15"/>
      <c r="E542" s="15"/>
      <c r="F542" s="15"/>
      <c r="G542" s="15"/>
      <c r="H542" s="15"/>
      <c r="I542" s="15"/>
      <c r="J542" s="15"/>
      <c r="K542" s="15"/>
      <c r="L542" s="15"/>
      <c r="M542" s="15"/>
      <c r="N542" s="15"/>
      <c r="O542" s="15"/>
      <c r="P542" s="15"/>
      <c r="Q542" s="15"/>
      <c r="R542" s="15"/>
      <c r="S542" s="15"/>
      <c r="T542" s="15"/>
      <c r="U542" s="15"/>
      <c r="V542" s="15"/>
      <c r="W542" s="15"/>
      <c r="X542" s="15"/>
      <c r="Y542" s="15"/>
      <c r="Z542" s="15"/>
      <c r="AA542" s="15"/>
      <c r="AB542" s="15"/>
      <c r="AC542" s="15"/>
      <c r="AD542" s="15"/>
      <c r="AE542" s="15"/>
      <c r="AF542" s="15"/>
      <c r="AG542" s="15"/>
      <c r="AH542" s="15"/>
      <c r="AI542" s="15"/>
      <c r="AJ542" s="15"/>
      <c r="AK542" s="15"/>
      <c r="AL542" s="15"/>
    </row>
    <row r="543" spans="2:38" x14ac:dyDescent="0.35">
      <c r="B543" s="15"/>
      <c r="C543" s="15"/>
      <c r="D543" s="15"/>
      <c r="E543" s="15"/>
      <c r="F543" s="15"/>
      <c r="G543" s="15"/>
      <c r="H543" s="15"/>
      <c r="I543" s="15"/>
      <c r="J543" s="15"/>
      <c r="K543" s="15"/>
      <c r="L543" s="15"/>
      <c r="M543" s="15"/>
      <c r="N543" s="15"/>
      <c r="O543" s="15"/>
      <c r="P543" s="15"/>
      <c r="Q543" s="15"/>
      <c r="R543" s="15"/>
      <c r="S543" s="15"/>
      <c r="T543" s="15"/>
      <c r="U543" s="15"/>
      <c r="V543" s="15"/>
      <c r="W543" s="15"/>
      <c r="X543" s="15"/>
      <c r="Y543" s="15"/>
      <c r="Z543" s="15"/>
      <c r="AA543" s="15"/>
      <c r="AB543" s="15"/>
      <c r="AC543" s="15"/>
      <c r="AD543" s="15"/>
      <c r="AE543" s="15"/>
      <c r="AF543" s="15"/>
      <c r="AG543" s="15"/>
      <c r="AH543" s="15"/>
      <c r="AI543" s="15"/>
      <c r="AJ543" s="15"/>
      <c r="AK543" s="15"/>
      <c r="AL543" s="15"/>
    </row>
    <row r="544" spans="2:38" x14ac:dyDescent="0.35">
      <c r="B544" s="15"/>
      <c r="C544" s="15"/>
      <c r="D544" s="15"/>
      <c r="E544" s="15"/>
      <c r="F544" s="15"/>
      <c r="G544" s="15"/>
      <c r="H544" s="15"/>
      <c r="I544" s="15"/>
      <c r="J544" s="15"/>
      <c r="K544" s="15"/>
      <c r="L544" s="15"/>
      <c r="M544" s="15"/>
      <c r="N544" s="15"/>
      <c r="O544" s="15"/>
      <c r="P544" s="15"/>
      <c r="Q544" s="15"/>
      <c r="R544" s="15"/>
      <c r="S544" s="15"/>
      <c r="T544" s="15"/>
      <c r="U544" s="15"/>
      <c r="V544" s="15"/>
      <c r="W544" s="15"/>
      <c r="X544" s="15"/>
      <c r="Y544" s="15"/>
      <c r="Z544" s="15"/>
      <c r="AA544" s="15"/>
      <c r="AB544" s="15"/>
      <c r="AC544" s="15"/>
      <c r="AD544" s="15"/>
      <c r="AE544" s="15"/>
      <c r="AF544" s="15"/>
      <c r="AG544" s="15"/>
      <c r="AH544" s="15"/>
      <c r="AI544" s="15"/>
      <c r="AJ544" s="15"/>
      <c r="AK544" s="15"/>
      <c r="AL544" s="15"/>
    </row>
    <row r="545" spans="2:38" x14ac:dyDescent="0.35">
      <c r="B545" s="15"/>
      <c r="C545" s="15"/>
      <c r="D545" s="15"/>
      <c r="E545" s="15"/>
      <c r="F545" s="15"/>
      <c r="G545" s="15"/>
      <c r="H545" s="15"/>
      <c r="I545" s="15"/>
      <c r="J545" s="15"/>
      <c r="K545" s="15"/>
      <c r="L545" s="15"/>
      <c r="M545" s="15"/>
      <c r="N545" s="15"/>
      <c r="O545" s="15"/>
      <c r="P545" s="15"/>
      <c r="Q545" s="15"/>
      <c r="R545" s="15"/>
      <c r="S545" s="15"/>
      <c r="T545" s="15"/>
      <c r="U545" s="15"/>
      <c r="V545" s="15"/>
      <c r="W545" s="15"/>
      <c r="X545" s="15"/>
      <c r="Y545" s="15"/>
      <c r="Z545" s="15"/>
      <c r="AA545" s="15"/>
      <c r="AB545" s="15"/>
      <c r="AC545" s="15"/>
      <c r="AD545" s="15"/>
      <c r="AE545" s="15"/>
      <c r="AF545" s="15"/>
      <c r="AG545" s="15"/>
      <c r="AH545" s="15"/>
      <c r="AI545" s="15"/>
      <c r="AJ545" s="15"/>
      <c r="AK545" s="15"/>
      <c r="AL545" s="15"/>
    </row>
    <row r="546" spans="2:38" x14ac:dyDescent="0.35">
      <c r="B546" s="15"/>
      <c r="C546" s="15"/>
      <c r="D546" s="15"/>
      <c r="E546" s="15"/>
      <c r="F546" s="15"/>
      <c r="G546" s="15"/>
      <c r="H546" s="15"/>
      <c r="I546" s="15"/>
      <c r="J546" s="15"/>
      <c r="K546" s="15"/>
      <c r="L546" s="15"/>
      <c r="M546" s="15"/>
      <c r="N546" s="15"/>
      <c r="O546" s="15"/>
      <c r="P546" s="15"/>
      <c r="Q546" s="15"/>
      <c r="R546" s="15"/>
      <c r="S546" s="15"/>
      <c r="T546" s="15"/>
      <c r="U546" s="15"/>
      <c r="V546" s="15"/>
      <c r="W546" s="15"/>
      <c r="X546" s="15"/>
      <c r="Y546" s="15"/>
      <c r="Z546" s="15"/>
      <c r="AA546" s="15"/>
      <c r="AB546" s="15"/>
      <c r="AC546" s="15"/>
      <c r="AD546" s="15"/>
      <c r="AE546" s="15"/>
      <c r="AF546" s="15"/>
      <c r="AG546" s="15"/>
      <c r="AH546" s="15"/>
      <c r="AI546" s="15"/>
      <c r="AJ546" s="15"/>
      <c r="AK546" s="15"/>
      <c r="AL546" s="15"/>
    </row>
    <row r="547" spans="2:38" x14ac:dyDescent="0.35">
      <c r="B547" s="15"/>
      <c r="C547" s="15"/>
      <c r="D547" s="15"/>
      <c r="E547" s="15"/>
      <c r="F547" s="15"/>
      <c r="G547" s="15"/>
      <c r="H547" s="15"/>
      <c r="I547" s="15"/>
      <c r="J547" s="15"/>
      <c r="K547" s="15"/>
      <c r="L547" s="15"/>
      <c r="M547" s="15"/>
      <c r="N547" s="15"/>
      <c r="O547" s="15"/>
      <c r="P547" s="15"/>
      <c r="Q547" s="15"/>
      <c r="R547" s="15"/>
      <c r="S547" s="15"/>
      <c r="T547" s="15"/>
      <c r="U547" s="15"/>
      <c r="V547" s="15"/>
      <c r="W547" s="15"/>
      <c r="X547" s="15"/>
      <c r="Y547" s="15"/>
      <c r="Z547" s="15"/>
      <c r="AA547" s="15"/>
      <c r="AB547" s="15"/>
      <c r="AC547" s="15"/>
      <c r="AD547" s="15"/>
      <c r="AE547" s="15"/>
      <c r="AF547" s="15"/>
      <c r="AG547" s="15"/>
      <c r="AH547" s="15"/>
      <c r="AI547" s="15"/>
      <c r="AJ547" s="15"/>
      <c r="AK547" s="15"/>
      <c r="AL547" s="15"/>
    </row>
    <row r="548" spans="2:38" x14ac:dyDescent="0.35">
      <c r="B548" s="15"/>
      <c r="C548" s="15"/>
      <c r="D548" s="15"/>
      <c r="E548" s="15"/>
      <c r="F548" s="15"/>
      <c r="G548" s="15"/>
      <c r="H548" s="15"/>
      <c r="I548" s="15"/>
      <c r="J548" s="15"/>
      <c r="K548" s="15"/>
      <c r="L548" s="15"/>
      <c r="M548" s="15"/>
      <c r="N548" s="15"/>
      <c r="O548" s="15"/>
      <c r="P548" s="15"/>
      <c r="Q548" s="15"/>
      <c r="R548" s="15"/>
      <c r="S548" s="15"/>
      <c r="T548" s="15"/>
      <c r="U548" s="15"/>
      <c r="V548" s="15"/>
      <c r="W548" s="15"/>
      <c r="X548" s="15"/>
      <c r="Y548" s="15"/>
      <c r="Z548" s="15"/>
      <c r="AA548" s="15"/>
      <c r="AB548" s="15"/>
      <c r="AC548" s="15"/>
      <c r="AD548" s="15"/>
      <c r="AE548" s="15"/>
      <c r="AF548" s="15"/>
      <c r="AG548" s="15"/>
      <c r="AH548" s="15"/>
      <c r="AI548" s="15"/>
      <c r="AJ548" s="15"/>
      <c r="AK548" s="15"/>
      <c r="AL548" s="15"/>
    </row>
    <row r="549" spans="2:38" x14ac:dyDescent="0.35">
      <c r="B549" s="15"/>
      <c r="C549" s="15"/>
      <c r="D549" s="15"/>
      <c r="E549" s="15"/>
      <c r="F549" s="15"/>
      <c r="G549" s="15"/>
      <c r="H549" s="15"/>
      <c r="I549" s="15"/>
      <c r="J549" s="15"/>
      <c r="K549" s="15"/>
      <c r="L549" s="15"/>
      <c r="M549" s="15"/>
      <c r="N549" s="15"/>
      <c r="O549" s="15"/>
      <c r="P549" s="15"/>
      <c r="Q549" s="15"/>
      <c r="R549" s="15"/>
      <c r="S549" s="15"/>
      <c r="T549" s="15"/>
      <c r="U549" s="15"/>
      <c r="V549" s="15"/>
      <c r="W549" s="15"/>
      <c r="X549" s="15"/>
      <c r="Y549" s="15"/>
      <c r="Z549" s="15"/>
      <c r="AA549" s="15"/>
      <c r="AB549" s="15"/>
      <c r="AC549" s="15"/>
      <c r="AD549" s="15"/>
      <c r="AE549" s="15"/>
      <c r="AF549" s="15"/>
      <c r="AG549" s="15"/>
      <c r="AH549" s="15"/>
      <c r="AI549" s="15"/>
      <c r="AJ549" s="15"/>
      <c r="AK549" s="15"/>
      <c r="AL549" s="15"/>
    </row>
    <row r="550" spans="2:38" x14ac:dyDescent="0.35">
      <c r="B550" s="15"/>
      <c r="C550" s="15"/>
      <c r="D550" s="15"/>
      <c r="E550" s="15"/>
      <c r="F550" s="15"/>
      <c r="G550" s="15"/>
      <c r="H550" s="15"/>
      <c r="I550" s="15"/>
      <c r="J550" s="15"/>
      <c r="K550" s="15"/>
      <c r="L550" s="15"/>
      <c r="M550" s="15"/>
      <c r="N550" s="15"/>
      <c r="O550" s="15"/>
      <c r="P550" s="15"/>
      <c r="Q550" s="15"/>
      <c r="R550" s="15"/>
      <c r="S550" s="15"/>
      <c r="T550" s="15"/>
      <c r="U550" s="15"/>
      <c r="V550" s="15"/>
      <c r="W550" s="15"/>
      <c r="X550" s="15"/>
      <c r="Y550" s="15"/>
      <c r="Z550" s="15"/>
      <c r="AA550" s="15"/>
      <c r="AB550" s="15"/>
      <c r="AC550" s="15"/>
      <c r="AD550" s="15"/>
      <c r="AE550" s="15"/>
      <c r="AF550" s="15"/>
      <c r="AG550" s="15"/>
      <c r="AH550" s="15"/>
      <c r="AI550" s="15"/>
      <c r="AJ550" s="15"/>
      <c r="AK550" s="15"/>
      <c r="AL550" s="15"/>
    </row>
    <row r="551" spans="2:38" x14ac:dyDescent="0.35">
      <c r="B551" s="15"/>
      <c r="C551" s="15"/>
      <c r="D551" s="15"/>
      <c r="E551" s="15"/>
      <c r="F551" s="15"/>
      <c r="G551" s="15"/>
      <c r="H551" s="15"/>
      <c r="I551" s="15"/>
      <c r="J551" s="15"/>
      <c r="K551" s="15"/>
      <c r="L551" s="15"/>
      <c r="M551" s="15"/>
      <c r="N551" s="15"/>
      <c r="O551" s="15"/>
      <c r="P551" s="15"/>
      <c r="Q551" s="15"/>
      <c r="R551" s="15"/>
      <c r="S551" s="15"/>
      <c r="T551" s="15"/>
      <c r="U551" s="15"/>
      <c r="V551" s="15"/>
      <c r="W551" s="15"/>
      <c r="X551" s="15"/>
      <c r="Y551" s="15"/>
      <c r="Z551" s="15"/>
      <c r="AA551" s="15"/>
      <c r="AB551" s="15"/>
      <c r="AC551" s="15"/>
      <c r="AD551" s="15"/>
      <c r="AE551" s="15"/>
      <c r="AF551" s="15"/>
      <c r="AG551" s="15"/>
      <c r="AH551" s="15"/>
      <c r="AI551" s="15"/>
      <c r="AJ551" s="15"/>
      <c r="AK551" s="15"/>
      <c r="AL551" s="15"/>
    </row>
    <row r="552" spans="2:38" x14ac:dyDescent="0.35">
      <c r="B552" s="15"/>
      <c r="C552" s="15"/>
      <c r="D552" s="15"/>
      <c r="E552" s="15"/>
      <c r="F552" s="15"/>
      <c r="G552" s="15"/>
      <c r="H552" s="15"/>
      <c r="I552" s="15"/>
      <c r="J552" s="15"/>
      <c r="K552" s="15"/>
      <c r="L552" s="15"/>
      <c r="M552" s="15"/>
      <c r="N552" s="15"/>
      <c r="O552" s="15"/>
      <c r="P552" s="15"/>
      <c r="Q552" s="15"/>
      <c r="R552" s="15"/>
      <c r="S552" s="15"/>
      <c r="T552" s="15"/>
      <c r="U552" s="15"/>
      <c r="V552" s="15"/>
      <c r="W552" s="15"/>
      <c r="X552" s="15"/>
      <c r="Y552" s="15"/>
      <c r="Z552" s="15"/>
      <c r="AA552" s="15"/>
      <c r="AB552" s="15"/>
      <c r="AC552" s="15"/>
      <c r="AD552" s="15"/>
      <c r="AE552" s="15"/>
      <c r="AF552" s="15"/>
      <c r="AG552" s="15"/>
      <c r="AH552" s="15"/>
      <c r="AI552" s="15"/>
      <c r="AJ552" s="15"/>
      <c r="AK552" s="15"/>
      <c r="AL552" s="15"/>
    </row>
    <row r="553" spans="2:38" x14ac:dyDescent="0.35">
      <c r="B553" s="15"/>
      <c r="C553" s="15"/>
      <c r="D553" s="15"/>
      <c r="E553" s="15"/>
      <c r="F553" s="15"/>
      <c r="G553" s="15"/>
      <c r="H553" s="15"/>
      <c r="I553" s="15"/>
      <c r="J553" s="15"/>
      <c r="K553" s="15"/>
      <c r="L553" s="15"/>
      <c r="M553" s="15"/>
      <c r="N553" s="15"/>
      <c r="O553" s="15"/>
      <c r="P553" s="15"/>
      <c r="Q553" s="15"/>
      <c r="R553" s="15"/>
      <c r="S553" s="15"/>
      <c r="T553" s="15"/>
      <c r="U553" s="15"/>
      <c r="V553" s="15"/>
      <c r="W553" s="15"/>
      <c r="X553" s="15"/>
      <c r="Y553" s="15"/>
      <c r="Z553" s="15"/>
      <c r="AA553" s="15"/>
      <c r="AB553" s="15"/>
      <c r="AC553" s="15"/>
      <c r="AD553" s="15"/>
      <c r="AE553" s="15"/>
      <c r="AF553" s="15"/>
      <c r="AG553" s="15"/>
      <c r="AH553" s="15"/>
      <c r="AI553" s="15"/>
      <c r="AJ553" s="15"/>
      <c r="AK553" s="15"/>
      <c r="AL553" s="15"/>
    </row>
    <row r="554" spans="2:38" x14ac:dyDescent="0.35">
      <c r="B554" s="15"/>
      <c r="C554" s="15"/>
      <c r="D554" s="15"/>
      <c r="E554" s="15"/>
      <c r="F554" s="15"/>
      <c r="G554" s="15"/>
      <c r="H554" s="15"/>
      <c r="I554" s="15"/>
      <c r="J554" s="15"/>
      <c r="K554" s="15"/>
      <c r="L554" s="15"/>
      <c r="M554" s="15"/>
      <c r="N554" s="15"/>
      <c r="O554" s="15"/>
      <c r="P554" s="15"/>
      <c r="Q554" s="15"/>
      <c r="R554" s="15"/>
      <c r="S554" s="15"/>
      <c r="T554" s="15"/>
      <c r="U554" s="15"/>
      <c r="V554" s="15"/>
      <c r="W554" s="15"/>
      <c r="X554" s="15"/>
      <c r="Y554" s="15"/>
      <c r="Z554" s="15"/>
      <c r="AA554" s="15"/>
      <c r="AB554" s="15"/>
      <c r="AC554" s="15"/>
      <c r="AD554" s="15"/>
      <c r="AE554" s="15"/>
      <c r="AF554" s="15"/>
      <c r="AG554" s="15"/>
      <c r="AH554" s="15"/>
      <c r="AI554" s="15"/>
      <c r="AJ554" s="15"/>
      <c r="AK554" s="15"/>
      <c r="AL554" s="15"/>
    </row>
    <row r="555" spans="2:38" x14ac:dyDescent="0.35">
      <c r="B555" s="15"/>
      <c r="C555" s="15"/>
      <c r="D555" s="15"/>
      <c r="E555" s="15"/>
      <c r="F555" s="15"/>
      <c r="G555" s="15"/>
      <c r="H555" s="15"/>
      <c r="I555" s="15"/>
      <c r="J555" s="15"/>
      <c r="K555" s="15"/>
      <c r="L555" s="15"/>
      <c r="M555" s="15"/>
      <c r="N555" s="15"/>
      <c r="O555" s="15"/>
      <c r="P555" s="15"/>
      <c r="Q555" s="15"/>
      <c r="R555" s="15"/>
      <c r="S555" s="15"/>
      <c r="T555" s="15"/>
      <c r="U555" s="15"/>
      <c r="V555" s="15"/>
      <c r="W555" s="15"/>
      <c r="X555" s="15"/>
      <c r="Y555" s="15"/>
      <c r="Z555" s="15"/>
      <c r="AA555" s="15"/>
      <c r="AB555" s="15"/>
      <c r="AC555" s="15"/>
      <c r="AD555" s="15"/>
      <c r="AE555" s="15"/>
      <c r="AF555" s="15"/>
      <c r="AG555" s="15"/>
      <c r="AH555" s="15"/>
      <c r="AI555" s="15"/>
      <c r="AJ555" s="15"/>
      <c r="AK555" s="15"/>
      <c r="AL555" s="15"/>
    </row>
    <row r="556" spans="2:38" x14ac:dyDescent="0.35">
      <c r="B556" s="15"/>
      <c r="C556" s="15"/>
      <c r="D556" s="15"/>
      <c r="E556" s="15"/>
      <c r="F556" s="15"/>
      <c r="G556" s="15"/>
      <c r="H556" s="15"/>
      <c r="I556" s="15"/>
      <c r="J556" s="15"/>
      <c r="K556" s="15"/>
      <c r="L556" s="15"/>
      <c r="M556" s="15"/>
      <c r="N556" s="15"/>
      <c r="O556" s="15"/>
      <c r="P556" s="15"/>
      <c r="Q556" s="15"/>
      <c r="R556" s="15"/>
      <c r="S556" s="15"/>
      <c r="T556" s="15"/>
      <c r="U556" s="15"/>
      <c r="V556" s="15"/>
      <c r="W556" s="15"/>
      <c r="X556" s="15"/>
      <c r="Y556" s="15"/>
      <c r="Z556" s="15"/>
      <c r="AA556" s="15"/>
      <c r="AB556" s="15"/>
      <c r="AC556" s="15"/>
      <c r="AD556" s="15"/>
      <c r="AE556" s="15"/>
      <c r="AF556" s="15"/>
      <c r="AG556" s="15"/>
      <c r="AH556" s="15"/>
      <c r="AI556" s="15"/>
      <c r="AJ556" s="15"/>
      <c r="AK556" s="15"/>
      <c r="AL556" s="15"/>
    </row>
    <row r="557" spans="2:38" x14ac:dyDescent="0.35">
      <c r="B557" s="15"/>
      <c r="C557" s="15"/>
      <c r="D557" s="15"/>
      <c r="E557" s="15"/>
      <c r="F557" s="15"/>
      <c r="G557" s="15"/>
      <c r="H557" s="15"/>
      <c r="I557" s="15"/>
      <c r="J557" s="15"/>
      <c r="K557" s="15"/>
      <c r="L557" s="15"/>
      <c r="M557" s="15"/>
      <c r="N557" s="15"/>
      <c r="O557" s="15"/>
      <c r="P557" s="15"/>
      <c r="Q557" s="15"/>
      <c r="R557" s="15"/>
      <c r="S557" s="15"/>
      <c r="T557" s="15"/>
      <c r="U557" s="15"/>
      <c r="V557" s="15"/>
      <c r="W557" s="15"/>
      <c r="X557" s="15"/>
      <c r="Y557" s="15"/>
      <c r="Z557" s="15"/>
      <c r="AA557" s="15"/>
      <c r="AB557" s="15"/>
      <c r="AC557" s="15"/>
      <c r="AD557" s="15"/>
      <c r="AE557" s="15"/>
      <c r="AF557" s="15"/>
      <c r="AG557" s="15"/>
      <c r="AH557" s="15"/>
      <c r="AI557" s="15"/>
      <c r="AJ557" s="15"/>
      <c r="AK557" s="15"/>
      <c r="AL557" s="15"/>
    </row>
    <row r="558" spans="2:38" x14ac:dyDescent="0.35">
      <c r="B558" s="15"/>
      <c r="C558" s="15"/>
      <c r="D558" s="15"/>
      <c r="E558" s="15"/>
      <c r="F558" s="15"/>
      <c r="G558" s="15"/>
      <c r="H558" s="15"/>
      <c r="I558" s="15"/>
      <c r="J558" s="15"/>
      <c r="K558" s="15"/>
      <c r="L558" s="15"/>
      <c r="M558" s="15"/>
      <c r="N558" s="15"/>
      <c r="O558" s="15"/>
      <c r="P558" s="15"/>
      <c r="Q558" s="15"/>
      <c r="R558" s="15"/>
      <c r="S558" s="15"/>
      <c r="T558" s="15"/>
      <c r="U558" s="15"/>
      <c r="V558" s="15"/>
      <c r="W558" s="15"/>
      <c r="X558" s="15"/>
      <c r="Y558" s="15"/>
      <c r="Z558" s="15"/>
      <c r="AA558" s="15"/>
      <c r="AB558" s="15"/>
      <c r="AC558" s="15"/>
      <c r="AD558" s="15"/>
      <c r="AE558" s="15"/>
      <c r="AF558" s="15"/>
      <c r="AG558" s="15"/>
      <c r="AH558" s="15"/>
      <c r="AI558" s="15"/>
      <c r="AJ558" s="15"/>
      <c r="AK558" s="15"/>
      <c r="AL558" s="15"/>
    </row>
    <row r="559" spans="2:38" x14ac:dyDescent="0.35">
      <c r="B559" s="15"/>
      <c r="C559" s="15"/>
      <c r="D559" s="15"/>
      <c r="E559" s="15"/>
      <c r="F559" s="15"/>
      <c r="G559" s="15"/>
      <c r="H559" s="15"/>
      <c r="I559" s="15"/>
      <c r="J559" s="15"/>
      <c r="K559" s="15"/>
      <c r="L559" s="15"/>
      <c r="M559" s="15"/>
      <c r="N559" s="15"/>
      <c r="O559" s="15"/>
      <c r="P559" s="15"/>
      <c r="Q559" s="15"/>
      <c r="R559" s="15"/>
      <c r="S559" s="15"/>
      <c r="T559" s="15"/>
      <c r="U559" s="15"/>
      <c r="V559" s="15"/>
      <c r="W559" s="15"/>
      <c r="X559" s="15"/>
      <c r="Y559" s="15"/>
      <c r="Z559" s="15"/>
      <c r="AA559" s="15"/>
      <c r="AB559" s="15"/>
      <c r="AC559" s="15"/>
      <c r="AD559" s="15"/>
      <c r="AE559" s="15"/>
      <c r="AF559" s="15"/>
      <c r="AG559" s="15"/>
      <c r="AH559" s="15"/>
      <c r="AI559" s="15"/>
      <c r="AJ559" s="15"/>
      <c r="AK559" s="15"/>
      <c r="AL559" s="15"/>
    </row>
    <row r="560" spans="2:38" x14ac:dyDescent="0.35">
      <c r="B560" s="15"/>
      <c r="C560" s="15"/>
      <c r="D560" s="15"/>
      <c r="E560" s="15"/>
      <c r="F560" s="15"/>
      <c r="G560" s="15"/>
      <c r="H560" s="15"/>
      <c r="I560" s="15"/>
      <c r="J560" s="15"/>
      <c r="K560" s="15"/>
      <c r="L560" s="15"/>
      <c r="M560" s="15"/>
      <c r="N560" s="15"/>
      <c r="O560" s="15"/>
      <c r="P560" s="15"/>
      <c r="Q560" s="15"/>
      <c r="R560" s="15"/>
      <c r="S560" s="15"/>
      <c r="T560" s="15"/>
      <c r="U560" s="15"/>
      <c r="V560" s="15"/>
      <c r="W560" s="15"/>
      <c r="X560" s="15"/>
      <c r="Y560" s="15"/>
      <c r="Z560" s="15"/>
      <c r="AA560" s="15"/>
      <c r="AB560" s="15"/>
      <c r="AC560" s="15"/>
      <c r="AD560" s="15"/>
      <c r="AE560" s="15"/>
      <c r="AF560" s="15"/>
      <c r="AG560" s="15"/>
      <c r="AH560" s="15"/>
      <c r="AI560" s="15"/>
      <c r="AJ560" s="15"/>
      <c r="AK560" s="15"/>
      <c r="AL560" s="15"/>
    </row>
    <row r="561" spans="2:38" x14ac:dyDescent="0.35">
      <c r="B561" s="15"/>
      <c r="C561" s="15"/>
      <c r="D561" s="15"/>
      <c r="E561" s="15"/>
      <c r="F561" s="15"/>
      <c r="G561" s="15"/>
      <c r="H561" s="15"/>
      <c r="I561" s="15"/>
      <c r="J561" s="15"/>
      <c r="K561" s="15"/>
      <c r="L561" s="15"/>
      <c r="M561" s="15"/>
      <c r="N561" s="15"/>
      <c r="O561" s="15"/>
      <c r="P561" s="15"/>
      <c r="Q561" s="15"/>
      <c r="R561" s="15"/>
      <c r="S561" s="15"/>
      <c r="T561" s="15"/>
      <c r="U561" s="15"/>
      <c r="V561" s="15"/>
      <c r="W561" s="15"/>
      <c r="X561" s="15"/>
      <c r="Y561" s="15"/>
      <c r="Z561" s="15"/>
      <c r="AA561" s="15"/>
      <c r="AB561" s="15"/>
      <c r="AC561" s="15"/>
      <c r="AD561" s="15"/>
      <c r="AE561" s="15"/>
      <c r="AF561" s="15"/>
      <c r="AG561" s="15"/>
      <c r="AH561" s="15"/>
      <c r="AI561" s="15"/>
      <c r="AJ561" s="15"/>
      <c r="AK561" s="15"/>
      <c r="AL561" s="15"/>
    </row>
    <row r="562" spans="2:38" x14ac:dyDescent="0.35">
      <c r="B562" s="15"/>
      <c r="C562" s="15"/>
      <c r="D562" s="15"/>
      <c r="E562" s="15"/>
      <c r="F562" s="15"/>
      <c r="G562" s="15"/>
      <c r="H562" s="15"/>
      <c r="I562" s="15"/>
      <c r="J562" s="15"/>
      <c r="K562" s="15"/>
      <c r="L562" s="15"/>
      <c r="M562" s="15"/>
      <c r="N562" s="15"/>
      <c r="O562" s="15"/>
      <c r="P562" s="15"/>
      <c r="Q562" s="15"/>
      <c r="R562" s="15"/>
      <c r="S562" s="15"/>
      <c r="T562" s="15"/>
      <c r="U562" s="15"/>
      <c r="V562" s="15"/>
      <c r="W562" s="15"/>
      <c r="X562" s="15"/>
      <c r="Y562" s="15"/>
      <c r="Z562" s="15"/>
      <c r="AA562" s="15"/>
      <c r="AB562" s="15"/>
      <c r="AC562" s="15"/>
      <c r="AD562" s="15"/>
      <c r="AE562" s="15"/>
      <c r="AF562" s="15"/>
      <c r="AG562" s="15"/>
      <c r="AH562" s="15"/>
      <c r="AI562" s="15"/>
      <c r="AJ562" s="15"/>
      <c r="AK562" s="15"/>
      <c r="AL562" s="15"/>
    </row>
    <row r="563" spans="2:38" x14ac:dyDescent="0.35">
      <c r="B563" s="15"/>
      <c r="C563" s="15"/>
      <c r="D563" s="15"/>
      <c r="E563" s="15"/>
      <c r="F563" s="15"/>
      <c r="G563" s="15"/>
      <c r="H563" s="15"/>
      <c r="I563" s="15"/>
      <c r="J563" s="15"/>
      <c r="K563" s="15"/>
      <c r="L563" s="15"/>
      <c r="M563" s="15"/>
      <c r="N563" s="15"/>
      <c r="O563" s="15"/>
      <c r="P563" s="15"/>
      <c r="Q563" s="15"/>
      <c r="R563" s="15"/>
      <c r="S563" s="15"/>
      <c r="T563" s="15"/>
      <c r="U563" s="15"/>
      <c r="V563" s="15"/>
      <c r="W563" s="15"/>
      <c r="X563" s="15"/>
      <c r="Y563" s="15"/>
      <c r="Z563" s="15"/>
      <c r="AA563" s="15"/>
      <c r="AB563" s="15"/>
      <c r="AC563" s="15"/>
      <c r="AD563" s="15"/>
      <c r="AE563" s="15"/>
      <c r="AF563" s="15"/>
      <c r="AG563" s="15"/>
      <c r="AH563" s="15"/>
      <c r="AI563" s="15"/>
      <c r="AJ563" s="15"/>
      <c r="AK563" s="15"/>
      <c r="AL563" s="15"/>
    </row>
    <row r="564" spans="2:38" x14ac:dyDescent="0.35">
      <c r="B564" s="15"/>
      <c r="C564" s="15"/>
      <c r="D564" s="15"/>
      <c r="E564" s="15"/>
      <c r="F564" s="15"/>
      <c r="G564" s="15"/>
      <c r="H564" s="15"/>
      <c r="I564" s="15"/>
      <c r="J564" s="15"/>
      <c r="K564" s="15"/>
      <c r="L564" s="15"/>
      <c r="M564" s="15"/>
      <c r="N564" s="15"/>
      <c r="O564" s="15"/>
      <c r="P564" s="15"/>
      <c r="Q564" s="15"/>
      <c r="R564" s="15"/>
      <c r="S564" s="15"/>
      <c r="T564" s="15"/>
      <c r="U564" s="15"/>
      <c r="V564" s="15"/>
      <c r="W564" s="15"/>
      <c r="X564" s="15"/>
      <c r="Y564" s="15"/>
      <c r="Z564" s="15"/>
      <c r="AA564" s="15"/>
      <c r="AB564" s="15"/>
      <c r="AC564" s="15"/>
      <c r="AD564" s="15"/>
      <c r="AE564" s="15"/>
      <c r="AF564" s="15"/>
      <c r="AG564" s="15"/>
      <c r="AH564" s="15"/>
      <c r="AI564" s="15"/>
      <c r="AJ564" s="15"/>
      <c r="AK564" s="15"/>
      <c r="AL564" s="15"/>
    </row>
    <row r="565" spans="2:38" x14ac:dyDescent="0.35">
      <c r="B565" s="15"/>
      <c r="C565" s="15"/>
      <c r="D565" s="15"/>
      <c r="E565" s="15"/>
      <c r="F565" s="15"/>
      <c r="G565" s="15"/>
      <c r="H565" s="15"/>
      <c r="I565" s="15"/>
      <c r="J565" s="15"/>
      <c r="K565" s="15"/>
      <c r="L565" s="15"/>
      <c r="M565" s="15"/>
      <c r="N565" s="15"/>
      <c r="O565" s="15"/>
      <c r="P565" s="15"/>
      <c r="Q565" s="15"/>
      <c r="R565" s="15"/>
      <c r="S565" s="15"/>
      <c r="T565" s="15"/>
      <c r="U565" s="15"/>
      <c r="V565" s="15"/>
      <c r="W565" s="15"/>
      <c r="X565" s="15"/>
      <c r="Y565" s="15"/>
      <c r="Z565" s="15"/>
      <c r="AA565" s="15"/>
      <c r="AB565" s="15"/>
      <c r="AC565" s="15"/>
      <c r="AD565" s="15"/>
      <c r="AE565" s="15"/>
      <c r="AF565" s="15"/>
      <c r="AG565" s="15"/>
      <c r="AH565" s="15"/>
      <c r="AI565" s="15"/>
      <c r="AJ565" s="15"/>
      <c r="AK565" s="15"/>
      <c r="AL565" s="15"/>
    </row>
    <row r="566" spans="2:38" x14ac:dyDescent="0.35">
      <c r="B566" s="15"/>
      <c r="C566" s="15"/>
      <c r="D566" s="15"/>
      <c r="E566" s="15"/>
      <c r="F566" s="15"/>
      <c r="G566" s="15"/>
      <c r="H566" s="15"/>
      <c r="I566" s="15"/>
      <c r="J566" s="15"/>
      <c r="K566" s="15"/>
      <c r="L566" s="15"/>
      <c r="M566" s="15"/>
      <c r="N566" s="15"/>
      <c r="O566" s="15"/>
      <c r="P566" s="15"/>
      <c r="Q566" s="15"/>
      <c r="R566" s="15"/>
      <c r="S566" s="15"/>
      <c r="T566" s="15"/>
      <c r="U566" s="15"/>
      <c r="V566" s="15"/>
      <c r="W566" s="15"/>
      <c r="X566" s="15"/>
      <c r="Y566" s="15"/>
      <c r="Z566" s="15"/>
      <c r="AA566" s="15"/>
      <c r="AB566" s="15"/>
      <c r="AC566" s="15"/>
      <c r="AD566" s="15"/>
      <c r="AE566" s="15"/>
      <c r="AF566" s="15"/>
      <c r="AG566" s="15"/>
      <c r="AH566" s="15"/>
      <c r="AI566" s="15"/>
      <c r="AJ566" s="15"/>
      <c r="AK566" s="15"/>
      <c r="AL566" s="15"/>
    </row>
    <row r="567" spans="2:38" x14ac:dyDescent="0.35">
      <c r="B567" s="15"/>
      <c r="C567" s="15"/>
      <c r="D567" s="15"/>
      <c r="E567" s="15"/>
      <c r="F567" s="15"/>
      <c r="G567" s="15"/>
      <c r="H567" s="15"/>
      <c r="I567" s="15"/>
      <c r="J567" s="15"/>
      <c r="K567" s="15"/>
      <c r="L567" s="15"/>
      <c r="M567" s="15"/>
      <c r="N567" s="15"/>
      <c r="O567" s="15"/>
      <c r="P567" s="15"/>
      <c r="Q567" s="15"/>
      <c r="R567" s="15"/>
      <c r="S567" s="15"/>
      <c r="T567" s="15"/>
      <c r="U567" s="15"/>
      <c r="V567" s="15"/>
      <c r="W567" s="15"/>
      <c r="X567" s="15"/>
      <c r="Y567" s="15"/>
      <c r="Z567" s="15"/>
      <c r="AA567" s="15"/>
      <c r="AB567" s="15"/>
      <c r="AC567" s="15"/>
      <c r="AD567" s="15"/>
      <c r="AE567" s="15"/>
      <c r="AF567" s="15"/>
      <c r="AG567" s="15"/>
      <c r="AH567" s="15"/>
      <c r="AI567" s="15"/>
      <c r="AJ567" s="15"/>
      <c r="AK567" s="15"/>
      <c r="AL567" s="15"/>
    </row>
    <row r="568" spans="2:38" x14ac:dyDescent="0.35">
      <c r="B568" s="15"/>
      <c r="C568" s="15"/>
      <c r="D568" s="15"/>
      <c r="E568" s="15"/>
      <c r="F568" s="15"/>
      <c r="G568" s="15"/>
      <c r="H568" s="15"/>
      <c r="I568" s="15"/>
      <c r="J568" s="15"/>
      <c r="K568" s="15"/>
      <c r="L568" s="15"/>
      <c r="M568" s="15"/>
      <c r="N568" s="15"/>
      <c r="O568" s="15"/>
      <c r="P568" s="15"/>
      <c r="Q568" s="15"/>
      <c r="R568" s="15"/>
      <c r="S568" s="15"/>
      <c r="T568" s="15"/>
      <c r="U568" s="15"/>
      <c r="V568" s="15"/>
      <c r="W568" s="15"/>
      <c r="X568" s="15"/>
      <c r="Y568" s="15"/>
      <c r="Z568" s="15"/>
      <c r="AA568" s="15"/>
      <c r="AB568" s="15"/>
      <c r="AC568" s="15"/>
      <c r="AD568" s="15"/>
      <c r="AE568" s="15"/>
      <c r="AF568" s="15"/>
      <c r="AG568" s="15"/>
      <c r="AH568" s="15"/>
      <c r="AI568" s="15"/>
      <c r="AJ568" s="15"/>
      <c r="AK568" s="15"/>
      <c r="AL568" s="15"/>
    </row>
    <row r="569" spans="2:38" x14ac:dyDescent="0.35">
      <c r="B569" s="15"/>
      <c r="C569" s="15"/>
      <c r="D569" s="15"/>
      <c r="E569" s="15"/>
      <c r="F569" s="15"/>
      <c r="G569" s="15"/>
      <c r="H569" s="15"/>
      <c r="I569" s="15"/>
      <c r="J569" s="15"/>
      <c r="K569" s="15"/>
      <c r="L569" s="15"/>
      <c r="M569" s="15"/>
      <c r="N569" s="15"/>
      <c r="O569" s="15"/>
      <c r="P569" s="15"/>
      <c r="Q569" s="15"/>
      <c r="R569" s="15"/>
      <c r="S569" s="15"/>
      <c r="T569" s="15"/>
      <c r="U569" s="15"/>
      <c r="V569" s="15"/>
      <c r="W569" s="15"/>
      <c r="X569" s="15"/>
      <c r="Y569" s="15"/>
      <c r="Z569" s="15"/>
      <c r="AA569" s="15"/>
      <c r="AB569" s="15"/>
      <c r="AC569" s="15"/>
      <c r="AD569" s="15"/>
      <c r="AE569" s="15"/>
      <c r="AF569" s="15"/>
      <c r="AG569" s="15"/>
      <c r="AH569" s="15"/>
      <c r="AI569" s="15"/>
      <c r="AJ569" s="15"/>
      <c r="AK569" s="15"/>
      <c r="AL569" s="15"/>
    </row>
    <row r="570" spans="2:38" x14ac:dyDescent="0.35">
      <c r="B570" s="15"/>
      <c r="C570" s="15"/>
      <c r="D570" s="15"/>
      <c r="E570" s="15"/>
      <c r="F570" s="15"/>
      <c r="G570" s="15"/>
      <c r="H570" s="15"/>
      <c r="I570" s="15"/>
      <c r="J570" s="15"/>
      <c r="K570" s="15"/>
      <c r="L570" s="15"/>
      <c r="M570" s="15"/>
      <c r="N570" s="15"/>
      <c r="O570" s="15"/>
      <c r="P570" s="15"/>
      <c r="Q570" s="15"/>
      <c r="R570" s="15"/>
      <c r="S570" s="15"/>
      <c r="T570" s="15"/>
      <c r="U570" s="15"/>
      <c r="V570" s="15"/>
      <c r="W570" s="15"/>
      <c r="X570" s="15"/>
      <c r="Y570" s="15"/>
      <c r="Z570" s="15"/>
      <c r="AA570" s="15"/>
      <c r="AB570" s="15"/>
      <c r="AC570" s="15"/>
      <c r="AD570" s="15"/>
      <c r="AE570" s="15"/>
      <c r="AF570" s="15"/>
      <c r="AG570" s="15"/>
      <c r="AH570" s="15"/>
      <c r="AI570" s="15"/>
      <c r="AJ570" s="15"/>
      <c r="AK570" s="15"/>
      <c r="AL570" s="15"/>
    </row>
    <row r="571" spans="2:38" x14ac:dyDescent="0.35">
      <c r="B571" s="15"/>
      <c r="C571" s="15"/>
      <c r="D571" s="15"/>
      <c r="E571" s="15"/>
      <c r="F571" s="15"/>
      <c r="G571" s="15"/>
      <c r="H571" s="15"/>
      <c r="I571" s="15"/>
      <c r="J571" s="15"/>
      <c r="K571" s="15"/>
      <c r="L571" s="15"/>
      <c r="M571" s="15"/>
      <c r="N571" s="15"/>
      <c r="O571" s="15"/>
      <c r="P571" s="15"/>
      <c r="Q571" s="15"/>
      <c r="R571" s="15"/>
      <c r="S571" s="15"/>
      <c r="T571" s="15"/>
      <c r="U571" s="15"/>
      <c r="V571" s="15"/>
      <c r="W571" s="15"/>
      <c r="X571" s="15"/>
      <c r="Y571" s="15"/>
      <c r="Z571" s="15"/>
      <c r="AA571" s="15"/>
      <c r="AB571" s="15"/>
      <c r="AC571" s="15"/>
      <c r="AD571" s="15"/>
      <c r="AE571" s="15"/>
      <c r="AF571" s="15"/>
      <c r="AG571" s="15"/>
      <c r="AH571" s="15"/>
      <c r="AI571" s="15"/>
      <c r="AJ571" s="15"/>
      <c r="AK571" s="15"/>
      <c r="AL571" s="15"/>
    </row>
    <row r="572" spans="2:38" x14ac:dyDescent="0.35">
      <c r="B572" s="15"/>
      <c r="C572" s="15"/>
      <c r="D572" s="15"/>
      <c r="E572" s="15"/>
      <c r="F572" s="15"/>
      <c r="G572" s="15"/>
      <c r="H572" s="15"/>
      <c r="I572" s="15"/>
      <c r="J572" s="15"/>
      <c r="K572" s="15"/>
      <c r="L572" s="15"/>
      <c r="M572" s="15"/>
      <c r="N572" s="15"/>
      <c r="O572" s="15"/>
      <c r="P572" s="15"/>
      <c r="Q572" s="15"/>
      <c r="R572" s="15"/>
      <c r="S572" s="15"/>
      <c r="T572" s="15"/>
      <c r="U572" s="15"/>
      <c r="V572" s="15"/>
      <c r="W572" s="15"/>
      <c r="X572" s="15"/>
      <c r="Y572" s="15"/>
      <c r="Z572" s="15"/>
      <c r="AA572" s="15"/>
      <c r="AB572" s="15"/>
      <c r="AC572" s="15"/>
      <c r="AD572" s="15"/>
      <c r="AE572" s="15"/>
      <c r="AF572" s="15"/>
      <c r="AG572" s="15"/>
      <c r="AH572" s="15"/>
      <c r="AI572" s="15"/>
      <c r="AJ572" s="15"/>
      <c r="AK572" s="15"/>
      <c r="AL572" s="15"/>
    </row>
    <row r="573" spans="2:38" x14ac:dyDescent="0.35">
      <c r="B573" s="15"/>
      <c r="C573" s="15"/>
      <c r="D573" s="15"/>
      <c r="E573" s="15"/>
      <c r="F573" s="15"/>
      <c r="G573" s="15"/>
      <c r="H573" s="15"/>
      <c r="I573" s="15"/>
      <c r="J573" s="15"/>
      <c r="K573" s="15"/>
      <c r="L573" s="15"/>
      <c r="M573" s="15"/>
      <c r="N573" s="15"/>
      <c r="O573" s="15"/>
      <c r="P573" s="15"/>
      <c r="Q573" s="15"/>
      <c r="R573" s="15"/>
      <c r="S573" s="15"/>
      <c r="T573" s="15"/>
      <c r="U573" s="15"/>
      <c r="V573" s="15"/>
      <c r="W573" s="15"/>
      <c r="X573" s="15"/>
      <c r="Y573" s="15"/>
      <c r="Z573" s="15"/>
      <c r="AA573" s="15"/>
      <c r="AB573" s="15"/>
      <c r="AC573" s="15"/>
      <c r="AD573" s="15"/>
      <c r="AE573" s="15"/>
      <c r="AF573" s="15"/>
      <c r="AG573" s="15"/>
      <c r="AH573" s="15"/>
      <c r="AI573" s="15"/>
      <c r="AJ573" s="15"/>
      <c r="AK573" s="15"/>
      <c r="AL573" s="15"/>
    </row>
    <row r="574" spans="2:38" x14ac:dyDescent="0.35">
      <c r="B574" s="15"/>
      <c r="C574" s="15"/>
      <c r="D574" s="15"/>
      <c r="E574" s="15"/>
      <c r="F574" s="15"/>
      <c r="G574" s="15"/>
      <c r="H574" s="15"/>
      <c r="I574" s="15"/>
      <c r="J574" s="15"/>
      <c r="K574" s="15"/>
      <c r="L574" s="15"/>
      <c r="M574" s="15"/>
      <c r="N574" s="15"/>
      <c r="O574" s="15"/>
      <c r="P574" s="15"/>
      <c r="Q574" s="15"/>
      <c r="R574" s="15"/>
      <c r="S574" s="15"/>
      <c r="T574" s="15"/>
      <c r="U574" s="15"/>
      <c r="V574" s="15"/>
      <c r="W574" s="15"/>
      <c r="X574" s="15"/>
      <c r="Y574" s="15"/>
      <c r="Z574" s="15"/>
      <c r="AA574" s="15"/>
      <c r="AB574" s="15"/>
      <c r="AC574" s="15"/>
      <c r="AD574" s="15"/>
      <c r="AE574" s="15"/>
      <c r="AF574" s="15"/>
      <c r="AG574" s="15"/>
      <c r="AH574" s="15"/>
      <c r="AI574" s="15"/>
      <c r="AJ574" s="15"/>
      <c r="AK574" s="15"/>
      <c r="AL574" s="15"/>
    </row>
    <row r="575" spans="2:38" x14ac:dyDescent="0.35">
      <c r="B575" s="15"/>
      <c r="C575" s="15"/>
      <c r="D575" s="15"/>
      <c r="E575" s="15"/>
      <c r="F575" s="15"/>
      <c r="G575" s="15"/>
      <c r="H575" s="15"/>
      <c r="I575" s="15"/>
      <c r="J575" s="15"/>
      <c r="K575" s="15"/>
      <c r="L575" s="15"/>
      <c r="M575" s="15"/>
      <c r="N575" s="15"/>
      <c r="O575" s="15"/>
      <c r="P575" s="15"/>
      <c r="Q575" s="15"/>
      <c r="R575" s="15"/>
      <c r="S575" s="15"/>
      <c r="T575" s="15"/>
      <c r="U575" s="15"/>
      <c r="V575" s="15"/>
      <c r="W575" s="15"/>
      <c r="X575" s="15"/>
      <c r="Y575" s="15"/>
      <c r="Z575" s="15"/>
      <c r="AA575" s="15"/>
      <c r="AB575" s="15"/>
      <c r="AC575" s="15"/>
      <c r="AD575" s="15"/>
      <c r="AE575" s="15"/>
      <c r="AF575" s="15"/>
      <c r="AG575" s="15"/>
      <c r="AH575" s="15"/>
      <c r="AI575" s="15"/>
      <c r="AJ575" s="15"/>
      <c r="AK575" s="15"/>
      <c r="AL575" s="15"/>
    </row>
    <row r="576" spans="2:38" x14ac:dyDescent="0.35">
      <c r="B576" s="15"/>
      <c r="C576" s="15"/>
      <c r="D576" s="15"/>
      <c r="E576" s="15"/>
      <c r="F576" s="15"/>
      <c r="G576" s="15"/>
      <c r="H576" s="15"/>
      <c r="I576" s="15"/>
      <c r="J576" s="15"/>
      <c r="K576" s="15"/>
      <c r="L576" s="15"/>
      <c r="M576" s="15"/>
      <c r="N576" s="15"/>
      <c r="O576" s="15"/>
      <c r="P576" s="15"/>
      <c r="Q576" s="15"/>
      <c r="R576" s="15"/>
      <c r="S576" s="15"/>
      <c r="T576" s="15"/>
      <c r="U576" s="15"/>
      <c r="V576" s="15"/>
      <c r="W576" s="15"/>
      <c r="X576" s="15"/>
      <c r="Y576" s="15"/>
      <c r="Z576" s="15"/>
      <c r="AA576" s="15"/>
      <c r="AB576" s="15"/>
      <c r="AC576" s="15"/>
      <c r="AD576" s="15"/>
      <c r="AE576" s="15"/>
      <c r="AF576" s="15"/>
      <c r="AG576" s="15"/>
      <c r="AH576" s="15"/>
      <c r="AI576" s="15"/>
      <c r="AJ576" s="15"/>
      <c r="AK576" s="15"/>
      <c r="AL576" s="15"/>
    </row>
    <row r="577" spans="2:38" x14ac:dyDescent="0.35">
      <c r="B577" s="15"/>
      <c r="C577" s="15"/>
      <c r="D577" s="15"/>
      <c r="E577" s="15"/>
      <c r="F577" s="15"/>
      <c r="G577" s="15"/>
      <c r="H577" s="15"/>
      <c r="I577" s="15"/>
      <c r="J577" s="15"/>
      <c r="K577" s="15"/>
      <c r="L577" s="15"/>
      <c r="M577" s="15"/>
      <c r="N577" s="15"/>
      <c r="O577" s="15"/>
      <c r="P577" s="15"/>
      <c r="Q577" s="15"/>
      <c r="R577" s="15"/>
      <c r="S577" s="15"/>
      <c r="T577" s="15"/>
      <c r="U577" s="15"/>
      <c r="V577" s="15"/>
      <c r="W577" s="15"/>
      <c r="X577" s="15"/>
      <c r="Y577" s="15"/>
      <c r="Z577" s="15"/>
      <c r="AA577" s="15"/>
      <c r="AB577" s="15"/>
      <c r="AC577" s="15"/>
      <c r="AD577" s="15"/>
      <c r="AE577" s="15"/>
      <c r="AF577" s="15"/>
      <c r="AG577" s="15"/>
      <c r="AH577" s="15"/>
      <c r="AI577" s="15"/>
      <c r="AJ577" s="15"/>
      <c r="AK577" s="15"/>
      <c r="AL577" s="15"/>
    </row>
    <row r="578" spans="2:38" x14ac:dyDescent="0.35">
      <c r="B578" s="15"/>
      <c r="C578" s="15"/>
      <c r="D578" s="15"/>
      <c r="E578" s="15"/>
      <c r="F578" s="15"/>
      <c r="G578" s="15"/>
      <c r="H578" s="15"/>
      <c r="I578" s="15"/>
      <c r="J578" s="15"/>
      <c r="K578" s="15"/>
      <c r="L578" s="15"/>
      <c r="M578" s="15"/>
      <c r="N578" s="15"/>
      <c r="O578" s="15"/>
      <c r="P578" s="15"/>
      <c r="Q578" s="15"/>
      <c r="R578" s="15"/>
      <c r="S578" s="15"/>
      <c r="T578" s="15"/>
      <c r="U578" s="15"/>
      <c r="V578" s="15"/>
      <c r="W578" s="15"/>
      <c r="X578" s="15"/>
      <c r="Y578" s="15"/>
      <c r="Z578" s="15"/>
      <c r="AA578" s="15"/>
      <c r="AB578" s="15"/>
      <c r="AC578" s="15"/>
      <c r="AD578" s="15"/>
      <c r="AE578" s="15"/>
      <c r="AF578" s="15"/>
      <c r="AG578" s="15"/>
      <c r="AH578" s="15"/>
      <c r="AI578" s="15"/>
      <c r="AJ578" s="15"/>
      <c r="AK578" s="15"/>
      <c r="AL578" s="15"/>
    </row>
    <row r="579" spans="2:38" x14ac:dyDescent="0.35">
      <c r="B579" s="15"/>
      <c r="C579" s="15"/>
      <c r="D579" s="15"/>
      <c r="E579" s="15"/>
      <c r="F579" s="15"/>
      <c r="G579" s="15"/>
      <c r="H579" s="15"/>
      <c r="I579" s="15"/>
      <c r="J579" s="15"/>
      <c r="K579" s="15"/>
      <c r="L579" s="15"/>
      <c r="M579" s="15"/>
      <c r="N579" s="15"/>
      <c r="O579" s="15"/>
      <c r="P579" s="15"/>
      <c r="Q579" s="15"/>
      <c r="R579" s="15"/>
      <c r="S579" s="15"/>
      <c r="T579" s="15"/>
      <c r="U579" s="15"/>
      <c r="V579" s="15"/>
      <c r="W579" s="15"/>
      <c r="X579" s="15"/>
      <c r="Y579" s="15"/>
      <c r="Z579" s="15"/>
      <c r="AA579" s="15"/>
      <c r="AB579" s="15"/>
      <c r="AC579" s="15"/>
      <c r="AD579" s="15"/>
      <c r="AE579" s="15"/>
      <c r="AF579" s="15"/>
      <c r="AG579" s="15"/>
      <c r="AH579" s="15"/>
      <c r="AI579" s="15"/>
      <c r="AJ579" s="15"/>
      <c r="AK579" s="15"/>
      <c r="AL579" s="15"/>
    </row>
    <row r="580" spans="2:38" x14ac:dyDescent="0.35">
      <c r="B580" s="15"/>
      <c r="C580" s="15"/>
      <c r="D580" s="15"/>
      <c r="E580" s="15"/>
      <c r="F580" s="15"/>
      <c r="G580" s="15"/>
      <c r="H580" s="15"/>
      <c r="I580" s="15"/>
      <c r="J580" s="15"/>
      <c r="K580" s="15"/>
      <c r="L580" s="15"/>
      <c r="M580" s="15"/>
      <c r="N580" s="15"/>
      <c r="O580" s="15"/>
      <c r="P580" s="15"/>
      <c r="Q580" s="15"/>
      <c r="R580" s="15"/>
      <c r="S580" s="15"/>
      <c r="T580" s="15"/>
      <c r="U580" s="15"/>
      <c r="V580" s="15"/>
      <c r="W580" s="15"/>
      <c r="X580" s="15"/>
      <c r="Y580" s="15"/>
      <c r="Z580" s="15"/>
      <c r="AA580" s="15"/>
      <c r="AB580" s="15"/>
      <c r="AC580" s="15"/>
      <c r="AD580" s="15"/>
      <c r="AE580" s="15"/>
      <c r="AF580" s="15"/>
      <c r="AG580" s="15"/>
      <c r="AH580" s="15"/>
      <c r="AI580" s="15"/>
      <c r="AJ580" s="15"/>
      <c r="AK580" s="15"/>
      <c r="AL580" s="15"/>
    </row>
    <row r="581" spans="2:38" x14ac:dyDescent="0.35">
      <c r="B581" s="15"/>
      <c r="C581" s="15"/>
      <c r="D581" s="15"/>
      <c r="E581" s="15"/>
      <c r="F581" s="15"/>
      <c r="G581" s="15"/>
      <c r="H581" s="15"/>
      <c r="I581" s="15"/>
      <c r="J581" s="15"/>
      <c r="K581" s="15"/>
      <c r="L581" s="15"/>
      <c r="M581" s="15"/>
      <c r="N581" s="15"/>
      <c r="O581" s="15"/>
      <c r="P581" s="15"/>
      <c r="Q581" s="15"/>
      <c r="R581" s="15"/>
      <c r="S581" s="15"/>
      <c r="T581" s="15"/>
      <c r="U581" s="15"/>
      <c r="V581" s="15"/>
      <c r="W581" s="15"/>
      <c r="X581" s="15"/>
      <c r="Y581" s="15"/>
      <c r="Z581" s="15"/>
      <c r="AA581" s="15"/>
      <c r="AB581" s="15"/>
      <c r="AC581" s="15"/>
      <c r="AD581" s="15"/>
      <c r="AE581" s="15"/>
      <c r="AF581" s="15"/>
      <c r="AG581" s="15"/>
      <c r="AH581" s="15"/>
      <c r="AI581" s="15"/>
      <c r="AJ581" s="15"/>
      <c r="AK581" s="15"/>
      <c r="AL581" s="15"/>
    </row>
    <row r="582" spans="2:38" x14ac:dyDescent="0.35">
      <c r="B582" s="15"/>
      <c r="C582" s="15"/>
      <c r="D582" s="15"/>
      <c r="E582" s="15"/>
      <c r="F582" s="15"/>
      <c r="G582" s="15"/>
      <c r="H582" s="15"/>
      <c r="I582" s="15"/>
      <c r="J582" s="15"/>
      <c r="K582" s="15"/>
      <c r="L582" s="15"/>
      <c r="M582" s="15"/>
      <c r="N582" s="15"/>
      <c r="O582" s="15"/>
      <c r="P582" s="15"/>
      <c r="Q582" s="15"/>
      <c r="R582" s="15"/>
      <c r="S582" s="15"/>
      <c r="T582" s="15"/>
      <c r="U582" s="15"/>
      <c r="V582" s="15"/>
      <c r="W582" s="15"/>
      <c r="X582" s="15"/>
      <c r="Y582" s="15"/>
      <c r="Z582" s="15"/>
      <c r="AA582" s="15"/>
      <c r="AB582" s="15"/>
      <c r="AC582" s="15"/>
      <c r="AD582" s="15"/>
      <c r="AE582" s="15"/>
      <c r="AF582" s="15"/>
      <c r="AG582" s="15"/>
      <c r="AH582" s="15"/>
      <c r="AI582" s="15"/>
      <c r="AJ582" s="15"/>
      <c r="AK582" s="15"/>
      <c r="AL582" s="15"/>
    </row>
    <row r="583" spans="2:38" x14ac:dyDescent="0.35">
      <c r="B583" s="15"/>
      <c r="C583" s="15"/>
      <c r="D583" s="15"/>
      <c r="E583" s="15"/>
      <c r="F583" s="15"/>
      <c r="G583" s="15"/>
      <c r="H583" s="15"/>
      <c r="I583" s="15"/>
      <c r="J583" s="15"/>
      <c r="K583" s="15"/>
      <c r="L583" s="15"/>
      <c r="M583" s="15"/>
      <c r="N583" s="15"/>
      <c r="O583" s="15"/>
      <c r="P583" s="15"/>
      <c r="Q583" s="15"/>
      <c r="R583" s="15"/>
      <c r="S583" s="15"/>
      <c r="T583" s="15"/>
      <c r="U583" s="15"/>
      <c r="V583" s="15"/>
      <c r="W583" s="15"/>
      <c r="X583" s="15"/>
      <c r="Y583" s="15"/>
      <c r="Z583" s="15"/>
      <c r="AA583" s="15"/>
      <c r="AB583" s="15"/>
      <c r="AC583" s="15"/>
      <c r="AD583" s="15"/>
      <c r="AE583" s="15"/>
      <c r="AF583" s="15"/>
      <c r="AG583" s="15"/>
      <c r="AH583" s="15"/>
      <c r="AI583" s="15"/>
      <c r="AJ583" s="15"/>
      <c r="AK583" s="15"/>
      <c r="AL583" s="15"/>
    </row>
    <row r="584" spans="2:38" x14ac:dyDescent="0.35">
      <c r="B584" s="15"/>
      <c r="C584" s="15"/>
      <c r="D584" s="15"/>
      <c r="E584" s="15"/>
      <c r="F584" s="15"/>
      <c r="G584" s="15"/>
      <c r="H584" s="15"/>
      <c r="I584" s="15"/>
      <c r="J584" s="15"/>
      <c r="K584" s="15"/>
      <c r="L584" s="15"/>
      <c r="M584" s="15"/>
      <c r="N584" s="15"/>
      <c r="O584" s="15"/>
      <c r="P584" s="15"/>
      <c r="Q584" s="15"/>
      <c r="R584" s="15"/>
      <c r="S584" s="15"/>
      <c r="T584" s="15"/>
      <c r="U584" s="15"/>
      <c r="V584" s="15"/>
      <c r="W584" s="15"/>
      <c r="X584" s="15"/>
      <c r="Y584" s="15"/>
      <c r="Z584" s="15"/>
      <c r="AA584" s="15"/>
      <c r="AB584" s="15"/>
      <c r="AC584" s="15"/>
      <c r="AD584" s="15"/>
      <c r="AE584" s="15"/>
      <c r="AF584" s="15"/>
      <c r="AG584" s="15"/>
      <c r="AH584" s="15"/>
      <c r="AI584" s="15"/>
      <c r="AJ584" s="15"/>
      <c r="AK584" s="15"/>
      <c r="AL584" s="15"/>
    </row>
    <row r="585" spans="2:38" x14ac:dyDescent="0.35">
      <c r="B585" s="15"/>
      <c r="C585" s="15"/>
      <c r="D585" s="15"/>
      <c r="E585" s="15"/>
      <c r="F585" s="15"/>
      <c r="G585" s="15"/>
      <c r="H585" s="15"/>
      <c r="I585" s="15"/>
      <c r="J585" s="15"/>
      <c r="K585" s="15"/>
      <c r="L585" s="15"/>
      <c r="M585" s="15"/>
      <c r="N585" s="15"/>
      <c r="O585" s="15"/>
      <c r="P585" s="15"/>
      <c r="Q585" s="15"/>
      <c r="R585" s="15"/>
      <c r="S585" s="15"/>
      <c r="T585" s="15"/>
      <c r="U585" s="15"/>
      <c r="V585" s="15"/>
      <c r="W585" s="15"/>
      <c r="X585" s="15"/>
      <c r="Y585" s="15"/>
      <c r="Z585" s="15"/>
      <c r="AA585" s="15"/>
      <c r="AB585" s="15"/>
      <c r="AC585" s="15"/>
      <c r="AD585" s="15"/>
      <c r="AE585" s="15"/>
      <c r="AF585" s="15"/>
      <c r="AG585" s="15"/>
      <c r="AH585" s="15"/>
      <c r="AI585" s="15"/>
      <c r="AJ585" s="15"/>
      <c r="AK585" s="15"/>
      <c r="AL585" s="15"/>
    </row>
    <row r="586" spans="2:38" x14ac:dyDescent="0.35">
      <c r="B586" s="15"/>
      <c r="C586" s="15"/>
      <c r="D586" s="15"/>
      <c r="E586" s="15"/>
      <c r="F586" s="15"/>
      <c r="G586" s="15"/>
      <c r="H586" s="15"/>
      <c r="I586" s="15"/>
      <c r="J586" s="15"/>
      <c r="K586" s="15"/>
      <c r="L586" s="15"/>
      <c r="M586" s="15"/>
      <c r="N586" s="15"/>
      <c r="O586" s="15"/>
      <c r="P586" s="15"/>
      <c r="Q586" s="15"/>
      <c r="R586" s="15"/>
      <c r="S586" s="15"/>
      <c r="T586" s="15"/>
      <c r="U586" s="15"/>
      <c r="V586" s="15"/>
      <c r="W586" s="15"/>
      <c r="X586" s="15"/>
      <c r="Y586" s="15"/>
      <c r="Z586" s="15"/>
      <c r="AA586" s="15"/>
      <c r="AB586" s="15"/>
      <c r="AC586" s="15"/>
      <c r="AD586" s="15"/>
      <c r="AE586" s="15"/>
      <c r="AF586" s="15"/>
      <c r="AG586" s="15"/>
      <c r="AH586" s="15"/>
      <c r="AI586" s="15"/>
      <c r="AJ586" s="15"/>
      <c r="AK586" s="15"/>
      <c r="AL586" s="15"/>
    </row>
    <row r="587" spans="2:38" x14ac:dyDescent="0.35">
      <c r="B587" s="15"/>
      <c r="C587" s="15"/>
      <c r="D587" s="15"/>
      <c r="E587" s="15"/>
      <c r="F587" s="15"/>
      <c r="G587" s="15"/>
      <c r="H587" s="15"/>
      <c r="I587" s="15"/>
      <c r="J587" s="15"/>
      <c r="K587" s="15"/>
      <c r="L587" s="15"/>
      <c r="M587" s="15"/>
      <c r="N587" s="15"/>
      <c r="O587" s="15"/>
      <c r="P587" s="15"/>
      <c r="Q587" s="15"/>
      <c r="R587" s="15"/>
      <c r="S587" s="15"/>
      <c r="T587" s="15"/>
      <c r="U587" s="15"/>
      <c r="V587" s="15"/>
      <c r="W587" s="15"/>
      <c r="X587" s="15"/>
      <c r="Y587" s="15"/>
      <c r="Z587" s="15"/>
      <c r="AA587" s="15"/>
      <c r="AB587" s="15"/>
      <c r="AC587" s="15"/>
      <c r="AD587" s="15"/>
      <c r="AE587" s="15"/>
      <c r="AF587" s="15"/>
      <c r="AG587" s="15"/>
      <c r="AH587" s="15"/>
      <c r="AI587" s="15"/>
      <c r="AJ587" s="15"/>
      <c r="AK587" s="15"/>
      <c r="AL587" s="15"/>
    </row>
    <row r="588" spans="2:38" x14ac:dyDescent="0.35">
      <c r="B588" s="15"/>
      <c r="C588" s="15"/>
      <c r="D588" s="15"/>
      <c r="E588" s="15"/>
      <c r="F588" s="15"/>
      <c r="G588" s="15"/>
      <c r="H588" s="15"/>
      <c r="I588" s="15"/>
      <c r="J588" s="15"/>
      <c r="K588" s="15"/>
      <c r="L588" s="15"/>
      <c r="M588" s="15"/>
      <c r="N588" s="15"/>
      <c r="O588" s="15"/>
      <c r="P588" s="15"/>
      <c r="Q588" s="15"/>
      <c r="R588" s="15"/>
      <c r="S588" s="15"/>
      <c r="T588" s="15"/>
      <c r="U588" s="15"/>
      <c r="V588" s="15"/>
      <c r="W588" s="15"/>
      <c r="X588" s="15"/>
      <c r="Y588" s="15"/>
      <c r="Z588" s="15"/>
      <c r="AA588" s="15"/>
      <c r="AB588" s="15"/>
      <c r="AC588" s="15"/>
      <c r="AD588" s="15"/>
      <c r="AE588" s="15"/>
      <c r="AF588" s="15"/>
      <c r="AG588" s="15"/>
      <c r="AH588" s="15"/>
      <c r="AI588" s="15"/>
      <c r="AJ588" s="15"/>
      <c r="AK588" s="15"/>
      <c r="AL588" s="15"/>
    </row>
    <row r="589" spans="2:38" x14ac:dyDescent="0.35">
      <c r="B589" s="15"/>
      <c r="C589" s="15"/>
      <c r="D589" s="15"/>
      <c r="E589" s="15"/>
      <c r="F589" s="15"/>
      <c r="G589" s="15"/>
      <c r="H589" s="15"/>
      <c r="I589" s="15"/>
      <c r="J589" s="15"/>
      <c r="K589" s="15"/>
      <c r="L589" s="15"/>
      <c r="M589" s="15"/>
      <c r="N589" s="15"/>
      <c r="O589" s="15"/>
      <c r="P589" s="15"/>
      <c r="Q589" s="15"/>
      <c r="R589" s="15"/>
      <c r="S589" s="15"/>
      <c r="T589" s="15"/>
      <c r="U589" s="15"/>
      <c r="V589" s="15"/>
      <c r="W589" s="15"/>
      <c r="X589" s="15"/>
      <c r="Y589" s="15"/>
      <c r="Z589" s="15"/>
      <c r="AA589" s="15"/>
      <c r="AB589" s="15"/>
      <c r="AC589" s="15"/>
      <c r="AD589" s="15"/>
      <c r="AE589" s="15"/>
      <c r="AF589" s="15"/>
      <c r="AG589" s="15"/>
      <c r="AH589" s="15"/>
      <c r="AI589" s="15"/>
      <c r="AJ589" s="15"/>
      <c r="AK589" s="15"/>
      <c r="AL589" s="15"/>
    </row>
    <row r="590" spans="2:38" x14ac:dyDescent="0.35">
      <c r="B590" s="15"/>
      <c r="C590" s="15"/>
      <c r="D590" s="15"/>
      <c r="E590" s="15"/>
      <c r="F590" s="15"/>
      <c r="G590" s="15"/>
      <c r="H590" s="15"/>
      <c r="I590" s="15"/>
      <c r="J590" s="15"/>
      <c r="K590" s="15"/>
      <c r="L590" s="15"/>
      <c r="M590" s="15"/>
      <c r="N590" s="15"/>
      <c r="O590" s="15"/>
      <c r="P590" s="15"/>
      <c r="Q590" s="15"/>
      <c r="R590" s="15"/>
      <c r="S590" s="15"/>
      <c r="T590" s="15"/>
      <c r="U590" s="15"/>
      <c r="V590" s="15"/>
      <c r="W590" s="15"/>
      <c r="X590" s="15"/>
      <c r="Y590" s="15"/>
      <c r="Z590" s="15"/>
      <c r="AA590" s="15"/>
      <c r="AB590" s="15"/>
      <c r="AC590" s="15"/>
      <c r="AD590" s="15"/>
      <c r="AE590" s="15"/>
      <c r="AF590" s="15"/>
      <c r="AG590" s="15"/>
      <c r="AH590" s="15"/>
      <c r="AI590" s="15"/>
      <c r="AJ590" s="15"/>
      <c r="AK590" s="15"/>
      <c r="AL590" s="15"/>
    </row>
    <row r="591" spans="2:38" x14ac:dyDescent="0.35">
      <c r="B591" s="15"/>
      <c r="C591" s="15"/>
      <c r="D591" s="15"/>
      <c r="E591" s="15"/>
      <c r="F591" s="15"/>
      <c r="G591" s="15"/>
      <c r="H591" s="15"/>
      <c r="I591" s="15"/>
      <c r="J591" s="15"/>
      <c r="K591" s="15"/>
      <c r="L591" s="15"/>
      <c r="M591" s="15"/>
      <c r="N591" s="15"/>
      <c r="O591" s="15"/>
      <c r="P591" s="15"/>
      <c r="Q591" s="15"/>
      <c r="R591" s="15"/>
      <c r="S591" s="15"/>
      <c r="T591" s="15"/>
      <c r="U591" s="15"/>
      <c r="V591" s="15"/>
      <c r="W591" s="15"/>
      <c r="X591" s="15"/>
      <c r="Y591" s="15"/>
      <c r="Z591" s="15"/>
      <c r="AA591" s="15"/>
      <c r="AB591" s="15"/>
      <c r="AC591" s="15"/>
      <c r="AD591" s="15"/>
      <c r="AE591" s="15"/>
      <c r="AF591" s="15"/>
      <c r="AG591" s="15"/>
      <c r="AH591" s="15"/>
      <c r="AI591" s="15"/>
      <c r="AJ591" s="15"/>
      <c r="AK591" s="15"/>
      <c r="AL591" s="15"/>
    </row>
    <row r="592" spans="2:38" x14ac:dyDescent="0.35">
      <c r="B592" s="15"/>
      <c r="C592" s="15"/>
      <c r="D592" s="15"/>
      <c r="E592" s="15"/>
      <c r="F592" s="15"/>
      <c r="G592" s="15"/>
      <c r="H592" s="15"/>
      <c r="I592" s="15"/>
      <c r="J592" s="15"/>
      <c r="K592" s="15"/>
      <c r="L592" s="15"/>
      <c r="M592" s="15"/>
      <c r="N592" s="15"/>
      <c r="O592" s="15"/>
      <c r="P592" s="15"/>
      <c r="Q592" s="15"/>
      <c r="R592" s="15"/>
      <c r="S592" s="15"/>
      <c r="T592" s="15"/>
      <c r="U592" s="15"/>
      <c r="V592" s="15"/>
      <c r="W592" s="15"/>
      <c r="X592" s="15"/>
      <c r="Y592" s="15"/>
      <c r="Z592" s="15"/>
      <c r="AA592" s="15"/>
      <c r="AB592" s="15"/>
      <c r="AC592" s="15"/>
      <c r="AD592" s="15"/>
      <c r="AE592" s="15"/>
      <c r="AF592" s="15"/>
      <c r="AG592" s="15"/>
      <c r="AH592" s="15"/>
      <c r="AI592" s="15"/>
      <c r="AJ592" s="15"/>
      <c r="AK592" s="15"/>
      <c r="AL592" s="15"/>
    </row>
    <row r="593" spans="2:38" x14ac:dyDescent="0.35">
      <c r="B593" s="15"/>
      <c r="C593" s="15"/>
      <c r="D593" s="15"/>
      <c r="E593" s="15"/>
      <c r="F593" s="15"/>
      <c r="G593" s="15"/>
      <c r="H593" s="15"/>
      <c r="I593" s="15"/>
      <c r="J593" s="15"/>
      <c r="K593" s="15"/>
      <c r="L593" s="15"/>
      <c r="M593" s="15"/>
      <c r="N593" s="15"/>
      <c r="O593" s="15"/>
      <c r="P593" s="15"/>
      <c r="Q593" s="15"/>
      <c r="R593" s="15"/>
      <c r="S593" s="15"/>
      <c r="T593" s="15"/>
      <c r="U593" s="15"/>
      <c r="V593" s="15"/>
      <c r="W593" s="15"/>
      <c r="X593" s="15"/>
      <c r="Y593" s="15"/>
      <c r="Z593" s="15"/>
      <c r="AA593" s="15"/>
      <c r="AB593" s="15"/>
      <c r="AC593" s="15"/>
      <c r="AD593" s="15"/>
      <c r="AE593" s="15"/>
      <c r="AF593" s="15"/>
      <c r="AG593" s="15"/>
      <c r="AH593" s="15"/>
      <c r="AI593" s="15"/>
      <c r="AJ593" s="15"/>
      <c r="AK593" s="15"/>
      <c r="AL593" s="15"/>
    </row>
    <row r="594" spans="2:38" x14ac:dyDescent="0.35">
      <c r="B594" s="15"/>
      <c r="C594" s="15"/>
      <c r="D594" s="15"/>
      <c r="E594" s="15"/>
      <c r="F594" s="15"/>
      <c r="G594" s="15"/>
      <c r="H594" s="15"/>
      <c r="I594" s="15"/>
      <c r="J594" s="15"/>
      <c r="K594" s="15"/>
      <c r="L594" s="15"/>
      <c r="M594" s="15"/>
      <c r="N594" s="15"/>
      <c r="O594" s="15"/>
      <c r="P594" s="15"/>
      <c r="Q594" s="15"/>
      <c r="R594" s="15"/>
      <c r="S594" s="15"/>
      <c r="T594" s="15"/>
      <c r="U594" s="15"/>
      <c r="V594" s="15"/>
      <c r="W594" s="15"/>
      <c r="X594" s="15"/>
      <c r="Y594" s="15"/>
      <c r="Z594" s="15"/>
      <c r="AA594" s="15"/>
      <c r="AB594" s="15"/>
      <c r="AC594" s="15"/>
      <c r="AD594" s="15"/>
      <c r="AE594" s="15"/>
      <c r="AF594" s="15"/>
      <c r="AG594" s="15"/>
      <c r="AH594" s="15"/>
      <c r="AI594" s="15"/>
      <c r="AJ594" s="15"/>
      <c r="AK594" s="15"/>
      <c r="AL594" s="15"/>
    </row>
    <row r="595" spans="2:38" x14ac:dyDescent="0.35">
      <c r="B595" s="15"/>
      <c r="C595" s="15"/>
      <c r="D595" s="15"/>
      <c r="E595" s="15"/>
      <c r="F595" s="15"/>
      <c r="G595" s="15"/>
      <c r="H595" s="15"/>
      <c r="I595" s="15"/>
      <c r="J595" s="15"/>
      <c r="K595" s="15"/>
      <c r="L595" s="15"/>
      <c r="M595" s="15"/>
      <c r="N595" s="15"/>
      <c r="O595" s="15"/>
      <c r="P595" s="15"/>
      <c r="Q595" s="15"/>
      <c r="R595" s="15"/>
      <c r="S595" s="15"/>
      <c r="T595" s="15"/>
      <c r="U595" s="15"/>
      <c r="V595" s="15"/>
      <c r="W595" s="15"/>
      <c r="X595" s="15"/>
      <c r="Y595" s="15"/>
      <c r="Z595" s="15"/>
      <c r="AA595" s="15"/>
      <c r="AB595" s="15"/>
      <c r="AC595" s="15"/>
      <c r="AD595" s="15"/>
      <c r="AE595" s="15"/>
      <c r="AF595" s="15"/>
      <c r="AG595" s="15"/>
      <c r="AH595" s="15"/>
      <c r="AI595" s="15"/>
      <c r="AJ595" s="15"/>
      <c r="AK595" s="15"/>
      <c r="AL595" s="15"/>
    </row>
    <row r="596" spans="2:38" x14ac:dyDescent="0.35">
      <c r="B596" s="15"/>
      <c r="C596" s="15"/>
      <c r="D596" s="15"/>
      <c r="E596" s="15"/>
      <c r="F596" s="15"/>
      <c r="G596" s="15"/>
      <c r="H596" s="15"/>
      <c r="I596" s="15"/>
      <c r="J596" s="15"/>
      <c r="K596" s="15"/>
      <c r="L596" s="15"/>
      <c r="M596" s="15"/>
      <c r="N596" s="15"/>
      <c r="O596" s="15"/>
      <c r="P596" s="15"/>
      <c r="Q596" s="15"/>
      <c r="R596" s="15"/>
      <c r="S596" s="15"/>
      <c r="T596" s="15"/>
      <c r="U596" s="15"/>
      <c r="V596" s="15"/>
      <c r="W596" s="15"/>
      <c r="X596" s="15"/>
      <c r="Y596" s="15"/>
      <c r="Z596" s="15"/>
      <c r="AA596" s="15"/>
      <c r="AB596" s="15"/>
      <c r="AC596" s="15"/>
      <c r="AD596" s="15"/>
      <c r="AE596" s="15"/>
      <c r="AF596" s="15"/>
      <c r="AG596" s="15"/>
      <c r="AH596" s="15"/>
      <c r="AI596" s="15"/>
      <c r="AJ596" s="15"/>
      <c r="AK596" s="15"/>
      <c r="AL596" s="15"/>
    </row>
    <row r="597" spans="2:38" x14ac:dyDescent="0.35">
      <c r="B597" s="15"/>
      <c r="C597" s="15"/>
      <c r="D597" s="15"/>
      <c r="E597" s="15"/>
      <c r="F597" s="15"/>
      <c r="G597" s="15"/>
      <c r="H597" s="15"/>
      <c r="I597" s="15"/>
      <c r="J597" s="15"/>
      <c r="K597" s="15"/>
      <c r="L597" s="15"/>
      <c r="M597" s="15"/>
      <c r="N597" s="15"/>
      <c r="O597" s="15"/>
      <c r="P597" s="15"/>
      <c r="Q597" s="15"/>
      <c r="R597" s="15"/>
      <c r="S597" s="15"/>
      <c r="T597" s="15"/>
      <c r="U597" s="15"/>
      <c r="V597" s="15"/>
      <c r="W597" s="15"/>
      <c r="X597" s="15"/>
      <c r="Y597" s="15"/>
      <c r="Z597" s="15"/>
      <c r="AA597" s="15"/>
      <c r="AB597" s="15"/>
      <c r="AC597" s="15"/>
      <c r="AD597" s="15"/>
      <c r="AE597" s="15"/>
      <c r="AF597" s="15"/>
      <c r="AG597" s="15"/>
      <c r="AH597" s="15"/>
      <c r="AI597" s="15"/>
      <c r="AJ597" s="15"/>
      <c r="AK597" s="15"/>
      <c r="AL597" s="15"/>
    </row>
    <row r="598" spans="2:38" x14ac:dyDescent="0.35">
      <c r="B598" s="15"/>
      <c r="C598" s="15"/>
      <c r="D598" s="15"/>
      <c r="E598" s="15"/>
      <c r="F598" s="15"/>
      <c r="G598" s="15"/>
      <c r="H598" s="15"/>
      <c r="I598" s="15"/>
      <c r="J598" s="15"/>
      <c r="K598" s="15"/>
      <c r="L598" s="15"/>
      <c r="M598" s="15"/>
      <c r="N598" s="15"/>
      <c r="O598" s="15"/>
      <c r="P598" s="15"/>
      <c r="Q598" s="15"/>
      <c r="R598" s="15"/>
      <c r="S598" s="15"/>
      <c r="T598" s="15"/>
      <c r="U598" s="15"/>
      <c r="V598" s="15"/>
      <c r="W598" s="15"/>
      <c r="X598" s="15"/>
      <c r="Y598" s="15"/>
      <c r="Z598" s="15"/>
      <c r="AA598" s="15"/>
      <c r="AB598" s="15"/>
      <c r="AC598" s="15"/>
      <c r="AD598" s="15"/>
      <c r="AE598" s="15"/>
      <c r="AF598" s="15"/>
      <c r="AG598" s="15"/>
      <c r="AH598" s="15"/>
      <c r="AI598" s="15"/>
      <c r="AJ598" s="15"/>
      <c r="AK598" s="15"/>
      <c r="AL598" s="15"/>
    </row>
    <row r="599" spans="2:38" x14ac:dyDescent="0.35">
      <c r="B599" s="15"/>
      <c r="C599" s="15"/>
      <c r="D599" s="15"/>
      <c r="E599" s="15"/>
      <c r="F599" s="15"/>
      <c r="G599" s="15"/>
      <c r="H599" s="15"/>
      <c r="I599" s="15"/>
      <c r="J599" s="15"/>
      <c r="K599" s="15"/>
      <c r="L599" s="15"/>
      <c r="M599" s="15"/>
      <c r="N599" s="15"/>
      <c r="O599" s="15"/>
      <c r="P599" s="15"/>
      <c r="Q599" s="15"/>
      <c r="R599" s="15"/>
      <c r="S599" s="15"/>
      <c r="T599" s="15"/>
      <c r="U599" s="15"/>
      <c r="V599" s="15"/>
      <c r="W599" s="15"/>
      <c r="X599" s="15"/>
      <c r="Y599" s="15"/>
      <c r="Z599" s="15"/>
      <c r="AA599" s="15"/>
      <c r="AB599" s="15"/>
      <c r="AC599" s="15"/>
      <c r="AD599" s="15"/>
      <c r="AE599" s="15"/>
      <c r="AF599" s="15"/>
      <c r="AG599" s="15"/>
      <c r="AH599" s="15"/>
      <c r="AI599" s="15"/>
      <c r="AJ599" s="15"/>
      <c r="AK599" s="15"/>
      <c r="AL599" s="15"/>
    </row>
    <row r="600" spans="2:38" x14ac:dyDescent="0.35">
      <c r="B600" s="15"/>
      <c r="C600" s="15"/>
      <c r="D600" s="15"/>
      <c r="E600" s="15"/>
      <c r="F600" s="15"/>
      <c r="G600" s="15"/>
      <c r="H600" s="15"/>
      <c r="I600" s="15"/>
      <c r="J600" s="15"/>
      <c r="K600" s="15"/>
      <c r="L600" s="15"/>
      <c r="M600" s="15"/>
      <c r="N600" s="15"/>
      <c r="O600" s="15"/>
      <c r="P600" s="15"/>
      <c r="Q600" s="15"/>
      <c r="R600" s="15"/>
      <c r="S600" s="15"/>
      <c r="T600" s="15"/>
      <c r="U600" s="15"/>
      <c r="V600" s="15"/>
      <c r="W600" s="15"/>
      <c r="X600" s="15"/>
      <c r="Y600" s="15"/>
      <c r="Z600" s="15"/>
      <c r="AA600" s="15"/>
      <c r="AB600" s="15"/>
      <c r="AC600" s="15"/>
      <c r="AD600" s="15"/>
      <c r="AE600" s="15"/>
      <c r="AF600" s="15"/>
      <c r="AG600" s="15"/>
      <c r="AH600" s="15"/>
      <c r="AI600" s="15"/>
      <c r="AJ600" s="15"/>
      <c r="AK600" s="15"/>
      <c r="AL600" s="15"/>
    </row>
    <row r="601" spans="2:38" x14ac:dyDescent="0.35">
      <c r="B601" s="15"/>
      <c r="C601" s="15"/>
      <c r="D601" s="15"/>
      <c r="E601" s="15"/>
      <c r="F601" s="15"/>
      <c r="G601" s="15"/>
      <c r="H601" s="15"/>
      <c r="I601" s="15"/>
      <c r="J601" s="15"/>
      <c r="K601" s="15"/>
      <c r="L601" s="15"/>
      <c r="M601" s="15"/>
      <c r="N601" s="15"/>
      <c r="O601" s="15"/>
      <c r="P601" s="15"/>
      <c r="Q601" s="15"/>
      <c r="R601" s="15"/>
      <c r="S601" s="15"/>
      <c r="T601" s="15"/>
      <c r="U601" s="15"/>
      <c r="V601" s="15"/>
      <c r="W601" s="15"/>
      <c r="X601" s="15"/>
      <c r="Y601" s="15"/>
      <c r="Z601" s="15"/>
      <c r="AA601" s="15"/>
      <c r="AB601" s="15"/>
      <c r="AC601" s="15"/>
      <c r="AD601" s="15"/>
      <c r="AE601" s="15"/>
      <c r="AF601" s="15"/>
      <c r="AG601" s="15"/>
      <c r="AH601" s="15"/>
      <c r="AI601" s="15"/>
      <c r="AJ601" s="15"/>
      <c r="AK601" s="15"/>
      <c r="AL601" s="15"/>
    </row>
    <row r="602" spans="2:38" x14ac:dyDescent="0.35">
      <c r="B602" s="15"/>
      <c r="C602" s="15"/>
      <c r="D602" s="15"/>
      <c r="E602" s="15"/>
      <c r="F602" s="15"/>
      <c r="G602" s="15"/>
      <c r="H602" s="15"/>
      <c r="I602" s="15"/>
      <c r="J602" s="15"/>
      <c r="K602" s="15"/>
      <c r="L602" s="15"/>
      <c r="M602" s="15"/>
      <c r="N602" s="15"/>
      <c r="O602" s="15"/>
      <c r="P602" s="15"/>
      <c r="Q602" s="15"/>
      <c r="R602" s="15"/>
      <c r="S602" s="15"/>
      <c r="T602" s="15"/>
      <c r="U602" s="15"/>
      <c r="V602" s="15"/>
      <c r="W602" s="15"/>
      <c r="X602" s="15"/>
      <c r="Y602" s="15"/>
      <c r="Z602" s="15"/>
      <c r="AA602" s="15"/>
      <c r="AB602" s="15"/>
      <c r="AC602" s="15"/>
      <c r="AD602" s="15"/>
      <c r="AE602" s="15"/>
      <c r="AF602" s="15"/>
      <c r="AG602" s="15"/>
      <c r="AH602" s="15"/>
      <c r="AI602" s="15"/>
      <c r="AJ602" s="15"/>
      <c r="AK602" s="15"/>
      <c r="AL602" s="15"/>
    </row>
    <row r="603" spans="2:38" x14ac:dyDescent="0.35">
      <c r="B603" s="15"/>
      <c r="C603" s="15"/>
      <c r="D603" s="15"/>
      <c r="E603" s="15"/>
      <c r="F603" s="15"/>
      <c r="G603" s="15"/>
      <c r="H603" s="15"/>
      <c r="I603" s="15"/>
      <c r="J603" s="15"/>
      <c r="K603" s="15"/>
      <c r="L603" s="15"/>
      <c r="M603" s="15"/>
      <c r="N603" s="15"/>
      <c r="O603" s="15"/>
      <c r="P603" s="15"/>
      <c r="Q603" s="15"/>
      <c r="R603" s="15"/>
      <c r="S603" s="15"/>
      <c r="T603" s="15"/>
      <c r="U603" s="15"/>
      <c r="V603" s="15"/>
      <c r="W603" s="15"/>
      <c r="X603" s="15"/>
      <c r="Y603" s="15"/>
      <c r="Z603" s="15"/>
      <c r="AA603" s="15"/>
      <c r="AB603" s="15"/>
      <c r="AC603" s="15"/>
      <c r="AD603" s="15"/>
      <c r="AE603" s="15"/>
      <c r="AF603" s="15"/>
      <c r="AG603" s="15"/>
      <c r="AH603" s="15"/>
      <c r="AI603" s="15"/>
      <c r="AJ603" s="15"/>
      <c r="AK603" s="15"/>
      <c r="AL603" s="15"/>
    </row>
    <row r="604" spans="2:38" x14ac:dyDescent="0.35">
      <c r="B604" s="15"/>
      <c r="C604" s="15"/>
      <c r="D604" s="15"/>
      <c r="E604" s="15"/>
      <c r="F604" s="15"/>
      <c r="G604" s="15"/>
      <c r="H604" s="15"/>
      <c r="I604" s="15"/>
      <c r="J604" s="15"/>
      <c r="K604" s="15"/>
      <c r="L604" s="15"/>
      <c r="M604" s="15"/>
      <c r="N604" s="15"/>
      <c r="O604" s="15"/>
      <c r="P604" s="15"/>
      <c r="Q604" s="15"/>
      <c r="R604" s="15"/>
      <c r="S604" s="15"/>
      <c r="T604" s="15"/>
      <c r="U604" s="15"/>
      <c r="V604" s="15"/>
      <c r="W604" s="15"/>
      <c r="X604" s="15"/>
      <c r="Y604" s="15"/>
      <c r="Z604" s="15"/>
      <c r="AA604" s="15"/>
      <c r="AB604" s="15"/>
      <c r="AC604" s="15"/>
      <c r="AD604" s="15"/>
      <c r="AE604" s="15"/>
      <c r="AF604" s="15"/>
      <c r="AG604" s="15"/>
      <c r="AH604" s="15"/>
      <c r="AI604" s="15"/>
      <c r="AJ604" s="15"/>
      <c r="AK604" s="15"/>
      <c r="AL604" s="15"/>
    </row>
    <row r="605" spans="2:38" x14ac:dyDescent="0.35">
      <c r="B605" s="15"/>
      <c r="C605" s="15"/>
      <c r="D605" s="15"/>
      <c r="E605" s="15"/>
      <c r="F605" s="15"/>
      <c r="G605" s="15"/>
      <c r="H605" s="15"/>
      <c r="I605" s="15"/>
      <c r="J605" s="15"/>
      <c r="K605" s="15"/>
      <c r="L605" s="15"/>
      <c r="M605" s="15"/>
      <c r="N605" s="15"/>
      <c r="O605" s="15"/>
      <c r="P605" s="15"/>
      <c r="Q605" s="15"/>
      <c r="R605" s="15"/>
      <c r="S605" s="15"/>
      <c r="T605" s="15"/>
      <c r="U605" s="15"/>
      <c r="V605" s="15"/>
      <c r="W605" s="15"/>
      <c r="X605" s="15"/>
      <c r="Y605" s="15"/>
      <c r="Z605" s="15"/>
      <c r="AA605" s="15"/>
      <c r="AB605" s="15"/>
      <c r="AC605" s="15"/>
      <c r="AD605" s="15"/>
      <c r="AE605" s="15"/>
      <c r="AF605" s="15"/>
      <c r="AG605" s="15"/>
      <c r="AH605" s="15"/>
      <c r="AI605" s="15"/>
      <c r="AJ605" s="15"/>
      <c r="AK605" s="15"/>
      <c r="AL605" s="15"/>
    </row>
    <row r="606" spans="2:38" x14ac:dyDescent="0.35">
      <c r="B606" s="15"/>
      <c r="C606" s="15"/>
      <c r="D606" s="15"/>
      <c r="E606" s="15"/>
      <c r="F606" s="15"/>
      <c r="G606" s="15"/>
      <c r="H606" s="15"/>
      <c r="I606" s="15"/>
      <c r="J606" s="15"/>
      <c r="K606" s="15"/>
      <c r="L606" s="15"/>
      <c r="M606" s="15"/>
      <c r="N606" s="15"/>
      <c r="O606" s="15"/>
      <c r="P606" s="15"/>
      <c r="Q606" s="15"/>
      <c r="R606" s="15"/>
      <c r="S606" s="15"/>
      <c r="T606" s="15"/>
      <c r="U606" s="15"/>
      <c r="V606" s="15"/>
      <c r="W606" s="15"/>
      <c r="X606" s="15"/>
      <c r="Y606" s="15"/>
      <c r="Z606" s="15"/>
      <c r="AA606" s="15"/>
      <c r="AB606" s="15"/>
      <c r="AC606" s="15"/>
      <c r="AD606" s="15"/>
      <c r="AE606" s="15"/>
      <c r="AF606" s="15"/>
      <c r="AG606" s="15"/>
      <c r="AH606" s="15"/>
      <c r="AI606" s="15"/>
      <c r="AJ606" s="15"/>
      <c r="AK606" s="15"/>
      <c r="AL606" s="15"/>
    </row>
    <row r="607" spans="2:38" x14ac:dyDescent="0.35">
      <c r="B607" s="15"/>
      <c r="C607" s="15"/>
      <c r="D607" s="15"/>
      <c r="E607" s="15"/>
      <c r="F607" s="15"/>
      <c r="G607" s="15"/>
      <c r="H607" s="15"/>
      <c r="I607" s="15"/>
      <c r="J607" s="15"/>
      <c r="K607" s="15"/>
      <c r="L607" s="15"/>
      <c r="M607" s="15"/>
      <c r="N607" s="15"/>
      <c r="O607" s="15"/>
      <c r="P607" s="15"/>
      <c r="Q607" s="15"/>
      <c r="R607" s="15"/>
      <c r="S607" s="15"/>
      <c r="T607" s="15"/>
      <c r="U607" s="15"/>
      <c r="V607" s="15"/>
      <c r="W607" s="15"/>
      <c r="X607" s="15"/>
      <c r="Y607" s="15"/>
      <c r="Z607" s="15"/>
      <c r="AA607" s="15"/>
      <c r="AB607" s="15"/>
      <c r="AC607" s="15"/>
      <c r="AD607" s="15"/>
      <c r="AE607" s="15"/>
      <c r="AF607" s="15"/>
      <c r="AG607" s="15"/>
      <c r="AH607" s="15"/>
      <c r="AI607" s="15"/>
      <c r="AJ607" s="15"/>
      <c r="AK607" s="15"/>
      <c r="AL607" s="15"/>
    </row>
    <row r="608" spans="2:38" x14ac:dyDescent="0.35">
      <c r="B608" s="15"/>
      <c r="C608" s="15"/>
      <c r="D608" s="15"/>
      <c r="E608" s="15"/>
      <c r="F608" s="15"/>
      <c r="G608" s="15"/>
      <c r="H608" s="15"/>
      <c r="I608" s="15"/>
      <c r="J608" s="15"/>
      <c r="K608" s="15"/>
      <c r="L608" s="15"/>
      <c r="M608" s="15"/>
      <c r="N608" s="15"/>
      <c r="O608" s="15"/>
      <c r="P608" s="15"/>
      <c r="Q608" s="15"/>
      <c r="R608" s="15"/>
      <c r="S608" s="15"/>
      <c r="T608" s="15"/>
      <c r="U608" s="15"/>
      <c r="V608" s="15"/>
      <c r="W608" s="15"/>
      <c r="X608" s="15"/>
      <c r="Y608" s="15"/>
      <c r="Z608" s="15"/>
      <c r="AA608" s="15"/>
      <c r="AB608" s="15"/>
      <c r="AC608" s="15"/>
      <c r="AD608" s="15"/>
      <c r="AE608" s="15"/>
      <c r="AF608" s="15"/>
      <c r="AG608" s="15"/>
      <c r="AH608" s="15"/>
      <c r="AI608" s="15"/>
      <c r="AJ608" s="15"/>
      <c r="AK608" s="15"/>
      <c r="AL608" s="15"/>
    </row>
    <row r="609" spans="2:38" x14ac:dyDescent="0.35">
      <c r="B609" s="15"/>
      <c r="C609" s="15"/>
      <c r="D609" s="15"/>
      <c r="E609" s="15"/>
      <c r="F609" s="15"/>
      <c r="G609" s="15"/>
      <c r="H609" s="15"/>
      <c r="I609" s="15"/>
      <c r="J609" s="15"/>
      <c r="K609" s="15"/>
      <c r="L609" s="15"/>
      <c r="M609" s="15"/>
      <c r="N609" s="15"/>
      <c r="O609" s="15"/>
      <c r="P609" s="15"/>
      <c r="Q609" s="15"/>
      <c r="R609" s="15"/>
      <c r="S609" s="15"/>
      <c r="T609" s="15"/>
      <c r="U609" s="15"/>
      <c r="V609" s="15"/>
      <c r="W609" s="15"/>
      <c r="X609" s="15"/>
      <c r="Y609" s="15"/>
      <c r="Z609" s="15"/>
      <c r="AA609" s="15"/>
      <c r="AB609" s="15"/>
      <c r="AC609" s="15"/>
      <c r="AD609" s="15"/>
      <c r="AE609" s="15"/>
      <c r="AF609" s="15"/>
      <c r="AG609" s="15"/>
      <c r="AH609" s="15"/>
      <c r="AI609" s="15"/>
      <c r="AJ609" s="15"/>
      <c r="AK609" s="15"/>
      <c r="AL609" s="15"/>
    </row>
    <row r="610" spans="2:38" x14ac:dyDescent="0.35">
      <c r="B610" s="15"/>
      <c r="C610" s="15"/>
      <c r="D610" s="15"/>
      <c r="E610" s="15"/>
      <c r="F610" s="15"/>
      <c r="G610" s="15"/>
      <c r="H610" s="15"/>
      <c r="I610" s="15"/>
      <c r="J610" s="15"/>
      <c r="K610" s="15"/>
      <c r="L610" s="15"/>
      <c r="M610" s="15"/>
      <c r="N610" s="15"/>
      <c r="O610" s="15"/>
      <c r="P610" s="15"/>
      <c r="Q610" s="15"/>
      <c r="R610" s="15"/>
      <c r="S610" s="15"/>
      <c r="T610" s="15"/>
      <c r="U610" s="15"/>
      <c r="V610" s="15"/>
      <c r="W610" s="15"/>
      <c r="X610" s="15"/>
      <c r="Y610" s="15"/>
      <c r="Z610" s="15"/>
      <c r="AA610" s="15"/>
      <c r="AB610" s="15"/>
      <c r="AC610" s="15"/>
      <c r="AD610" s="15"/>
      <c r="AE610" s="15"/>
      <c r="AF610" s="15"/>
      <c r="AG610" s="15"/>
      <c r="AH610" s="15"/>
      <c r="AI610" s="15"/>
      <c r="AJ610" s="15"/>
      <c r="AK610" s="15"/>
      <c r="AL610" s="15"/>
    </row>
    <row r="611" spans="2:38" x14ac:dyDescent="0.35">
      <c r="B611" s="15"/>
      <c r="C611" s="15"/>
      <c r="D611" s="15"/>
      <c r="E611" s="15"/>
      <c r="F611" s="15"/>
      <c r="G611" s="15"/>
      <c r="H611" s="15"/>
      <c r="I611" s="15"/>
      <c r="J611" s="15"/>
      <c r="K611" s="15"/>
      <c r="L611" s="15"/>
      <c r="M611" s="15"/>
      <c r="N611" s="15"/>
      <c r="O611" s="15"/>
      <c r="P611" s="15"/>
      <c r="Q611" s="15"/>
      <c r="R611" s="15"/>
      <c r="S611" s="15"/>
      <c r="T611" s="15"/>
      <c r="U611" s="15"/>
      <c r="V611" s="15"/>
      <c r="W611" s="15"/>
      <c r="X611" s="15"/>
      <c r="Y611" s="15"/>
      <c r="Z611" s="15"/>
      <c r="AA611" s="15"/>
      <c r="AB611" s="15"/>
      <c r="AC611" s="15"/>
      <c r="AD611" s="15"/>
      <c r="AE611" s="15"/>
      <c r="AF611" s="15"/>
      <c r="AG611" s="15"/>
      <c r="AH611" s="15"/>
      <c r="AI611" s="15"/>
      <c r="AJ611" s="15"/>
      <c r="AK611" s="15"/>
      <c r="AL611" s="15"/>
    </row>
    <row r="612" spans="2:38" x14ac:dyDescent="0.35">
      <c r="B612" s="15"/>
      <c r="C612" s="15"/>
      <c r="D612" s="15"/>
      <c r="E612" s="15"/>
      <c r="F612" s="15"/>
      <c r="G612" s="15"/>
      <c r="H612" s="15"/>
      <c r="I612" s="15"/>
      <c r="J612" s="15"/>
      <c r="K612" s="15"/>
      <c r="L612" s="15"/>
      <c r="M612" s="15"/>
      <c r="N612" s="15"/>
      <c r="O612" s="15"/>
      <c r="P612" s="15"/>
      <c r="Q612" s="15"/>
      <c r="R612" s="15"/>
      <c r="S612" s="15"/>
      <c r="T612" s="15"/>
      <c r="U612" s="15"/>
      <c r="V612" s="15"/>
      <c r="W612" s="15"/>
      <c r="X612" s="15"/>
      <c r="Y612" s="15"/>
      <c r="Z612" s="15"/>
      <c r="AA612" s="15"/>
      <c r="AB612" s="15"/>
      <c r="AC612" s="15"/>
      <c r="AD612" s="15"/>
      <c r="AE612" s="15"/>
      <c r="AF612" s="15"/>
      <c r="AG612" s="15"/>
      <c r="AH612" s="15"/>
      <c r="AI612" s="15"/>
      <c r="AJ612" s="15"/>
      <c r="AK612" s="15"/>
      <c r="AL612" s="15"/>
    </row>
    <row r="613" spans="2:38" x14ac:dyDescent="0.35">
      <c r="B613" s="15"/>
      <c r="C613" s="15"/>
      <c r="D613" s="15"/>
      <c r="E613" s="15"/>
      <c r="F613" s="15"/>
      <c r="G613" s="15"/>
      <c r="H613" s="15"/>
      <c r="I613" s="15"/>
      <c r="J613" s="15"/>
      <c r="K613" s="15"/>
      <c r="L613" s="15"/>
      <c r="M613" s="15"/>
      <c r="N613" s="15"/>
      <c r="O613" s="15"/>
      <c r="P613" s="15"/>
      <c r="Q613" s="15"/>
      <c r="R613" s="15"/>
      <c r="S613" s="15"/>
      <c r="T613" s="15"/>
      <c r="U613" s="15"/>
      <c r="V613" s="15"/>
      <c r="W613" s="15"/>
      <c r="X613" s="15"/>
      <c r="Y613" s="15"/>
      <c r="Z613" s="15"/>
      <c r="AA613" s="15"/>
      <c r="AB613" s="15"/>
      <c r="AC613" s="15"/>
      <c r="AD613" s="15"/>
      <c r="AE613" s="15"/>
      <c r="AF613" s="15"/>
      <c r="AG613" s="15"/>
      <c r="AH613" s="15"/>
      <c r="AI613" s="15"/>
      <c r="AJ613" s="15"/>
      <c r="AK613" s="15"/>
      <c r="AL613" s="15"/>
    </row>
    <row r="614" spans="2:38" x14ac:dyDescent="0.35">
      <c r="B614" s="15"/>
      <c r="C614" s="15"/>
      <c r="D614" s="15"/>
      <c r="E614" s="15"/>
      <c r="F614" s="15"/>
      <c r="G614" s="15"/>
      <c r="H614" s="15"/>
      <c r="I614" s="15"/>
      <c r="J614" s="15"/>
      <c r="K614" s="15"/>
      <c r="L614" s="15"/>
      <c r="M614" s="15"/>
      <c r="N614" s="15"/>
      <c r="O614" s="15"/>
      <c r="P614" s="15"/>
      <c r="Q614" s="15"/>
      <c r="R614" s="15"/>
      <c r="S614" s="15"/>
      <c r="T614" s="15"/>
      <c r="U614" s="15"/>
      <c r="V614" s="15"/>
      <c r="W614" s="15"/>
      <c r="X614" s="15"/>
      <c r="Y614" s="15"/>
      <c r="Z614" s="15"/>
      <c r="AA614" s="15"/>
      <c r="AB614" s="15"/>
      <c r="AC614" s="15"/>
      <c r="AD614" s="15"/>
      <c r="AE614" s="15"/>
      <c r="AF614" s="15"/>
      <c r="AG614" s="15"/>
      <c r="AH614" s="15"/>
      <c r="AI614" s="15"/>
      <c r="AJ614" s="15"/>
      <c r="AK614" s="15"/>
      <c r="AL614" s="15"/>
    </row>
    <row r="615" spans="2:38" x14ac:dyDescent="0.35">
      <c r="B615" s="15"/>
      <c r="C615" s="15"/>
      <c r="D615" s="15"/>
      <c r="E615" s="15"/>
      <c r="F615" s="15"/>
      <c r="G615" s="15"/>
      <c r="H615" s="15"/>
      <c r="I615" s="15"/>
      <c r="J615" s="15"/>
      <c r="K615" s="15"/>
      <c r="L615" s="15"/>
      <c r="M615" s="15"/>
      <c r="N615" s="15"/>
      <c r="O615" s="15"/>
      <c r="P615" s="15"/>
      <c r="Q615" s="15"/>
      <c r="R615" s="15"/>
      <c r="S615" s="15"/>
      <c r="T615" s="15"/>
      <c r="U615" s="15"/>
      <c r="V615" s="15"/>
      <c r="W615" s="15"/>
      <c r="X615" s="15"/>
      <c r="Y615" s="15"/>
      <c r="Z615" s="15"/>
      <c r="AA615" s="15"/>
      <c r="AB615" s="15"/>
      <c r="AC615" s="15"/>
      <c r="AD615" s="15"/>
      <c r="AE615" s="15"/>
      <c r="AF615" s="15"/>
      <c r="AG615" s="15"/>
      <c r="AH615" s="15"/>
      <c r="AI615" s="15"/>
      <c r="AJ615" s="15"/>
      <c r="AK615" s="15"/>
      <c r="AL615" s="15"/>
    </row>
    <row r="616" spans="2:38" x14ac:dyDescent="0.35">
      <c r="B616" s="15"/>
      <c r="C616" s="15"/>
      <c r="D616" s="15"/>
      <c r="E616" s="15"/>
      <c r="F616" s="15"/>
      <c r="G616" s="15"/>
      <c r="H616" s="15"/>
      <c r="I616" s="15"/>
      <c r="J616" s="15"/>
      <c r="K616" s="15"/>
      <c r="L616" s="15"/>
      <c r="M616" s="15"/>
      <c r="N616" s="15"/>
      <c r="O616" s="15"/>
      <c r="P616" s="15"/>
      <c r="Q616" s="15"/>
      <c r="R616" s="15"/>
      <c r="S616" s="15"/>
      <c r="T616" s="15"/>
      <c r="U616" s="15"/>
      <c r="V616" s="15"/>
      <c r="W616" s="15"/>
      <c r="X616" s="15"/>
      <c r="Y616" s="15"/>
      <c r="Z616" s="15"/>
      <c r="AA616" s="15"/>
      <c r="AB616" s="15"/>
      <c r="AC616" s="15"/>
      <c r="AD616" s="15"/>
      <c r="AE616" s="15"/>
      <c r="AF616" s="15"/>
      <c r="AG616" s="15"/>
      <c r="AH616" s="15"/>
      <c r="AI616" s="15"/>
      <c r="AJ616" s="15"/>
      <c r="AK616" s="15"/>
      <c r="AL616" s="15"/>
    </row>
    <row r="617" spans="2:38" x14ac:dyDescent="0.35">
      <c r="B617" s="15"/>
      <c r="C617" s="15"/>
      <c r="D617" s="15"/>
      <c r="E617" s="15"/>
      <c r="F617" s="15"/>
      <c r="G617" s="15"/>
      <c r="H617" s="15"/>
      <c r="I617" s="15"/>
      <c r="J617" s="15"/>
      <c r="K617" s="15"/>
      <c r="L617" s="15"/>
      <c r="M617" s="15"/>
      <c r="N617" s="15"/>
      <c r="O617" s="15"/>
      <c r="P617" s="15"/>
      <c r="Q617" s="15"/>
      <c r="R617" s="15"/>
      <c r="S617" s="15"/>
      <c r="T617" s="15"/>
      <c r="U617" s="15"/>
      <c r="V617" s="15"/>
      <c r="W617" s="15"/>
      <c r="X617" s="15"/>
      <c r="Y617" s="15"/>
      <c r="Z617" s="15"/>
      <c r="AA617" s="15"/>
      <c r="AB617" s="15"/>
      <c r="AC617" s="15"/>
      <c r="AD617" s="15"/>
      <c r="AE617" s="15"/>
      <c r="AF617" s="15"/>
      <c r="AG617" s="15"/>
      <c r="AH617" s="15"/>
      <c r="AI617" s="15"/>
      <c r="AJ617" s="15"/>
      <c r="AK617" s="15"/>
      <c r="AL617" s="15"/>
    </row>
    <row r="618" spans="2:38" x14ac:dyDescent="0.35">
      <c r="B618" s="15"/>
      <c r="C618" s="15"/>
      <c r="D618" s="15"/>
      <c r="E618" s="15"/>
      <c r="F618" s="15"/>
      <c r="G618" s="15"/>
      <c r="H618" s="15"/>
      <c r="I618" s="15"/>
      <c r="J618" s="15"/>
      <c r="K618" s="15"/>
      <c r="L618" s="15"/>
      <c r="M618" s="15"/>
      <c r="N618" s="15"/>
      <c r="O618" s="15"/>
      <c r="P618" s="15"/>
      <c r="Q618" s="15"/>
      <c r="R618" s="15"/>
      <c r="S618" s="15"/>
      <c r="T618" s="15"/>
      <c r="U618" s="15"/>
      <c r="V618" s="15"/>
      <c r="W618" s="15"/>
      <c r="X618" s="15"/>
      <c r="Y618" s="15"/>
      <c r="Z618" s="15"/>
      <c r="AA618" s="15"/>
      <c r="AB618" s="15"/>
      <c r="AC618" s="15"/>
      <c r="AD618" s="15"/>
      <c r="AE618" s="15"/>
      <c r="AF618" s="15"/>
      <c r="AG618" s="15"/>
      <c r="AH618" s="15"/>
      <c r="AI618" s="15"/>
      <c r="AJ618" s="15"/>
      <c r="AK618" s="15"/>
      <c r="AL618" s="15"/>
    </row>
    <row r="619" spans="2:38" x14ac:dyDescent="0.35">
      <c r="B619" s="15"/>
      <c r="C619" s="15"/>
      <c r="D619" s="15"/>
      <c r="E619" s="15"/>
      <c r="F619" s="15"/>
      <c r="G619" s="15"/>
      <c r="H619" s="15"/>
      <c r="I619" s="15"/>
      <c r="J619" s="15"/>
      <c r="K619" s="15"/>
      <c r="L619" s="15"/>
      <c r="M619" s="15"/>
      <c r="N619" s="15"/>
      <c r="O619" s="15"/>
      <c r="P619" s="15"/>
      <c r="Q619" s="15"/>
      <c r="R619" s="15"/>
      <c r="S619" s="15"/>
      <c r="T619" s="15"/>
      <c r="U619" s="15"/>
      <c r="V619" s="15"/>
      <c r="W619" s="15"/>
      <c r="X619" s="15"/>
      <c r="Y619" s="15"/>
      <c r="Z619" s="15"/>
      <c r="AA619" s="15"/>
      <c r="AB619" s="15"/>
      <c r="AC619" s="15"/>
      <c r="AD619" s="15"/>
      <c r="AE619" s="15"/>
      <c r="AF619" s="15"/>
      <c r="AG619" s="15"/>
      <c r="AH619" s="15"/>
      <c r="AI619" s="15"/>
      <c r="AJ619" s="15"/>
      <c r="AK619" s="15"/>
      <c r="AL619" s="15"/>
    </row>
    <row r="620" spans="2:38" x14ac:dyDescent="0.35">
      <c r="B620" s="15"/>
      <c r="C620" s="15"/>
      <c r="D620" s="15"/>
      <c r="E620" s="15"/>
      <c r="F620" s="15"/>
      <c r="G620" s="15"/>
      <c r="H620" s="15"/>
      <c r="I620" s="15"/>
      <c r="J620" s="15"/>
      <c r="K620" s="15"/>
      <c r="L620" s="15"/>
      <c r="M620" s="15"/>
      <c r="N620" s="15"/>
      <c r="O620" s="15"/>
      <c r="P620" s="15"/>
      <c r="Q620" s="15"/>
      <c r="R620" s="15"/>
      <c r="S620" s="15"/>
      <c r="T620" s="15"/>
      <c r="U620" s="15"/>
      <c r="V620" s="15"/>
      <c r="W620" s="15"/>
      <c r="X620" s="15"/>
      <c r="Y620" s="15"/>
      <c r="Z620" s="15"/>
      <c r="AA620" s="15"/>
      <c r="AB620" s="15"/>
      <c r="AC620" s="15"/>
      <c r="AD620" s="15"/>
      <c r="AE620" s="15"/>
      <c r="AF620" s="15"/>
      <c r="AG620" s="15"/>
      <c r="AH620" s="15"/>
      <c r="AI620" s="15"/>
      <c r="AJ620" s="15"/>
      <c r="AK620" s="15"/>
      <c r="AL620" s="15"/>
    </row>
    <row r="621" spans="2:38" x14ac:dyDescent="0.35">
      <c r="B621" s="15"/>
      <c r="C621" s="15"/>
      <c r="D621" s="15"/>
      <c r="E621" s="15"/>
      <c r="F621" s="15"/>
      <c r="G621" s="15"/>
      <c r="H621" s="15"/>
      <c r="I621" s="15"/>
      <c r="J621" s="15"/>
      <c r="K621" s="15"/>
      <c r="L621" s="15"/>
      <c r="M621" s="15"/>
      <c r="N621" s="15"/>
      <c r="O621" s="15"/>
      <c r="P621" s="15"/>
      <c r="Q621" s="15"/>
      <c r="R621" s="15"/>
      <c r="S621" s="15"/>
      <c r="T621" s="15"/>
      <c r="U621" s="15"/>
      <c r="V621" s="15"/>
      <c r="W621" s="15"/>
      <c r="X621" s="15"/>
      <c r="Y621" s="15"/>
      <c r="Z621" s="15"/>
      <c r="AA621" s="15"/>
      <c r="AB621" s="15"/>
      <c r="AC621" s="15"/>
      <c r="AD621" s="15"/>
      <c r="AE621" s="15"/>
      <c r="AF621" s="15"/>
      <c r="AG621" s="15"/>
      <c r="AH621" s="15"/>
      <c r="AI621" s="15"/>
      <c r="AJ621" s="15"/>
      <c r="AK621" s="15"/>
      <c r="AL621" s="15"/>
    </row>
    <row r="622" spans="2:38" x14ac:dyDescent="0.35">
      <c r="B622" s="15"/>
      <c r="C622" s="15"/>
      <c r="D622" s="15"/>
      <c r="E622" s="15"/>
      <c r="F622" s="15"/>
      <c r="G622" s="15"/>
      <c r="H622" s="15"/>
      <c r="I622" s="15"/>
      <c r="J622" s="15"/>
      <c r="K622" s="15"/>
      <c r="L622" s="15"/>
      <c r="M622" s="15"/>
      <c r="N622" s="15"/>
      <c r="O622" s="15"/>
      <c r="P622" s="15"/>
      <c r="Q622" s="15"/>
      <c r="R622" s="15"/>
      <c r="S622" s="15"/>
      <c r="T622" s="15"/>
      <c r="U622" s="15"/>
      <c r="V622" s="15"/>
      <c r="W622" s="15"/>
      <c r="X622" s="15"/>
      <c r="Y622" s="15"/>
      <c r="Z622" s="15"/>
      <c r="AA622" s="15"/>
      <c r="AB622" s="15"/>
      <c r="AC622" s="15"/>
      <c r="AD622" s="15"/>
      <c r="AE622" s="15"/>
      <c r="AF622" s="15"/>
      <c r="AG622" s="15"/>
      <c r="AH622" s="15"/>
      <c r="AI622" s="15"/>
      <c r="AJ622" s="15"/>
      <c r="AK622" s="15"/>
      <c r="AL622" s="15"/>
    </row>
    <row r="623" spans="2:38" x14ac:dyDescent="0.35">
      <c r="B623" s="15"/>
      <c r="C623" s="15"/>
      <c r="D623" s="15"/>
      <c r="E623" s="15"/>
      <c r="F623" s="15"/>
      <c r="G623" s="15"/>
      <c r="H623" s="15"/>
      <c r="I623" s="15"/>
      <c r="J623" s="15"/>
      <c r="K623" s="15"/>
      <c r="L623" s="15"/>
      <c r="M623" s="15"/>
      <c r="N623" s="15"/>
      <c r="O623" s="15"/>
      <c r="P623" s="15"/>
      <c r="Q623" s="15"/>
      <c r="R623" s="15"/>
      <c r="S623" s="15"/>
      <c r="T623" s="15"/>
      <c r="U623" s="15"/>
      <c r="V623" s="15"/>
      <c r="W623" s="15"/>
      <c r="X623" s="15"/>
      <c r="Y623" s="15"/>
      <c r="Z623" s="15"/>
      <c r="AA623" s="15"/>
      <c r="AB623" s="15"/>
      <c r="AC623" s="15"/>
      <c r="AD623" s="15"/>
      <c r="AE623" s="15"/>
      <c r="AF623" s="15"/>
      <c r="AG623" s="15"/>
      <c r="AH623" s="15"/>
      <c r="AI623" s="15"/>
      <c r="AJ623" s="15"/>
      <c r="AK623" s="15"/>
      <c r="AL623" s="15"/>
    </row>
    <row r="624" spans="2:38" x14ac:dyDescent="0.35">
      <c r="B624" s="15"/>
      <c r="C624" s="15"/>
      <c r="D624" s="15"/>
      <c r="E624" s="15"/>
      <c r="F624" s="15"/>
      <c r="G624" s="15"/>
      <c r="H624" s="15"/>
      <c r="I624" s="15"/>
      <c r="J624" s="15"/>
      <c r="K624" s="15"/>
      <c r="L624" s="15"/>
      <c r="M624" s="15"/>
      <c r="N624" s="15"/>
      <c r="O624" s="15"/>
      <c r="P624" s="15"/>
      <c r="Q624" s="15"/>
      <c r="R624" s="15"/>
      <c r="S624" s="15"/>
      <c r="T624" s="15"/>
      <c r="U624" s="15"/>
      <c r="V624" s="15"/>
      <c r="W624" s="15"/>
      <c r="X624" s="15"/>
      <c r="Y624" s="15"/>
      <c r="Z624" s="15"/>
      <c r="AA624" s="15"/>
      <c r="AB624" s="15"/>
      <c r="AC624" s="15"/>
      <c r="AD624" s="15"/>
      <c r="AE624" s="15"/>
      <c r="AF624" s="15"/>
      <c r="AG624" s="15"/>
      <c r="AH624" s="15"/>
      <c r="AI624" s="15"/>
      <c r="AJ624" s="15"/>
      <c r="AK624" s="15"/>
      <c r="AL624" s="15"/>
    </row>
    <row r="625" spans="2:38" x14ac:dyDescent="0.35">
      <c r="B625" s="15"/>
      <c r="C625" s="15"/>
      <c r="D625" s="15"/>
      <c r="E625" s="15"/>
      <c r="F625" s="15"/>
      <c r="G625" s="15"/>
      <c r="H625" s="15"/>
      <c r="I625" s="15"/>
      <c r="J625" s="15"/>
      <c r="K625" s="15"/>
      <c r="L625" s="15"/>
      <c r="M625" s="15"/>
      <c r="N625" s="15"/>
      <c r="O625" s="15"/>
      <c r="P625" s="15"/>
      <c r="Q625" s="15"/>
      <c r="R625" s="15"/>
      <c r="S625" s="15"/>
      <c r="T625" s="15"/>
      <c r="U625" s="15"/>
      <c r="V625" s="15"/>
      <c r="W625" s="15"/>
      <c r="X625" s="15"/>
      <c r="Y625" s="15"/>
      <c r="Z625" s="15"/>
      <c r="AA625" s="15"/>
      <c r="AB625" s="15"/>
      <c r="AC625" s="15"/>
      <c r="AD625" s="15"/>
      <c r="AE625" s="15"/>
      <c r="AF625" s="15"/>
      <c r="AG625" s="15"/>
      <c r="AH625" s="15"/>
      <c r="AI625" s="15"/>
      <c r="AJ625" s="15"/>
      <c r="AK625" s="15"/>
      <c r="AL625" s="15"/>
    </row>
    <row r="626" spans="2:38" x14ac:dyDescent="0.35">
      <c r="B626" s="15"/>
      <c r="C626" s="15"/>
      <c r="D626" s="15"/>
      <c r="E626" s="15"/>
      <c r="F626" s="15"/>
      <c r="G626" s="15"/>
      <c r="H626" s="15"/>
      <c r="I626" s="15"/>
      <c r="J626" s="15"/>
      <c r="K626" s="15"/>
      <c r="L626" s="15"/>
      <c r="M626" s="15"/>
      <c r="N626" s="15"/>
      <c r="O626" s="15"/>
      <c r="P626" s="15"/>
      <c r="Q626" s="15"/>
      <c r="R626" s="15"/>
      <c r="S626" s="15"/>
      <c r="T626" s="15"/>
      <c r="U626" s="15"/>
      <c r="V626" s="15"/>
      <c r="W626" s="15"/>
      <c r="X626" s="15"/>
      <c r="Y626" s="15"/>
      <c r="Z626" s="15"/>
      <c r="AA626" s="15"/>
      <c r="AB626" s="15"/>
      <c r="AC626" s="15"/>
      <c r="AD626" s="15"/>
      <c r="AE626" s="15"/>
      <c r="AF626" s="15"/>
      <c r="AG626" s="15"/>
      <c r="AH626" s="15"/>
      <c r="AI626" s="15"/>
      <c r="AJ626" s="15"/>
      <c r="AK626" s="15"/>
      <c r="AL626" s="15"/>
    </row>
    <row r="627" spans="2:38" x14ac:dyDescent="0.35">
      <c r="B627" s="15"/>
      <c r="C627" s="15"/>
      <c r="D627" s="15"/>
      <c r="E627" s="15"/>
      <c r="F627" s="15"/>
      <c r="G627" s="15"/>
      <c r="H627" s="15"/>
      <c r="I627" s="15"/>
      <c r="J627" s="15"/>
      <c r="K627" s="15"/>
      <c r="L627" s="15"/>
      <c r="M627" s="15"/>
      <c r="N627" s="15"/>
      <c r="O627" s="15"/>
      <c r="P627" s="15"/>
      <c r="Q627" s="15"/>
      <c r="R627" s="15"/>
      <c r="S627" s="15"/>
      <c r="T627" s="15"/>
      <c r="U627" s="15"/>
      <c r="V627" s="15"/>
      <c r="W627" s="15"/>
      <c r="X627" s="15"/>
      <c r="Y627" s="15"/>
      <c r="Z627" s="15"/>
      <c r="AA627" s="15"/>
      <c r="AB627" s="15"/>
      <c r="AC627" s="15"/>
      <c r="AD627" s="15"/>
      <c r="AE627" s="15"/>
      <c r="AF627" s="15"/>
      <c r="AG627" s="15"/>
      <c r="AH627" s="15"/>
      <c r="AI627" s="15"/>
      <c r="AJ627" s="15"/>
      <c r="AK627" s="15"/>
      <c r="AL627" s="15"/>
    </row>
    <row r="628" spans="2:38" x14ac:dyDescent="0.35">
      <c r="B628" s="15"/>
      <c r="C628" s="15"/>
      <c r="D628" s="15"/>
      <c r="E628" s="15"/>
      <c r="F628" s="15"/>
      <c r="G628" s="15"/>
      <c r="H628" s="15"/>
      <c r="I628" s="15"/>
      <c r="J628" s="15"/>
      <c r="K628" s="15"/>
      <c r="L628" s="15"/>
      <c r="M628" s="15"/>
      <c r="N628" s="15"/>
      <c r="O628" s="15"/>
      <c r="P628" s="15"/>
      <c r="Q628" s="15"/>
      <c r="R628" s="15"/>
      <c r="S628" s="15"/>
      <c r="T628" s="15"/>
      <c r="U628" s="15"/>
      <c r="V628" s="15"/>
      <c r="W628" s="15"/>
      <c r="X628" s="15"/>
      <c r="Y628" s="15"/>
      <c r="Z628" s="15"/>
      <c r="AA628" s="15"/>
      <c r="AB628" s="15"/>
      <c r="AC628" s="15"/>
      <c r="AD628" s="15"/>
      <c r="AE628" s="15"/>
      <c r="AF628" s="15"/>
      <c r="AG628" s="15"/>
      <c r="AH628" s="15"/>
      <c r="AI628" s="15"/>
      <c r="AJ628" s="15"/>
      <c r="AK628" s="15"/>
      <c r="AL628" s="15"/>
    </row>
    <row r="629" spans="2:38" x14ac:dyDescent="0.35">
      <c r="B629" s="15"/>
      <c r="C629" s="15"/>
      <c r="D629" s="15"/>
      <c r="E629" s="15"/>
      <c r="F629" s="15"/>
      <c r="G629" s="15"/>
      <c r="H629" s="15"/>
      <c r="I629" s="15"/>
      <c r="J629" s="15"/>
      <c r="K629" s="15"/>
      <c r="L629" s="15"/>
      <c r="M629" s="15"/>
      <c r="N629" s="15"/>
      <c r="O629" s="15"/>
      <c r="P629" s="15"/>
      <c r="Q629" s="15"/>
      <c r="R629" s="15"/>
      <c r="S629" s="15"/>
      <c r="T629" s="15"/>
      <c r="U629" s="15"/>
      <c r="V629" s="15"/>
      <c r="W629" s="15"/>
      <c r="X629" s="15"/>
      <c r="Y629" s="15"/>
      <c r="Z629" s="15"/>
      <c r="AA629" s="15"/>
      <c r="AB629" s="15"/>
      <c r="AC629" s="15"/>
      <c r="AD629" s="15"/>
      <c r="AE629" s="15"/>
      <c r="AF629" s="15"/>
      <c r="AG629" s="15"/>
      <c r="AH629" s="15"/>
      <c r="AI629" s="15"/>
      <c r="AJ629" s="15"/>
      <c r="AK629" s="15"/>
      <c r="AL629" s="15"/>
    </row>
    <row r="630" spans="2:38" x14ac:dyDescent="0.35">
      <c r="B630" s="15"/>
      <c r="C630" s="15"/>
      <c r="D630" s="15"/>
      <c r="E630" s="15"/>
      <c r="F630" s="15"/>
      <c r="G630" s="15"/>
      <c r="H630" s="15"/>
      <c r="I630" s="15"/>
      <c r="J630" s="15"/>
      <c r="K630" s="15"/>
      <c r="L630" s="15"/>
      <c r="M630" s="15"/>
      <c r="N630" s="15"/>
      <c r="O630" s="15"/>
      <c r="P630" s="15"/>
      <c r="Q630" s="15"/>
      <c r="R630" s="15"/>
      <c r="S630" s="15"/>
      <c r="T630" s="15"/>
      <c r="U630" s="15"/>
      <c r="V630" s="15"/>
      <c r="W630" s="15"/>
      <c r="X630" s="15"/>
      <c r="Y630" s="15"/>
      <c r="Z630" s="15"/>
      <c r="AA630" s="15"/>
      <c r="AB630" s="15"/>
      <c r="AC630" s="15"/>
      <c r="AD630" s="15"/>
      <c r="AE630" s="15"/>
      <c r="AF630" s="15"/>
      <c r="AG630" s="15"/>
      <c r="AH630" s="15"/>
      <c r="AI630" s="15"/>
      <c r="AJ630" s="15"/>
      <c r="AK630" s="15"/>
      <c r="AL630" s="15"/>
    </row>
    <row r="631" spans="2:38" x14ac:dyDescent="0.35">
      <c r="B631" s="15"/>
      <c r="C631" s="15"/>
      <c r="D631" s="15"/>
      <c r="E631" s="15"/>
      <c r="F631" s="15"/>
      <c r="G631" s="15"/>
      <c r="H631" s="15"/>
      <c r="I631" s="15"/>
      <c r="J631" s="15"/>
      <c r="K631" s="15"/>
      <c r="L631" s="15"/>
      <c r="M631" s="15"/>
      <c r="N631" s="15"/>
      <c r="O631" s="15"/>
      <c r="P631" s="15"/>
      <c r="Q631" s="15"/>
      <c r="R631" s="15"/>
      <c r="S631" s="15"/>
      <c r="T631" s="15"/>
      <c r="U631" s="15"/>
      <c r="V631" s="15"/>
      <c r="W631" s="15"/>
      <c r="X631" s="15"/>
      <c r="Y631" s="15"/>
      <c r="Z631" s="15"/>
      <c r="AA631" s="15"/>
      <c r="AB631" s="15"/>
      <c r="AC631" s="15"/>
      <c r="AD631" s="15"/>
      <c r="AE631" s="15"/>
      <c r="AF631" s="15"/>
      <c r="AG631" s="15"/>
      <c r="AH631" s="15"/>
      <c r="AI631" s="15"/>
      <c r="AJ631" s="15"/>
      <c r="AK631" s="15"/>
      <c r="AL631" s="15"/>
    </row>
    <row r="632" spans="2:38" x14ac:dyDescent="0.35">
      <c r="B632" s="15"/>
      <c r="C632" s="15"/>
      <c r="D632" s="15"/>
      <c r="E632" s="15"/>
      <c r="F632" s="15"/>
      <c r="G632" s="15"/>
      <c r="H632" s="15"/>
      <c r="I632" s="15"/>
      <c r="J632" s="15"/>
      <c r="K632" s="15"/>
      <c r="L632" s="15"/>
      <c r="M632" s="15"/>
      <c r="N632" s="15"/>
      <c r="O632" s="15"/>
      <c r="P632" s="15"/>
      <c r="Q632" s="15"/>
      <c r="R632" s="15"/>
      <c r="S632" s="15"/>
      <c r="T632" s="15"/>
      <c r="U632" s="15"/>
      <c r="V632" s="15"/>
      <c r="W632" s="15"/>
      <c r="X632" s="15"/>
      <c r="Y632" s="15"/>
      <c r="Z632" s="15"/>
      <c r="AA632" s="15"/>
      <c r="AB632" s="15"/>
      <c r="AC632" s="15"/>
      <c r="AD632" s="15"/>
      <c r="AE632" s="15"/>
      <c r="AF632" s="15"/>
      <c r="AG632" s="15"/>
      <c r="AH632" s="15"/>
      <c r="AI632" s="15"/>
      <c r="AJ632" s="15"/>
      <c r="AK632" s="15"/>
      <c r="AL632" s="15"/>
    </row>
    <row r="633" spans="2:38" x14ac:dyDescent="0.35">
      <c r="B633" s="15"/>
      <c r="C633" s="15"/>
      <c r="D633" s="15"/>
      <c r="E633" s="15"/>
      <c r="F633" s="15"/>
      <c r="G633" s="15"/>
      <c r="H633" s="15"/>
      <c r="I633" s="15"/>
      <c r="J633" s="15"/>
      <c r="K633" s="15"/>
      <c r="L633" s="15"/>
      <c r="M633" s="15"/>
      <c r="N633" s="15"/>
      <c r="O633" s="15"/>
      <c r="P633" s="15"/>
      <c r="Q633" s="15"/>
      <c r="R633" s="15"/>
      <c r="S633" s="15"/>
      <c r="T633" s="15"/>
      <c r="U633" s="15"/>
      <c r="V633" s="15"/>
      <c r="W633" s="15"/>
      <c r="X633" s="15"/>
      <c r="Y633" s="15"/>
      <c r="Z633" s="15"/>
      <c r="AA633" s="15"/>
      <c r="AB633" s="15"/>
      <c r="AC633" s="15"/>
      <c r="AD633" s="15"/>
      <c r="AE633" s="15"/>
      <c r="AF633" s="15"/>
      <c r="AG633" s="15"/>
      <c r="AH633" s="15"/>
      <c r="AI633" s="15"/>
      <c r="AJ633" s="15"/>
      <c r="AK633" s="15"/>
      <c r="AL633" s="15"/>
    </row>
    <row r="634" spans="2:38" x14ac:dyDescent="0.35">
      <c r="B634" s="15"/>
      <c r="C634" s="15"/>
      <c r="D634" s="15"/>
      <c r="E634" s="15"/>
      <c r="F634" s="15"/>
      <c r="G634" s="15"/>
      <c r="H634" s="15"/>
      <c r="I634" s="15"/>
      <c r="J634" s="15"/>
      <c r="K634" s="15"/>
      <c r="L634" s="15"/>
      <c r="M634" s="15"/>
      <c r="N634" s="15"/>
      <c r="O634" s="15"/>
      <c r="P634" s="15"/>
      <c r="Q634" s="15"/>
      <c r="R634" s="15"/>
      <c r="S634" s="15"/>
      <c r="T634" s="15"/>
      <c r="U634" s="15"/>
      <c r="V634" s="15"/>
      <c r="W634" s="15"/>
      <c r="X634" s="15"/>
      <c r="Y634" s="15"/>
      <c r="Z634" s="15"/>
      <c r="AA634" s="15"/>
      <c r="AB634" s="15"/>
      <c r="AC634" s="15"/>
      <c r="AD634" s="15"/>
      <c r="AE634" s="15"/>
      <c r="AF634" s="15"/>
      <c r="AG634" s="15"/>
      <c r="AH634" s="15"/>
      <c r="AI634" s="15"/>
      <c r="AJ634" s="15"/>
      <c r="AK634" s="15"/>
      <c r="AL634" s="15"/>
    </row>
    <row r="635" spans="2:38" x14ac:dyDescent="0.35">
      <c r="B635" s="15"/>
      <c r="C635" s="15"/>
      <c r="D635" s="15"/>
      <c r="E635" s="15"/>
      <c r="F635" s="15"/>
      <c r="G635" s="15"/>
      <c r="H635" s="15"/>
      <c r="I635" s="15"/>
      <c r="J635" s="15"/>
      <c r="K635" s="15"/>
      <c r="L635" s="15"/>
      <c r="M635" s="15"/>
      <c r="N635" s="15"/>
      <c r="O635" s="15"/>
      <c r="P635" s="15"/>
      <c r="Q635" s="15"/>
      <c r="R635" s="15"/>
      <c r="S635" s="15"/>
      <c r="T635" s="15"/>
      <c r="U635" s="15"/>
      <c r="V635" s="15"/>
      <c r="W635" s="15"/>
      <c r="X635" s="15"/>
      <c r="Y635" s="15"/>
      <c r="Z635" s="15"/>
      <c r="AA635" s="15"/>
      <c r="AB635" s="15"/>
      <c r="AC635" s="15"/>
      <c r="AD635" s="15"/>
      <c r="AE635" s="15"/>
      <c r="AF635" s="15"/>
      <c r="AG635" s="15"/>
      <c r="AH635" s="15"/>
      <c r="AI635" s="15"/>
      <c r="AJ635" s="15"/>
      <c r="AK635" s="15"/>
      <c r="AL635" s="15"/>
    </row>
    <row r="636" spans="2:38" x14ac:dyDescent="0.35">
      <c r="B636" s="15"/>
      <c r="C636" s="15"/>
      <c r="D636" s="15"/>
      <c r="E636" s="15"/>
      <c r="F636" s="15"/>
      <c r="G636" s="15"/>
      <c r="H636" s="15"/>
      <c r="I636" s="15"/>
      <c r="J636" s="15"/>
      <c r="K636" s="15"/>
      <c r="L636" s="15"/>
      <c r="M636" s="15"/>
      <c r="N636" s="15"/>
      <c r="O636" s="15"/>
      <c r="P636" s="15"/>
      <c r="Q636" s="15"/>
      <c r="R636" s="15"/>
      <c r="S636" s="15"/>
      <c r="T636" s="15"/>
      <c r="U636" s="15"/>
      <c r="V636" s="15"/>
      <c r="W636" s="15"/>
      <c r="X636" s="15"/>
      <c r="Y636" s="15"/>
      <c r="Z636" s="15"/>
      <c r="AA636" s="15"/>
      <c r="AB636" s="15"/>
      <c r="AC636" s="15"/>
      <c r="AD636" s="15"/>
      <c r="AE636" s="15"/>
      <c r="AF636" s="15"/>
      <c r="AG636" s="15"/>
      <c r="AH636" s="15"/>
      <c r="AI636" s="15"/>
      <c r="AJ636" s="15"/>
      <c r="AK636" s="15"/>
      <c r="AL636" s="15"/>
    </row>
    <row r="637" spans="2:38" x14ac:dyDescent="0.35">
      <c r="B637" s="15"/>
      <c r="C637" s="15"/>
      <c r="D637" s="15"/>
      <c r="E637" s="15"/>
      <c r="F637" s="15"/>
      <c r="G637" s="15"/>
      <c r="H637" s="15"/>
      <c r="I637" s="15"/>
      <c r="J637" s="15"/>
      <c r="K637" s="15"/>
      <c r="L637" s="15"/>
      <c r="M637" s="15"/>
      <c r="N637" s="15"/>
      <c r="O637" s="15"/>
      <c r="P637" s="15"/>
      <c r="Q637" s="15"/>
      <c r="R637" s="15"/>
      <c r="S637" s="15"/>
      <c r="T637" s="15"/>
      <c r="U637" s="15"/>
      <c r="V637" s="15"/>
      <c r="W637" s="15"/>
      <c r="X637" s="15"/>
      <c r="Y637" s="15"/>
      <c r="Z637" s="15"/>
      <c r="AA637" s="15"/>
      <c r="AB637" s="15"/>
      <c r="AC637" s="15"/>
      <c r="AD637" s="15"/>
      <c r="AE637" s="15"/>
      <c r="AF637" s="15"/>
      <c r="AG637" s="15"/>
      <c r="AH637" s="15"/>
      <c r="AI637" s="15"/>
      <c r="AJ637" s="15"/>
      <c r="AK637" s="15"/>
      <c r="AL637" s="15"/>
    </row>
    <row r="638" spans="2:38" x14ac:dyDescent="0.35">
      <c r="B638" s="15"/>
      <c r="C638" s="15"/>
      <c r="D638" s="15"/>
      <c r="E638" s="15"/>
      <c r="F638" s="15"/>
      <c r="G638" s="15"/>
      <c r="H638" s="15"/>
      <c r="I638" s="15"/>
      <c r="J638" s="15"/>
      <c r="K638" s="15"/>
      <c r="L638" s="15"/>
      <c r="M638" s="15"/>
      <c r="N638" s="15"/>
      <c r="O638" s="15"/>
      <c r="P638" s="15"/>
      <c r="Q638" s="15"/>
      <c r="R638" s="15"/>
      <c r="S638" s="15"/>
      <c r="T638" s="15"/>
      <c r="U638" s="15"/>
      <c r="V638" s="15"/>
      <c r="W638" s="15"/>
      <c r="X638" s="15"/>
      <c r="Y638" s="15"/>
      <c r="Z638" s="15"/>
      <c r="AA638" s="15"/>
      <c r="AB638" s="15"/>
      <c r="AC638" s="15"/>
      <c r="AD638" s="15"/>
      <c r="AE638" s="15"/>
      <c r="AF638" s="15"/>
      <c r="AG638" s="15"/>
      <c r="AH638" s="15"/>
      <c r="AI638" s="15"/>
      <c r="AJ638" s="15"/>
      <c r="AK638" s="15"/>
      <c r="AL638" s="15"/>
    </row>
    <row r="639" spans="2:38" x14ac:dyDescent="0.35">
      <c r="B639" s="15"/>
      <c r="C639" s="15"/>
      <c r="D639" s="15"/>
      <c r="E639" s="15"/>
      <c r="F639" s="15"/>
      <c r="G639" s="15"/>
      <c r="H639" s="15"/>
      <c r="I639" s="15"/>
      <c r="J639" s="15"/>
      <c r="K639" s="15"/>
      <c r="L639" s="15"/>
      <c r="M639" s="15"/>
      <c r="N639" s="15"/>
      <c r="O639" s="15"/>
      <c r="P639" s="15"/>
      <c r="Q639" s="15"/>
      <c r="R639" s="15"/>
      <c r="S639" s="15"/>
      <c r="T639" s="15"/>
      <c r="U639" s="15"/>
      <c r="V639" s="15"/>
      <c r="W639" s="15"/>
      <c r="X639" s="15"/>
      <c r="Y639" s="15"/>
      <c r="Z639" s="15"/>
      <c r="AA639" s="15"/>
      <c r="AB639" s="15"/>
      <c r="AC639" s="15"/>
      <c r="AD639" s="15"/>
      <c r="AE639" s="15"/>
      <c r="AF639" s="15"/>
      <c r="AG639" s="15"/>
      <c r="AH639" s="15"/>
      <c r="AI639" s="15"/>
      <c r="AJ639" s="15"/>
      <c r="AK639" s="15"/>
      <c r="AL639" s="15"/>
    </row>
    <row r="640" spans="2:38" x14ac:dyDescent="0.35">
      <c r="B640" s="15"/>
      <c r="C640" s="15"/>
      <c r="D640" s="15"/>
      <c r="E640" s="15"/>
      <c r="F640" s="15"/>
      <c r="G640" s="15"/>
      <c r="H640" s="15"/>
      <c r="I640" s="15"/>
      <c r="J640" s="15"/>
      <c r="K640" s="15"/>
      <c r="L640" s="15"/>
      <c r="M640" s="15"/>
      <c r="N640" s="15"/>
      <c r="O640" s="15"/>
      <c r="P640" s="15"/>
      <c r="Q640" s="15"/>
      <c r="R640" s="15"/>
      <c r="S640" s="15"/>
      <c r="T640" s="15"/>
      <c r="U640" s="15"/>
      <c r="V640" s="15"/>
      <c r="W640" s="15"/>
      <c r="X640" s="15"/>
      <c r="Y640" s="15"/>
      <c r="Z640" s="15"/>
      <c r="AA640" s="15"/>
      <c r="AB640" s="15"/>
      <c r="AC640" s="15"/>
      <c r="AD640" s="15"/>
      <c r="AE640" s="15"/>
      <c r="AF640" s="15"/>
      <c r="AG640" s="15"/>
      <c r="AH640" s="15"/>
      <c r="AI640" s="15"/>
      <c r="AJ640" s="15"/>
      <c r="AK640" s="15"/>
      <c r="AL640" s="15"/>
    </row>
    <row r="641" spans="2:38" x14ac:dyDescent="0.35">
      <c r="B641" s="15"/>
      <c r="C641" s="15"/>
      <c r="D641" s="15"/>
      <c r="E641" s="15"/>
      <c r="F641" s="15"/>
      <c r="G641" s="15"/>
      <c r="H641" s="15"/>
      <c r="I641" s="15"/>
      <c r="J641" s="15"/>
      <c r="K641" s="15"/>
      <c r="L641" s="15"/>
      <c r="M641" s="15"/>
      <c r="N641" s="15"/>
      <c r="O641" s="15"/>
      <c r="P641" s="15"/>
      <c r="Q641" s="15"/>
      <c r="R641" s="15"/>
      <c r="S641" s="15"/>
      <c r="T641" s="15"/>
      <c r="U641" s="15"/>
      <c r="V641" s="15"/>
      <c r="W641" s="15"/>
      <c r="X641" s="15"/>
      <c r="Y641" s="15"/>
      <c r="Z641" s="15"/>
      <c r="AA641" s="15"/>
      <c r="AB641" s="15"/>
      <c r="AC641" s="15"/>
      <c r="AD641" s="15"/>
      <c r="AE641" s="15"/>
      <c r="AF641" s="15"/>
      <c r="AG641" s="15"/>
      <c r="AH641" s="15"/>
      <c r="AI641" s="15"/>
      <c r="AJ641" s="15"/>
      <c r="AK641" s="15"/>
      <c r="AL641" s="15"/>
    </row>
    <row r="642" spans="2:38" x14ac:dyDescent="0.35">
      <c r="B642" s="15"/>
      <c r="C642" s="15"/>
      <c r="D642" s="15"/>
      <c r="E642" s="15"/>
      <c r="F642" s="15"/>
      <c r="G642" s="15"/>
      <c r="H642" s="15"/>
      <c r="I642" s="15"/>
      <c r="J642" s="15"/>
      <c r="K642" s="15"/>
      <c r="L642" s="15"/>
      <c r="M642" s="15"/>
      <c r="N642" s="15"/>
      <c r="O642" s="15"/>
      <c r="P642" s="15"/>
      <c r="Q642" s="15"/>
      <c r="R642" s="15"/>
      <c r="S642" s="15"/>
      <c r="T642" s="15"/>
      <c r="U642" s="15"/>
      <c r="V642" s="15"/>
      <c r="W642" s="15"/>
      <c r="X642" s="15"/>
      <c r="Y642" s="15"/>
      <c r="Z642" s="15"/>
      <c r="AA642" s="15"/>
      <c r="AB642" s="15"/>
      <c r="AC642" s="15"/>
      <c r="AD642" s="15"/>
      <c r="AE642" s="15"/>
      <c r="AF642" s="15"/>
      <c r="AG642" s="15"/>
      <c r="AH642" s="15"/>
      <c r="AI642" s="15"/>
      <c r="AJ642" s="15"/>
      <c r="AK642" s="15"/>
      <c r="AL642" s="15"/>
    </row>
    <row r="643" spans="2:38" x14ac:dyDescent="0.35">
      <c r="B643" s="15"/>
      <c r="C643" s="15"/>
      <c r="D643" s="15"/>
      <c r="E643" s="15"/>
      <c r="F643" s="15"/>
      <c r="G643" s="15"/>
      <c r="H643" s="15"/>
      <c r="I643" s="15"/>
      <c r="J643" s="15"/>
      <c r="K643" s="15"/>
      <c r="L643" s="15"/>
      <c r="M643" s="15"/>
      <c r="N643" s="15"/>
      <c r="O643" s="15"/>
      <c r="P643" s="15"/>
      <c r="Q643" s="15"/>
      <c r="R643" s="15"/>
      <c r="S643" s="15"/>
      <c r="T643" s="15"/>
      <c r="U643" s="15"/>
      <c r="V643" s="15"/>
      <c r="W643" s="15"/>
      <c r="X643" s="15"/>
      <c r="Y643" s="15"/>
      <c r="Z643" s="15"/>
      <c r="AA643" s="15"/>
      <c r="AB643" s="15"/>
      <c r="AC643" s="15"/>
      <c r="AD643" s="15"/>
      <c r="AE643" s="15"/>
      <c r="AF643" s="15"/>
      <c r="AG643" s="15"/>
      <c r="AH643" s="15"/>
      <c r="AI643" s="15"/>
      <c r="AJ643" s="15"/>
      <c r="AK643" s="15"/>
      <c r="AL643" s="15"/>
    </row>
    <row r="644" spans="2:38" x14ac:dyDescent="0.35">
      <c r="B644" s="15"/>
      <c r="C644" s="15"/>
      <c r="D644" s="15"/>
      <c r="E644" s="15"/>
      <c r="F644" s="15"/>
      <c r="G644" s="15"/>
      <c r="H644" s="15"/>
      <c r="I644" s="15"/>
      <c r="J644" s="15"/>
      <c r="K644" s="15"/>
      <c r="L644" s="15"/>
      <c r="M644" s="15"/>
      <c r="N644" s="15"/>
      <c r="O644" s="15"/>
      <c r="P644" s="15"/>
      <c r="Q644" s="15"/>
      <c r="R644" s="15"/>
      <c r="S644" s="15"/>
      <c r="T644" s="15"/>
      <c r="U644" s="15"/>
      <c r="V644" s="15"/>
      <c r="W644" s="15"/>
      <c r="X644" s="15"/>
      <c r="Y644" s="15"/>
      <c r="Z644" s="15"/>
      <c r="AA644" s="15"/>
      <c r="AB644" s="15"/>
      <c r="AC644" s="15"/>
      <c r="AD644" s="15"/>
      <c r="AE644" s="15"/>
      <c r="AF644" s="15"/>
      <c r="AG644" s="15"/>
      <c r="AH644" s="15"/>
      <c r="AI644" s="15"/>
      <c r="AJ644" s="15"/>
      <c r="AK644" s="15"/>
      <c r="AL644" s="15"/>
    </row>
    <row r="645" spans="2:38" x14ac:dyDescent="0.35">
      <c r="B645" s="15"/>
      <c r="C645" s="15"/>
      <c r="D645" s="15"/>
      <c r="E645" s="15"/>
      <c r="F645" s="15"/>
      <c r="G645" s="15"/>
      <c r="H645" s="15"/>
      <c r="I645" s="15"/>
      <c r="J645" s="15"/>
      <c r="K645" s="15"/>
      <c r="L645" s="15"/>
      <c r="M645" s="15"/>
      <c r="N645" s="15"/>
      <c r="O645" s="15"/>
      <c r="P645" s="15"/>
      <c r="Q645" s="15"/>
      <c r="R645" s="15"/>
      <c r="S645" s="15"/>
      <c r="T645" s="15"/>
      <c r="U645" s="15"/>
      <c r="V645" s="15"/>
      <c r="W645" s="15"/>
      <c r="X645" s="15"/>
      <c r="Y645" s="15"/>
      <c r="Z645" s="15"/>
      <c r="AA645" s="15"/>
      <c r="AB645" s="15"/>
      <c r="AC645" s="15"/>
      <c r="AD645" s="15"/>
      <c r="AE645" s="15"/>
      <c r="AF645" s="15"/>
      <c r="AG645" s="15"/>
      <c r="AH645" s="15"/>
      <c r="AI645" s="15"/>
      <c r="AJ645" s="15"/>
      <c r="AK645" s="15"/>
      <c r="AL645" s="15"/>
    </row>
    <row r="646" spans="2:38" x14ac:dyDescent="0.35">
      <c r="B646" s="15"/>
      <c r="C646" s="15"/>
      <c r="D646" s="15"/>
      <c r="E646" s="15"/>
      <c r="F646" s="15"/>
      <c r="G646" s="15"/>
      <c r="H646" s="15"/>
      <c r="I646" s="15"/>
      <c r="J646" s="15"/>
      <c r="K646" s="15"/>
      <c r="L646" s="15"/>
      <c r="M646" s="15"/>
      <c r="N646" s="15"/>
      <c r="O646" s="15"/>
      <c r="P646" s="15"/>
      <c r="Q646" s="15"/>
      <c r="R646" s="15"/>
      <c r="S646" s="15"/>
      <c r="T646" s="15"/>
      <c r="U646" s="15"/>
      <c r="V646" s="15"/>
      <c r="W646" s="15"/>
      <c r="X646" s="15"/>
      <c r="Y646" s="15"/>
      <c r="Z646" s="15"/>
      <c r="AA646" s="15"/>
      <c r="AB646" s="15"/>
      <c r="AC646" s="15"/>
      <c r="AD646" s="15"/>
      <c r="AE646" s="15"/>
      <c r="AF646" s="15"/>
      <c r="AG646" s="15"/>
      <c r="AH646" s="15"/>
      <c r="AI646" s="15"/>
      <c r="AJ646" s="15"/>
      <c r="AK646" s="15"/>
      <c r="AL646" s="15"/>
    </row>
    <row r="647" spans="2:38" x14ac:dyDescent="0.35">
      <c r="B647" s="15"/>
      <c r="C647" s="15"/>
      <c r="D647" s="15"/>
      <c r="E647" s="15"/>
      <c r="F647" s="15"/>
      <c r="G647" s="15"/>
      <c r="H647" s="15"/>
      <c r="I647" s="15"/>
      <c r="J647" s="15"/>
      <c r="K647" s="15"/>
      <c r="L647" s="15"/>
      <c r="M647" s="15"/>
      <c r="N647" s="15"/>
      <c r="O647" s="15"/>
      <c r="P647" s="15"/>
      <c r="Q647" s="15"/>
      <c r="R647" s="15"/>
      <c r="S647" s="15"/>
      <c r="T647" s="15"/>
      <c r="U647" s="15"/>
      <c r="V647" s="15"/>
      <c r="W647" s="15"/>
      <c r="X647" s="15"/>
      <c r="Y647" s="15"/>
      <c r="Z647" s="15"/>
      <c r="AA647" s="15"/>
      <c r="AB647" s="15"/>
      <c r="AC647" s="15"/>
      <c r="AD647" s="15"/>
      <c r="AE647" s="15"/>
      <c r="AF647" s="15"/>
      <c r="AG647" s="15"/>
      <c r="AH647" s="15"/>
      <c r="AI647" s="15"/>
      <c r="AJ647" s="15"/>
      <c r="AK647" s="15"/>
      <c r="AL647" s="15"/>
    </row>
    <row r="648" spans="2:38" x14ac:dyDescent="0.35">
      <c r="B648" s="15"/>
      <c r="C648" s="15"/>
      <c r="D648" s="15"/>
      <c r="E648" s="15"/>
      <c r="F648" s="15"/>
      <c r="G648" s="15"/>
      <c r="H648" s="15"/>
      <c r="I648" s="15"/>
      <c r="J648" s="15"/>
      <c r="K648" s="15"/>
      <c r="L648" s="15"/>
      <c r="M648" s="15"/>
      <c r="N648" s="15"/>
      <c r="O648" s="15"/>
      <c r="P648" s="15"/>
      <c r="Q648" s="15"/>
      <c r="R648" s="15"/>
      <c r="S648" s="15"/>
      <c r="T648" s="15"/>
      <c r="U648" s="15"/>
      <c r="V648" s="15"/>
      <c r="W648" s="15"/>
      <c r="X648" s="15"/>
      <c r="Y648" s="15"/>
      <c r="Z648" s="15"/>
      <c r="AA648" s="15"/>
      <c r="AB648" s="15"/>
      <c r="AC648" s="15"/>
      <c r="AD648" s="15"/>
      <c r="AE648" s="15"/>
      <c r="AF648" s="15"/>
      <c r="AG648" s="15"/>
      <c r="AH648" s="15"/>
      <c r="AI648" s="15"/>
      <c r="AJ648" s="15"/>
      <c r="AK648" s="15"/>
      <c r="AL648" s="15"/>
    </row>
    <row r="649" spans="2:38" x14ac:dyDescent="0.35">
      <c r="B649" s="15"/>
      <c r="C649" s="15"/>
      <c r="D649" s="15"/>
      <c r="E649" s="15"/>
      <c r="F649" s="15"/>
      <c r="G649" s="15"/>
      <c r="H649" s="15"/>
      <c r="I649" s="15"/>
      <c r="J649" s="15"/>
      <c r="K649" s="15"/>
      <c r="L649" s="15"/>
      <c r="M649" s="15"/>
      <c r="N649" s="15"/>
      <c r="O649" s="15"/>
      <c r="P649" s="15"/>
      <c r="Q649" s="15"/>
      <c r="R649" s="15"/>
      <c r="S649" s="15"/>
      <c r="T649" s="15"/>
      <c r="U649" s="15"/>
      <c r="V649" s="15"/>
      <c r="W649" s="15"/>
      <c r="X649" s="15"/>
      <c r="Y649" s="15"/>
      <c r="Z649" s="15"/>
      <c r="AA649" s="15"/>
      <c r="AB649" s="15"/>
      <c r="AC649" s="15"/>
      <c r="AD649" s="15"/>
      <c r="AE649" s="15"/>
      <c r="AF649" s="15"/>
      <c r="AG649" s="15"/>
      <c r="AH649" s="15"/>
      <c r="AI649" s="15"/>
      <c r="AJ649" s="15"/>
      <c r="AK649" s="15"/>
      <c r="AL649" s="15"/>
    </row>
    <row r="650" spans="2:38" x14ac:dyDescent="0.35">
      <c r="B650" s="15"/>
      <c r="C650" s="15"/>
      <c r="D650" s="15"/>
      <c r="E650" s="15"/>
      <c r="F650" s="15"/>
      <c r="G650" s="15"/>
      <c r="H650" s="15"/>
      <c r="I650" s="15"/>
      <c r="J650" s="15"/>
      <c r="K650" s="15"/>
      <c r="L650" s="15"/>
      <c r="M650" s="15"/>
      <c r="N650" s="15"/>
      <c r="O650" s="15"/>
      <c r="P650" s="15"/>
      <c r="Q650" s="15"/>
      <c r="R650" s="15"/>
      <c r="S650" s="15"/>
      <c r="T650" s="15"/>
      <c r="U650" s="15"/>
      <c r="V650" s="15"/>
      <c r="W650" s="15"/>
      <c r="X650" s="15"/>
      <c r="Y650" s="15"/>
      <c r="Z650" s="15"/>
      <c r="AA650" s="15"/>
      <c r="AB650" s="15"/>
      <c r="AC650" s="15"/>
      <c r="AD650" s="15"/>
      <c r="AE650" s="15"/>
      <c r="AF650" s="15"/>
      <c r="AG650" s="15"/>
      <c r="AH650" s="15"/>
      <c r="AI650" s="15"/>
      <c r="AJ650" s="15"/>
      <c r="AK650" s="15"/>
      <c r="AL650" s="15"/>
    </row>
    <row r="651" spans="2:38" x14ac:dyDescent="0.35">
      <c r="B651" s="15"/>
      <c r="C651" s="15"/>
      <c r="D651" s="15"/>
      <c r="E651" s="15"/>
      <c r="F651" s="15"/>
      <c r="G651" s="15"/>
      <c r="H651" s="15"/>
      <c r="I651" s="15"/>
      <c r="J651" s="15"/>
      <c r="K651" s="15"/>
      <c r="L651" s="15"/>
      <c r="M651" s="15"/>
      <c r="N651" s="15"/>
      <c r="O651" s="15"/>
      <c r="P651" s="15"/>
      <c r="Q651" s="15"/>
      <c r="R651" s="15"/>
      <c r="S651" s="15"/>
      <c r="T651" s="15"/>
      <c r="U651" s="15"/>
      <c r="V651" s="15"/>
      <c r="W651" s="15"/>
      <c r="X651" s="15"/>
      <c r="Y651" s="15"/>
      <c r="Z651" s="15"/>
      <c r="AA651" s="15"/>
      <c r="AB651" s="15"/>
      <c r="AC651" s="15"/>
      <c r="AD651" s="15"/>
      <c r="AE651" s="15"/>
      <c r="AF651" s="15"/>
      <c r="AG651" s="15"/>
      <c r="AH651" s="15"/>
      <c r="AI651" s="15"/>
      <c r="AJ651" s="15"/>
      <c r="AK651" s="15"/>
      <c r="AL651" s="15"/>
    </row>
    <row r="652" spans="2:38" x14ac:dyDescent="0.35">
      <c r="B652" s="15"/>
      <c r="C652" s="15"/>
      <c r="D652" s="15"/>
      <c r="E652" s="15"/>
      <c r="F652" s="15"/>
      <c r="G652" s="15"/>
      <c r="H652" s="15"/>
      <c r="I652" s="15"/>
      <c r="J652" s="15"/>
      <c r="K652" s="15"/>
      <c r="L652" s="15"/>
      <c r="M652" s="15"/>
      <c r="N652" s="15"/>
      <c r="O652" s="15"/>
      <c r="P652" s="15"/>
      <c r="Q652" s="15"/>
      <c r="R652" s="15"/>
      <c r="S652" s="15"/>
      <c r="T652" s="15"/>
      <c r="U652" s="15"/>
      <c r="V652" s="15"/>
      <c r="W652" s="15"/>
      <c r="X652" s="15"/>
      <c r="Y652" s="15"/>
      <c r="Z652" s="15"/>
      <c r="AA652" s="15"/>
      <c r="AB652" s="15"/>
      <c r="AC652" s="15"/>
      <c r="AD652" s="15"/>
      <c r="AE652" s="15"/>
      <c r="AF652" s="15"/>
      <c r="AG652" s="15"/>
      <c r="AH652" s="15"/>
      <c r="AI652" s="15"/>
      <c r="AJ652" s="15"/>
      <c r="AK652" s="15"/>
      <c r="AL652" s="15"/>
    </row>
    <row r="653" spans="2:38" x14ac:dyDescent="0.35">
      <c r="B653" s="15"/>
      <c r="C653" s="15"/>
      <c r="D653" s="15"/>
      <c r="E653" s="15"/>
      <c r="F653" s="15"/>
      <c r="G653" s="15"/>
      <c r="H653" s="15"/>
      <c r="I653" s="15"/>
      <c r="J653" s="15"/>
      <c r="K653" s="15"/>
      <c r="L653" s="15"/>
      <c r="M653" s="15"/>
      <c r="N653" s="15"/>
      <c r="O653" s="15"/>
      <c r="P653" s="15"/>
      <c r="Q653" s="15"/>
      <c r="R653" s="15"/>
      <c r="S653" s="15"/>
      <c r="T653" s="15"/>
      <c r="U653" s="15"/>
      <c r="V653" s="15"/>
      <c r="W653" s="15"/>
      <c r="X653" s="15"/>
      <c r="Y653" s="15"/>
      <c r="Z653" s="15"/>
      <c r="AA653" s="15"/>
      <c r="AB653" s="15"/>
      <c r="AC653" s="15"/>
      <c r="AD653" s="15"/>
      <c r="AE653" s="15"/>
      <c r="AF653" s="15"/>
      <c r="AG653" s="15"/>
      <c r="AH653" s="15"/>
      <c r="AI653" s="15"/>
      <c r="AJ653" s="15"/>
      <c r="AK653" s="15"/>
      <c r="AL653" s="15"/>
    </row>
    <row r="654" spans="2:38" x14ac:dyDescent="0.35">
      <c r="B654" s="15"/>
      <c r="C654" s="15"/>
      <c r="D654" s="15"/>
      <c r="E654" s="15"/>
      <c r="F654" s="15"/>
      <c r="G654" s="15"/>
      <c r="H654" s="15"/>
      <c r="I654" s="15"/>
      <c r="J654" s="15"/>
      <c r="K654" s="15"/>
      <c r="L654" s="15"/>
      <c r="M654" s="15"/>
      <c r="N654" s="15"/>
      <c r="O654" s="15"/>
      <c r="P654" s="15"/>
      <c r="Q654" s="15"/>
      <c r="R654" s="15"/>
      <c r="S654" s="15"/>
      <c r="T654" s="15"/>
      <c r="U654" s="15"/>
      <c r="V654" s="15"/>
      <c r="W654" s="15"/>
      <c r="X654" s="15"/>
      <c r="Y654" s="15"/>
      <c r="Z654" s="15"/>
      <c r="AA654" s="15"/>
      <c r="AB654" s="15"/>
      <c r="AC654" s="15"/>
      <c r="AD654" s="15"/>
      <c r="AE654" s="15"/>
      <c r="AF654" s="15"/>
      <c r="AG654" s="15"/>
      <c r="AH654" s="15"/>
      <c r="AI654" s="15"/>
      <c r="AJ654" s="15"/>
      <c r="AK654" s="15"/>
      <c r="AL654" s="15"/>
    </row>
    <row r="655" spans="2:38" x14ac:dyDescent="0.35">
      <c r="B655" s="15"/>
      <c r="C655" s="15"/>
      <c r="D655" s="15"/>
      <c r="E655" s="15"/>
      <c r="F655" s="15"/>
      <c r="G655" s="15"/>
      <c r="H655" s="15"/>
      <c r="I655" s="15"/>
      <c r="J655" s="15"/>
      <c r="K655" s="15"/>
      <c r="L655" s="15"/>
      <c r="M655" s="15"/>
      <c r="N655" s="15"/>
      <c r="O655" s="15"/>
      <c r="P655" s="15"/>
      <c r="Q655" s="15"/>
      <c r="R655" s="15"/>
      <c r="S655" s="15"/>
      <c r="T655" s="15"/>
      <c r="U655" s="15"/>
      <c r="V655" s="15"/>
      <c r="W655" s="15"/>
      <c r="X655" s="15"/>
      <c r="Y655" s="15"/>
      <c r="Z655" s="15"/>
      <c r="AA655" s="15"/>
      <c r="AB655" s="15"/>
      <c r="AC655" s="15"/>
      <c r="AD655" s="15"/>
      <c r="AE655" s="15"/>
      <c r="AF655" s="15"/>
      <c r="AG655" s="15"/>
      <c r="AH655" s="15"/>
      <c r="AI655" s="15"/>
      <c r="AJ655" s="15"/>
      <c r="AK655" s="15"/>
      <c r="AL655" s="15"/>
    </row>
    <row r="656" spans="2:38" x14ac:dyDescent="0.35">
      <c r="B656" s="15"/>
      <c r="C656" s="15"/>
      <c r="D656" s="15"/>
      <c r="E656" s="15"/>
      <c r="F656" s="15"/>
      <c r="G656" s="15"/>
      <c r="H656" s="15"/>
      <c r="I656" s="15"/>
      <c r="J656" s="15"/>
      <c r="K656" s="15"/>
      <c r="L656" s="15"/>
      <c r="M656" s="15"/>
      <c r="N656" s="15"/>
      <c r="O656" s="15"/>
      <c r="P656" s="15"/>
      <c r="Q656" s="15"/>
      <c r="R656" s="15"/>
      <c r="S656" s="15"/>
      <c r="T656" s="15"/>
      <c r="U656" s="15"/>
      <c r="V656" s="15"/>
      <c r="W656" s="15"/>
      <c r="X656" s="15"/>
      <c r="Y656" s="15"/>
      <c r="Z656" s="15"/>
      <c r="AA656" s="15"/>
      <c r="AB656" s="15"/>
      <c r="AC656" s="15"/>
      <c r="AD656" s="15"/>
      <c r="AE656" s="15"/>
      <c r="AF656" s="15"/>
      <c r="AG656" s="15"/>
      <c r="AH656" s="15"/>
      <c r="AI656" s="15"/>
      <c r="AJ656" s="15"/>
      <c r="AK656" s="15"/>
      <c r="AL656" s="15"/>
    </row>
    <row r="657" spans="2:38" x14ac:dyDescent="0.35">
      <c r="B657" s="15"/>
      <c r="C657" s="15"/>
      <c r="D657" s="15"/>
      <c r="E657" s="15"/>
      <c r="F657" s="15"/>
      <c r="G657" s="15"/>
      <c r="H657" s="15"/>
      <c r="I657" s="15"/>
      <c r="J657" s="15"/>
      <c r="K657" s="15"/>
      <c r="L657" s="15"/>
      <c r="M657" s="15"/>
      <c r="N657" s="15"/>
      <c r="O657" s="15"/>
      <c r="P657" s="15"/>
      <c r="Q657" s="15"/>
      <c r="R657" s="15"/>
      <c r="S657" s="15"/>
      <c r="T657" s="15"/>
      <c r="U657" s="15"/>
      <c r="V657" s="15"/>
      <c r="W657" s="15"/>
      <c r="X657" s="15"/>
      <c r="Y657" s="15"/>
      <c r="Z657" s="15"/>
      <c r="AA657" s="15"/>
      <c r="AB657" s="15"/>
      <c r="AC657" s="15"/>
      <c r="AD657" s="15"/>
      <c r="AE657" s="15"/>
      <c r="AF657" s="15"/>
      <c r="AG657" s="15"/>
      <c r="AH657" s="15"/>
      <c r="AI657" s="15"/>
      <c r="AJ657" s="15"/>
      <c r="AK657" s="15"/>
      <c r="AL657" s="15"/>
    </row>
    <row r="658" spans="2:38" x14ac:dyDescent="0.35">
      <c r="B658" s="15"/>
      <c r="C658" s="15"/>
      <c r="D658" s="15"/>
      <c r="E658" s="15"/>
      <c r="F658" s="15"/>
      <c r="G658" s="15"/>
      <c r="H658" s="15"/>
      <c r="I658" s="15"/>
      <c r="J658" s="15"/>
      <c r="K658" s="15"/>
      <c r="L658" s="15"/>
      <c r="M658" s="15"/>
      <c r="N658" s="15"/>
      <c r="O658" s="15"/>
      <c r="P658" s="15"/>
      <c r="Q658" s="15"/>
      <c r="R658" s="15"/>
      <c r="S658" s="15"/>
      <c r="T658" s="15"/>
      <c r="U658" s="15"/>
      <c r="V658" s="15"/>
      <c r="W658" s="15"/>
      <c r="X658" s="15"/>
      <c r="Y658" s="15"/>
      <c r="Z658" s="15"/>
      <c r="AA658" s="15"/>
      <c r="AB658" s="15"/>
      <c r="AC658" s="15"/>
      <c r="AD658" s="15"/>
      <c r="AE658" s="15"/>
      <c r="AF658" s="15"/>
      <c r="AG658" s="15"/>
      <c r="AH658" s="15"/>
      <c r="AI658" s="15"/>
      <c r="AJ658" s="15"/>
      <c r="AK658" s="15"/>
      <c r="AL658" s="15"/>
    </row>
    <row r="659" spans="2:38" x14ac:dyDescent="0.35">
      <c r="B659" s="15"/>
      <c r="C659" s="15"/>
      <c r="D659" s="15"/>
      <c r="E659" s="15"/>
      <c r="F659" s="15"/>
      <c r="G659" s="15"/>
      <c r="H659" s="15"/>
      <c r="I659" s="15"/>
      <c r="J659" s="15"/>
      <c r="K659" s="15"/>
      <c r="L659" s="15"/>
      <c r="M659" s="15"/>
      <c r="N659" s="15"/>
      <c r="O659" s="15"/>
      <c r="P659" s="15"/>
      <c r="Q659" s="15"/>
      <c r="R659" s="15"/>
      <c r="S659" s="15"/>
      <c r="T659" s="15"/>
      <c r="U659" s="15"/>
      <c r="V659" s="15"/>
      <c r="W659" s="15"/>
      <c r="X659" s="15"/>
      <c r="Y659" s="15"/>
      <c r="Z659" s="15"/>
      <c r="AA659" s="15"/>
      <c r="AB659" s="15"/>
      <c r="AC659" s="15"/>
      <c r="AD659" s="15"/>
      <c r="AE659" s="15"/>
      <c r="AF659" s="15"/>
      <c r="AG659" s="15"/>
      <c r="AH659" s="15"/>
      <c r="AI659" s="15"/>
      <c r="AJ659" s="15"/>
      <c r="AK659" s="15"/>
      <c r="AL659" s="15"/>
    </row>
    <row r="660" spans="2:38" x14ac:dyDescent="0.35">
      <c r="B660" s="15"/>
      <c r="C660" s="15"/>
      <c r="D660" s="15"/>
      <c r="E660" s="15"/>
      <c r="F660" s="15"/>
      <c r="G660" s="15"/>
      <c r="H660" s="15"/>
      <c r="I660" s="15"/>
      <c r="J660" s="15"/>
      <c r="K660" s="15"/>
      <c r="L660" s="15"/>
      <c r="M660" s="15"/>
      <c r="N660" s="15"/>
      <c r="O660" s="15"/>
      <c r="P660" s="15"/>
      <c r="Q660" s="15"/>
      <c r="R660" s="15"/>
      <c r="S660" s="15"/>
      <c r="T660" s="15"/>
      <c r="U660" s="15"/>
      <c r="V660" s="15"/>
      <c r="W660" s="15"/>
      <c r="X660" s="15"/>
      <c r="Y660" s="15"/>
      <c r="Z660" s="15"/>
      <c r="AA660" s="15"/>
      <c r="AB660" s="15"/>
      <c r="AC660" s="15"/>
      <c r="AD660" s="15"/>
      <c r="AE660" s="15"/>
      <c r="AF660" s="15"/>
      <c r="AG660" s="15"/>
      <c r="AH660" s="15"/>
      <c r="AI660" s="15"/>
      <c r="AJ660" s="15"/>
      <c r="AK660" s="15"/>
      <c r="AL660" s="15"/>
    </row>
    <row r="661" spans="2:38" x14ac:dyDescent="0.35">
      <c r="B661" s="15"/>
      <c r="C661" s="15"/>
      <c r="D661" s="15"/>
      <c r="E661" s="15"/>
      <c r="F661" s="15"/>
      <c r="G661" s="15"/>
      <c r="H661" s="15"/>
      <c r="I661" s="15"/>
      <c r="J661" s="15"/>
      <c r="K661" s="15"/>
      <c r="L661" s="15"/>
      <c r="M661" s="15"/>
      <c r="N661" s="15"/>
      <c r="O661" s="15"/>
      <c r="P661" s="15"/>
      <c r="Q661" s="15"/>
      <c r="R661" s="15"/>
      <c r="S661" s="15"/>
      <c r="T661" s="15"/>
      <c r="U661" s="15"/>
      <c r="V661" s="15"/>
      <c r="W661" s="15"/>
      <c r="X661" s="15"/>
      <c r="Y661" s="15"/>
      <c r="Z661" s="15"/>
      <c r="AA661" s="15"/>
      <c r="AB661" s="15"/>
      <c r="AC661" s="15"/>
      <c r="AD661" s="15"/>
      <c r="AE661" s="15"/>
      <c r="AF661" s="15"/>
      <c r="AG661" s="15"/>
      <c r="AH661" s="15"/>
      <c r="AI661" s="15"/>
      <c r="AJ661" s="15"/>
      <c r="AK661" s="15"/>
      <c r="AL661" s="15"/>
    </row>
    <row r="662" spans="2:38" x14ac:dyDescent="0.35">
      <c r="B662" s="15"/>
      <c r="C662" s="15"/>
      <c r="D662" s="15"/>
      <c r="E662" s="15"/>
      <c r="F662" s="15"/>
      <c r="G662" s="15"/>
      <c r="H662" s="15"/>
      <c r="I662" s="15"/>
      <c r="J662" s="15"/>
      <c r="K662" s="15"/>
      <c r="L662" s="15"/>
      <c r="M662" s="15"/>
      <c r="N662" s="15"/>
      <c r="O662" s="15"/>
      <c r="P662" s="15"/>
      <c r="Q662" s="15"/>
      <c r="R662" s="15"/>
      <c r="S662" s="15"/>
      <c r="T662" s="15"/>
      <c r="U662" s="15"/>
      <c r="V662" s="15"/>
      <c r="W662" s="15"/>
      <c r="X662" s="15"/>
      <c r="Y662" s="15"/>
      <c r="Z662" s="15"/>
      <c r="AA662" s="15"/>
      <c r="AB662" s="15"/>
      <c r="AC662" s="15"/>
      <c r="AD662" s="15"/>
      <c r="AE662" s="15"/>
      <c r="AF662" s="15"/>
      <c r="AG662" s="15"/>
      <c r="AH662" s="15"/>
      <c r="AI662" s="15"/>
      <c r="AJ662" s="15"/>
      <c r="AK662" s="15"/>
      <c r="AL662" s="15"/>
    </row>
    <row r="663" spans="2:38" x14ac:dyDescent="0.35">
      <c r="B663" s="15"/>
      <c r="C663" s="15"/>
      <c r="D663" s="15"/>
      <c r="E663" s="15"/>
      <c r="F663" s="15"/>
      <c r="G663" s="15"/>
      <c r="H663" s="15"/>
      <c r="I663" s="15"/>
      <c r="J663" s="15"/>
      <c r="K663" s="15"/>
      <c r="L663" s="15"/>
      <c r="M663" s="15"/>
      <c r="N663" s="15"/>
      <c r="O663" s="15"/>
      <c r="P663" s="15"/>
      <c r="Q663" s="15"/>
      <c r="R663" s="15"/>
      <c r="S663" s="15"/>
      <c r="T663" s="15"/>
      <c r="U663" s="15"/>
      <c r="V663" s="15"/>
      <c r="W663" s="15"/>
      <c r="X663" s="15"/>
      <c r="Y663" s="15"/>
      <c r="Z663" s="15"/>
      <c r="AA663" s="15"/>
      <c r="AB663" s="15"/>
      <c r="AC663" s="15"/>
      <c r="AD663" s="15"/>
      <c r="AE663" s="15"/>
      <c r="AF663" s="15"/>
      <c r="AG663" s="15"/>
      <c r="AH663" s="15"/>
      <c r="AI663" s="15"/>
      <c r="AJ663" s="15"/>
      <c r="AK663" s="15"/>
      <c r="AL663" s="15"/>
    </row>
    <row r="664" spans="2:38" x14ac:dyDescent="0.35">
      <c r="B664" s="15"/>
      <c r="C664" s="15"/>
      <c r="D664" s="15"/>
      <c r="E664" s="15"/>
      <c r="F664" s="15"/>
      <c r="G664" s="15"/>
      <c r="H664" s="15"/>
      <c r="I664" s="15"/>
      <c r="J664" s="15"/>
      <c r="K664" s="15"/>
      <c r="L664" s="15"/>
      <c r="M664" s="15"/>
      <c r="N664" s="15"/>
      <c r="O664" s="15"/>
      <c r="P664" s="15"/>
      <c r="Q664" s="15"/>
      <c r="R664" s="15"/>
      <c r="S664" s="15"/>
      <c r="T664" s="15"/>
      <c r="U664" s="15"/>
      <c r="V664" s="15"/>
      <c r="W664" s="15"/>
      <c r="X664" s="15"/>
      <c r="Y664" s="15"/>
      <c r="Z664" s="15"/>
      <c r="AA664" s="15"/>
      <c r="AB664" s="15"/>
      <c r="AC664" s="15"/>
      <c r="AD664" s="15"/>
      <c r="AE664" s="15"/>
      <c r="AF664" s="15"/>
      <c r="AG664" s="15"/>
      <c r="AH664" s="15"/>
      <c r="AI664" s="15"/>
      <c r="AJ664" s="15"/>
      <c r="AK664" s="15"/>
      <c r="AL664" s="15"/>
    </row>
    <row r="665" spans="2:38" x14ac:dyDescent="0.35">
      <c r="B665" s="15"/>
      <c r="C665" s="15"/>
      <c r="D665" s="15"/>
      <c r="E665" s="15"/>
      <c r="F665" s="15"/>
      <c r="G665" s="15"/>
      <c r="H665" s="15"/>
      <c r="I665" s="15"/>
      <c r="J665" s="15"/>
      <c r="K665" s="15"/>
      <c r="L665" s="15"/>
      <c r="M665" s="15"/>
      <c r="N665" s="15"/>
      <c r="O665" s="15"/>
      <c r="P665" s="15"/>
      <c r="Q665" s="15"/>
      <c r="R665" s="15"/>
      <c r="S665" s="15"/>
      <c r="T665" s="15"/>
      <c r="U665" s="15"/>
      <c r="V665" s="15"/>
      <c r="W665" s="15"/>
      <c r="X665" s="15"/>
      <c r="Y665" s="15"/>
      <c r="Z665" s="15"/>
      <c r="AA665" s="15"/>
      <c r="AB665" s="15"/>
      <c r="AC665" s="15"/>
      <c r="AD665" s="15"/>
      <c r="AE665" s="15"/>
      <c r="AF665" s="15"/>
      <c r="AG665" s="15"/>
      <c r="AH665" s="15"/>
      <c r="AI665" s="15"/>
      <c r="AJ665" s="15"/>
      <c r="AK665" s="15"/>
      <c r="AL665" s="15"/>
    </row>
    <row r="666" spans="2:38" x14ac:dyDescent="0.35">
      <c r="B666" s="15"/>
      <c r="C666" s="15"/>
      <c r="D666" s="15"/>
      <c r="E666" s="15"/>
      <c r="F666" s="15"/>
      <c r="G666" s="15"/>
      <c r="H666" s="15"/>
      <c r="I666" s="15"/>
      <c r="J666" s="15"/>
      <c r="K666" s="15"/>
      <c r="L666" s="15"/>
      <c r="M666" s="15"/>
      <c r="N666" s="15"/>
      <c r="O666" s="15"/>
      <c r="P666" s="15"/>
      <c r="Q666" s="15"/>
      <c r="R666" s="15"/>
      <c r="S666" s="15"/>
      <c r="T666" s="15"/>
      <c r="U666" s="15"/>
      <c r="V666" s="15"/>
      <c r="W666" s="15"/>
      <c r="X666" s="15"/>
      <c r="Y666" s="15"/>
      <c r="Z666" s="15"/>
      <c r="AA666" s="15"/>
      <c r="AB666" s="15"/>
      <c r="AC666" s="15"/>
      <c r="AD666" s="15"/>
      <c r="AE666" s="15"/>
      <c r="AF666" s="15"/>
      <c r="AG666" s="15"/>
      <c r="AH666" s="15"/>
      <c r="AI666" s="15"/>
      <c r="AJ666" s="15"/>
      <c r="AK666" s="15"/>
      <c r="AL666" s="15"/>
    </row>
    <row r="667" spans="2:38" x14ac:dyDescent="0.35">
      <c r="B667" s="15"/>
      <c r="C667" s="15"/>
      <c r="D667" s="15"/>
      <c r="E667" s="15"/>
      <c r="F667" s="15"/>
      <c r="G667" s="15"/>
      <c r="H667" s="15"/>
      <c r="I667" s="15"/>
      <c r="J667" s="15"/>
      <c r="K667" s="15"/>
      <c r="L667" s="15"/>
      <c r="M667" s="15"/>
      <c r="N667" s="15"/>
      <c r="O667" s="15"/>
      <c r="P667" s="15"/>
      <c r="Q667" s="15"/>
      <c r="R667" s="15"/>
      <c r="S667" s="15"/>
      <c r="T667" s="15"/>
      <c r="U667" s="15"/>
      <c r="V667" s="15"/>
      <c r="W667" s="15"/>
      <c r="X667" s="15"/>
      <c r="Y667" s="15"/>
      <c r="Z667" s="15"/>
      <c r="AA667" s="15"/>
      <c r="AB667" s="15"/>
      <c r="AC667" s="15"/>
      <c r="AD667" s="15"/>
      <c r="AE667" s="15"/>
      <c r="AF667" s="15"/>
      <c r="AG667" s="15"/>
      <c r="AH667" s="15"/>
      <c r="AI667" s="15"/>
      <c r="AJ667" s="15"/>
      <c r="AK667" s="15"/>
      <c r="AL667" s="15"/>
    </row>
    <row r="668" spans="2:38" x14ac:dyDescent="0.35">
      <c r="B668" s="15"/>
      <c r="C668" s="15"/>
      <c r="D668" s="15"/>
      <c r="E668" s="15"/>
      <c r="F668" s="15"/>
      <c r="G668" s="15"/>
      <c r="H668" s="15"/>
      <c r="I668" s="15"/>
      <c r="J668" s="15"/>
      <c r="K668" s="15"/>
      <c r="L668" s="15"/>
      <c r="M668" s="15"/>
      <c r="N668" s="15"/>
      <c r="O668" s="15"/>
      <c r="P668" s="15"/>
      <c r="Q668" s="15"/>
      <c r="R668" s="15"/>
      <c r="S668" s="15"/>
      <c r="T668" s="15"/>
      <c r="U668" s="15"/>
      <c r="V668" s="15"/>
      <c r="W668" s="15"/>
      <c r="X668" s="15"/>
      <c r="Y668" s="15"/>
      <c r="Z668" s="15"/>
      <c r="AA668" s="15"/>
      <c r="AB668" s="15"/>
      <c r="AC668" s="15"/>
      <c r="AD668" s="15"/>
      <c r="AE668" s="15"/>
      <c r="AF668" s="15"/>
      <c r="AG668" s="15"/>
      <c r="AH668" s="15"/>
      <c r="AI668" s="15"/>
      <c r="AJ668" s="15"/>
      <c r="AK668" s="15"/>
      <c r="AL668" s="15"/>
    </row>
    <row r="669" spans="2:38" x14ac:dyDescent="0.35">
      <c r="B669" s="15"/>
      <c r="C669" s="15"/>
      <c r="D669" s="15"/>
      <c r="E669" s="15"/>
      <c r="F669" s="15"/>
      <c r="G669" s="15"/>
      <c r="H669" s="15"/>
      <c r="I669" s="15"/>
      <c r="J669" s="15"/>
      <c r="K669" s="15"/>
      <c r="L669" s="15"/>
      <c r="M669" s="15"/>
      <c r="N669" s="15"/>
      <c r="O669" s="15"/>
      <c r="P669" s="15"/>
      <c r="Q669" s="15"/>
      <c r="R669" s="15"/>
      <c r="S669" s="15"/>
      <c r="T669" s="15"/>
      <c r="U669" s="15"/>
      <c r="V669" s="15"/>
      <c r="W669" s="15"/>
      <c r="X669" s="15"/>
      <c r="Y669" s="15"/>
      <c r="Z669" s="15"/>
      <c r="AA669" s="15"/>
      <c r="AB669" s="15"/>
      <c r="AC669" s="15"/>
      <c r="AD669" s="15"/>
      <c r="AE669" s="15"/>
      <c r="AF669" s="15"/>
      <c r="AG669" s="15"/>
      <c r="AH669" s="15"/>
      <c r="AI669" s="15"/>
      <c r="AJ669" s="15"/>
      <c r="AK669" s="15"/>
      <c r="AL669" s="15"/>
    </row>
    <row r="670" spans="2:38" x14ac:dyDescent="0.35">
      <c r="B670" s="15"/>
      <c r="C670" s="15"/>
      <c r="D670" s="15"/>
      <c r="E670" s="15"/>
      <c r="F670" s="15"/>
      <c r="G670" s="15"/>
      <c r="H670" s="15"/>
      <c r="I670" s="15"/>
      <c r="J670" s="15"/>
      <c r="K670" s="15"/>
      <c r="L670" s="15"/>
      <c r="M670" s="15"/>
      <c r="N670" s="15"/>
      <c r="O670" s="15"/>
      <c r="P670" s="15"/>
      <c r="Q670" s="15"/>
      <c r="R670" s="15"/>
      <c r="S670" s="15"/>
      <c r="T670" s="15"/>
      <c r="U670" s="15"/>
      <c r="V670" s="15"/>
      <c r="W670" s="15"/>
      <c r="X670" s="15"/>
      <c r="Y670" s="15"/>
      <c r="Z670" s="15"/>
      <c r="AA670" s="15"/>
      <c r="AB670" s="15"/>
      <c r="AC670" s="15"/>
      <c r="AD670" s="15"/>
      <c r="AE670" s="15"/>
      <c r="AF670" s="15"/>
      <c r="AG670" s="15"/>
      <c r="AH670" s="15"/>
      <c r="AI670" s="15"/>
      <c r="AJ670" s="15"/>
      <c r="AK670" s="15"/>
      <c r="AL670" s="15"/>
    </row>
    <row r="671" spans="2:38" x14ac:dyDescent="0.35">
      <c r="B671" s="15"/>
      <c r="C671" s="15"/>
      <c r="D671" s="15"/>
      <c r="E671" s="15"/>
      <c r="F671" s="15"/>
      <c r="G671" s="15"/>
      <c r="H671" s="15"/>
      <c r="I671" s="15"/>
      <c r="J671" s="15"/>
      <c r="K671" s="15"/>
      <c r="L671" s="15"/>
      <c r="M671" s="15"/>
      <c r="N671" s="15"/>
      <c r="O671" s="15"/>
      <c r="P671" s="15"/>
      <c r="Q671" s="15"/>
      <c r="R671" s="15"/>
      <c r="S671" s="15"/>
      <c r="T671" s="15"/>
      <c r="U671" s="15"/>
      <c r="V671" s="15"/>
      <c r="W671" s="15"/>
      <c r="X671" s="15"/>
      <c r="Y671" s="15"/>
      <c r="Z671" s="15"/>
      <c r="AA671" s="15"/>
      <c r="AB671" s="15"/>
      <c r="AC671" s="15"/>
      <c r="AD671" s="15"/>
      <c r="AE671" s="15"/>
      <c r="AF671" s="15"/>
      <c r="AG671" s="15"/>
      <c r="AH671" s="15"/>
      <c r="AI671" s="15"/>
      <c r="AJ671" s="15"/>
      <c r="AK671" s="15"/>
      <c r="AL671" s="15"/>
    </row>
    <row r="672" spans="2:38" x14ac:dyDescent="0.35">
      <c r="B672" s="15"/>
      <c r="C672" s="15"/>
      <c r="D672" s="15"/>
      <c r="E672" s="15"/>
      <c r="F672" s="15"/>
      <c r="G672" s="15"/>
      <c r="H672" s="15"/>
      <c r="I672" s="15"/>
      <c r="J672" s="15"/>
      <c r="K672" s="15"/>
      <c r="L672" s="15"/>
      <c r="M672" s="15"/>
      <c r="N672" s="15"/>
      <c r="O672" s="15"/>
      <c r="P672" s="15"/>
      <c r="Q672" s="15"/>
      <c r="R672" s="15"/>
      <c r="S672" s="15"/>
      <c r="T672" s="15"/>
      <c r="U672" s="15"/>
      <c r="V672" s="15"/>
      <c r="W672" s="15"/>
      <c r="X672" s="15"/>
      <c r="Y672" s="15"/>
      <c r="Z672" s="15"/>
      <c r="AA672" s="15"/>
      <c r="AB672" s="15"/>
      <c r="AC672" s="15"/>
      <c r="AD672" s="15"/>
      <c r="AE672" s="15"/>
      <c r="AF672" s="15"/>
      <c r="AG672" s="15"/>
      <c r="AH672" s="15"/>
      <c r="AI672" s="15"/>
      <c r="AJ672" s="15"/>
      <c r="AK672" s="15"/>
      <c r="AL672" s="15"/>
    </row>
    <row r="673" spans="2:38" x14ac:dyDescent="0.35">
      <c r="B673" s="15"/>
      <c r="C673" s="15"/>
      <c r="D673" s="15"/>
      <c r="E673" s="15"/>
      <c r="F673" s="15"/>
      <c r="G673" s="15"/>
      <c r="H673" s="15"/>
      <c r="I673" s="15"/>
      <c r="J673" s="15"/>
      <c r="K673" s="15"/>
      <c r="L673" s="15"/>
      <c r="M673" s="15"/>
      <c r="N673" s="15"/>
      <c r="O673" s="15"/>
      <c r="P673" s="15"/>
      <c r="Q673" s="15"/>
      <c r="R673" s="15"/>
      <c r="S673" s="15"/>
      <c r="T673" s="15"/>
      <c r="U673" s="15"/>
      <c r="V673" s="15"/>
      <c r="W673" s="15"/>
      <c r="X673" s="15"/>
      <c r="Y673" s="15"/>
      <c r="Z673" s="15"/>
      <c r="AA673" s="15"/>
      <c r="AB673" s="15"/>
      <c r="AC673" s="15"/>
      <c r="AD673" s="15"/>
      <c r="AE673" s="15"/>
      <c r="AF673" s="15"/>
      <c r="AG673" s="15"/>
      <c r="AH673" s="15"/>
      <c r="AI673" s="15"/>
      <c r="AJ673" s="15"/>
      <c r="AK673" s="15"/>
      <c r="AL673" s="15"/>
    </row>
    <row r="674" spans="2:38" x14ac:dyDescent="0.35">
      <c r="B674" s="15"/>
      <c r="C674" s="15"/>
      <c r="D674" s="15"/>
      <c r="E674" s="15"/>
      <c r="F674" s="15"/>
      <c r="G674" s="15"/>
      <c r="H674" s="15"/>
      <c r="I674" s="15"/>
      <c r="J674" s="15"/>
      <c r="K674" s="15"/>
      <c r="L674" s="15"/>
      <c r="M674" s="15"/>
      <c r="N674" s="15"/>
      <c r="O674" s="15"/>
      <c r="P674" s="15"/>
      <c r="Q674" s="15"/>
      <c r="R674" s="15"/>
      <c r="S674" s="15"/>
      <c r="T674" s="15"/>
      <c r="U674" s="15"/>
      <c r="V674" s="15"/>
      <c r="W674" s="15"/>
      <c r="X674" s="15"/>
      <c r="Y674" s="15"/>
      <c r="Z674" s="15"/>
      <c r="AA674" s="15"/>
      <c r="AB674" s="15"/>
      <c r="AC674" s="15"/>
      <c r="AD674" s="15"/>
      <c r="AE674" s="15"/>
      <c r="AF674" s="15"/>
      <c r="AG674" s="15"/>
      <c r="AH674" s="15"/>
      <c r="AI674" s="15"/>
      <c r="AJ674" s="15"/>
      <c r="AK674" s="15"/>
      <c r="AL674" s="15"/>
    </row>
    <row r="675" spans="2:38" x14ac:dyDescent="0.35">
      <c r="B675" s="15"/>
      <c r="C675" s="15"/>
      <c r="D675" s="15"/>
      <c r="E675" s="15"/>
      <c r="F675" s="15"/>
      <c r="G675" s="15"/>
      <c r="H675" s="15"/>
      <c r="I675" s="15"/>
      <c r="J675" s="15"/>
      <c r="K675" s="15"/>
      <c r="L675" s="15"/>
      <c r="M675" s="15"/>
      <c r="N675" s="15"/>
      <c r="O675" s="15"/>
      <c r="P675" s="15"/>
      <c r="Q675" s="15"/>
      <c r="R675" s="15"/>
      <c r="S675" s="15"/>
      <c r="T675" s="15"/>
      <c r="U675" s="15"/>
      <c r="V675" s="15"/>
      <c r="W675" s="15"/>
      <c r="X675" s="15"/>
      <c r="Y675" s="15"/>
      <c r="Z675" s="15"/>
      <c r="AA675" s="15"/>
      <c r="AB675" s="15"/>
      <c r="AC675" s="15"/>
      <c r="AD675" s="15"/>
      <c r="AE675" s="15"/>
      <c r="AF675" s="15"/>
      <c r="AG675" s="15"/>
      <c r="AH675" s="15"/>
      <c r="AI675" s="15"/>
      <c r="AJ675" s="15"/>
      <c r="AK675" s="15"/>
      <c r="AL675" s="15"/>
    </row>
    <row r="676" spans="2:38" x14ac:dyDescent="0.35">
      <c r="B676" s="15"/>
      <c r="C676" s="15"/>
      <c r="D676" s="15"/>
      <c r="E676" s="15"/>
      <c r="F676" s="15"/>
      <c r="G676" s="15"/>
      <c r="H676" s="15"/>
      <c r="I676" s="15"/>
      <c r="J676" s="15"/>
      <c r="K676" s="15"/>
      <c r="L676" s="15"/>
      <c r="M676" s="15"/>
      <c r="N676" s="15"/>
      <c r="O676" s="15"/>
      <c r="P676" s="15"/>
      <c r="Q676" s="15"/>
      <c r="R676" s="15"/>
      <c r="S676" s="15"/>
      <c r="T676" s="15"/>
      <c r="U676" s="15"/>
      <c r="V676" s="15"/>
      <c r="W676" s="15"/>
      <c r="X676" s="15"/>
      <c r="Y676" s="15"/>
      <c r="Z676" s="15"/>
      <c r="AA676" s="15"/>
      <c r="AB676" s="15"/>
      <c r="AC676" s="15"/>
      <c r="AD676" s="15"/>
      <c r="AE676" s="15"/>
      <c r="AF676" s="15"/>
      <c r="AG676" s="15"/>
      <c r="AH676" s="15"/>
      <c r="AI676" s="15"/>
      <c r="AJ676" s="15"/>
      <c r="AK676" s="15"/>
      <c r="AL676" s="15"/>
    </row>
    <row r="677" spans="2:38" x14ac:dyDescent="0.35">
      <c r="B677" s="15"/>
      <c r="C677" s="15"/>
      <c r="D677" s="15"/>
      <c r="E677" s="15"/>
      <c r="F677" s="15"/>
      <c r="G677" s="15"/>
      <c r="H677" s="15"/>
      <c r="I677" s="15"/>
      <c r="J677" s="15"/>
      <c r="K677" s="15"/>
      <c r="L677" s="15"/>
      <c r="M677" s="15"/>
      <c r="N677" s="15"/>
      <c r="O677" s="15"/>
      <c r="P677" s="15"/>
      <c r="Q677" s="15"/>
      <c r="R677" s="15"/>
      <c r="S677" s="15"/>
      <c r="T677" s="15"/>
      <c r="U677" s="15"/>
      <c r="V677" s="15"/>
      <c r="W677" s="15"/>
      <c r="X677" s="15"/>
      <c r="Y677" s="15"/>
      <c r="Z677" s="15"/>
      <c r="AA677" s="15"/>
      <c r="AB677" s="15"/>
      <c r="AC677" s="15"/>
      <c r="AD677" s="15"/>
      <c r="AE677" s="15"/>
      <c r="AF677" s="15"/>
      <c r="AG677" s="15"/>
      <c r="AH677" s="15"/>
      <c r="AI677" s="15"/>
      <c r="AJ677" s="15"/>
      <c r="AK677" s="15"/>
      <c r="AL677" s="15"/>
    </row>
    <row r="678" spans="2:38" x14ac:dyDescent="0.35">
      <c r="B678" s="15"/>
      <c r="C678" s="15"/>
      <c r="D678" s="15"/>
      <c r="E678" s="15"/>
      <c r="F678" s="15"/>
      <c r="G678" s="15"/>
      <c r="H678" s="15"/>
      <c r="I678" s="15"/>
      <c r="J678" s="15"/>
      <c r="K678" s="15"/>
      <c r="L678" s="15"/>
      <c r="M678" s="15"/>
      <c r="N678" s="15"/>
      <c r="O678" s="15"/>
      <c r="P678" s="15"/>
      <c r="Q678" s="15"/>
      <c r="R678" s="15"/>
      <c r="S678" s="15"/>
      <c r="T678" s="15"/>
      <c r="U678" s="15"/>
      <c r="V678" s="15"/>
      <c r="W678" s="15"/>
      <c r="X678" s="15"/>
      <c r="Y678" s="15"/>
      <c r="Z678" s="15"/>
      <c r="AA678" s="15"/>
      <c r="AB678" s="15"/>
      <c r="AC678" s="15"/>
      <c r="AD678" s="15"/>
      <c r="AE678" s="15"/>
      <c r="AF678" s="15"/>
      <c r="AG678" s="15"/>
      <c r="AH678" s="15"/>
      <c r="AI678" s="15"/>
      <c r="AJ678" s="15"/>
      <c r="AK678" s="15"/>
      <c r="AL678" s="15"/>
    </row>
    <row r="679" spans="2:38" x14ac:dyDescent="0.35">
      <c r="B679" s="15"/>
      <c r="C679" s="15"/>
      <c r="D679" s="15"/>
      <c r="E679" s="15"/>
      <c r="F679" s="15"/>
      <c r="G679" s="15"/>
      <c r="H679" s="15"/>
      <c r="I679" s="15"/>
      <c r="J679" s="15"/>
      <c r="K679" s="15"/>
      <c r="L679" s="15"/>
      <c r="M679" s="15"/>
      <c r="N679" s="15"/>
      <c r="O679" s="15"/>
      <c r="P679" s="15"/>
      <c r="Q679" s="15"/>
      <c r="R679" s="15"/>
      <c r="S679" s="15"/>
      <c r="T679" s="15"/>
      <c r="U679" s="15"/>
      <c r="V679" s="15"/>
      <c r="W679" s="15"/>
      <c r="X679" s="15"/>
      <c r="Y679" s="15"/>
      <c r="Z679" s="15"/>
      <c r="AA679" s="15"/>
      <c r="AB679" s="15"/>
      <c r="AC679" s="15"/>
      <c r="AD679" s="15"/>
      <c r="AE679" s="15"/>
      <c r="AF679" s="15"/>
      <c r="AG679" s="15"/>
      <c r="AH679" s="15"/>
      <c r="AI679" s="15"/>
      <c r="AJ679" s="15"/>
      <c r="AK679" s="15"/>
      <c r="AL679" s="15"/>
    </row>
    <row r="680" spans="2:38" x14ac:dyDescent="0.35">
      <c r="B680" s="15"/>
      <c r="C680" s="15"/>
      <c r="D680" s="15"/>
      <c r="E680" s="15"/>
      <c r="F680" s="15"/>
      <c r="G680" s="15"/>
      <c r="H680" s="15"/>
      <c r="I680" s="15"/>
      <c r="J680" s="15"/>
      <c r="K680" s="15"/>
      <c r="L680" s="15"/>
      <c r="M680" s="15"/>
      <c r="N680" s="15"/>
      <c r="O680" s="15"/>
      <c r="P680" s="15"/>
      <c r="Q680" s="15"/>
      <c r="R680" s="15"/>
      <c r="S680" s="15"/>
      <c r="T680" s="15"/>
      <c r="U680" s="15"/>
      <c r="V680" s="15"/>
      <c r="W680" s="15"/>
      <c r="X680" s="15"/>
      <c r="Y680" s="15"/>
      <c r="Z680" s="15"/>
      <c r="AA680" s="15"/>
      <c r="AB680" s="15"/>
      <c r="AC680" s="15"/>
      <c r="AD680" s="15"/>
      <c r="AE680" s="15"/>
      <c r="AF680" s="15"/>
      <c r="AG680" s="15"/>
      <c r="AH680" s="15"/>
      <c r="AI680" s="15"/>
      <c r="AJ680" s="15"/>
      <c r="AK680" s="15"/>
      <c r="AL680" s="15"/>
    </row>
    <row r="681" spans="2:38" x14ac:dyDescent="0.35">
      <c r="B681" s="15"/>
      <c r="C681" s="15"/>
      <c r="D681" s="15"/>
      <c r="E681" s="15"/>
      <c r="F681" s="15"/>
      <c r="G681" s="15"/>
      <c r="H681" s="15"/>
      <c r="I681" s="15"/>
      <c r="J681" s="15"/>
      <c r="K681" s="15"/>
      <c r="L681" s="15"/>
      <c r="M681" s="15"/>
      <c r="N681" s="15"/>
      <c r="O681" s="15"/>
      <c r="P681" s="15"/>
      <c r="Q681" s="15"/>
      <c r="R681" s="15"/>
      <c r="S681" s="15"/>
      <c r="T681" s="15"/>
      <c r="U681" s="15"/>
      <c r="V681" s="15"/>
      <c r="W681" s="15"/>
      <c r="X681" s="15"/>
      <c r="Y681" s="15"/>
      <c r="Z681" s="15"/>
      <c r="AA681" s="15"/>
      <c r="AB681" s="15"/>
      <c r="AC681" s="15"/>
      <c r="AD681" s="15"/>
      <c r="AE681" s="15"/>
      <c r="AF681" s="15"/>
      <c r="AG681" s="15"/>
      <c r="AH681" s="15"/>
      <c r="AI681" s="15"/>
      <c r="AJ681" s="15"/>
      <c r="AK681" s="15"/>
      <c r="AL681" s="15"/>
    </row>
  </sheetData>
  <mergeCells count="19">
    <mergeCell ref="A1:H1"/>
    <mergeCell ref="A11:C11"/>
    <mergeCell ref="A34:B34"/>
    <mergeCell ref="A279:H279"/>
    <mergeCell ref="A36:A42"/>
    <mergeCell ref="A3:C3"/>
    <mergeCell ref="A20:C20"/>
    <mergeCell ref="A44:A47"/>
    <mergeCell ref="F44:F45"/>
    <mergeCell ref="A76:C76"/>
    <mergeCell ref="A12:C12"/>
    <mergeCell ref="H28:H29"/>
    <mergeCell ref="A30:A32"/>
    <mergeCell ref="A28:A29"/>
    <mergeCell ref="A290:H290"/>
    <mergeCell ref="B293:E293"/>
    <mergeCell ref="F293:I293"/>
    <mergeCell ref="J293:M293"/>
    <mergeCell ref="N293:R293"/>
  </mergeCells>
  <hyperlinks>
    <hyperlink ref="E86" r:id="rId1" display="https://doi.org/10.1128/jb.148.1.58-63.1981" xr:uid="{00000000-0004-0000-0500-000000000000}"/>
    <hyperlink ref="S166" r:id="rId2" xr:uid="{00000000-0004-0000-0500-000001000000}"/>
  </hyperlinks>
  <pageMargins left="0.7" right="0.7" top="0.75" bottom="0.75" header="0.3" footer="0.3"/>
  <drawing r:id="rId3"/>
  <legacyDrawing r:id="rId4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autoPageBreaks="0"/>
  </sheetPr>
  <dimension ref="A1:AL213"/>
  <sheetViews>
    <sheetView topLeftCell="A79" zoomScaleNormal="100" workbookViewId="0">
      <selection activeCell="B88" sqref="B88"/>
    </sheetView>
  </sheetViews>
  <sheetFormatPr defaultRowHeight="14.5" x14ac:dyDescent="0.35"/>
  <cols>
    <col min="1" max="1" width="40.36328125" customWidth="1"/>
    <col min="2" max="2" width="29.90625" bestFit="1" customWidth="1"/>
    <col min="3" max="3" width="25.36328125" bestFit="1" customWidth="1"/>
    <col min="4" max="4" width="23.54296875" bestFit="1" customWidth="1"/>
    <col min="5" max="5" width="21.26953125" customWidth="1"/>
    <col min="6" max="6" width="20.90625" customWidth="1"/>
    <col min="7" max="7" width="21" customWidth="1"/>
    <col min="8" max="8" width="18.81640625" customWidth="1"/>
    <col min="9" max="14" width="8.7265625" customWidth="1"/>
    <col min="15" max="15" width="17.54296875" bestFit="1" customWidth="1"/>
    <col min="16" max="16" width="8.7265625" customWidth="1"/>
  </cols>
  <sheetData>
    <row r="1" spans="1:8" ht="26" customHeight="1" x14ac:dyDescent="0.6">
      <c r="A1" s="358" t="s">
        <v>105</v>
      </c>
      <c r="B1" s="359"/>
      <c r="C1" s="359"/>
      <c r="D1" s="359"/>
      <c r="E1" s="359"/>
      <c r="F1" s="359"/>
      <c r="G1" s="359"/>
      <c r="H1" s="359"/>
    </row>
    <row r="2" spans="1:8" ht="15" customHeight="1" x14ac:dyDescent="0.35">
      <c r="A2" s="91"/>
    </row>
    <row r="3" spans="1:8" ht="15" customHeight="1" thickBot="1" x14ac:dyDescent="0.4">
      <c r="A3" s="372" t="s">
        <v>1</v>
      </c>
      <c r="B3" s="359"/>
      <c r="C3" s="359"/>
    </row>
    <row r="4" spans="1:8" ht="15" customHeight="1" thickBot="1" x14ac:dyDescent="0.4">
      <c r="A4" s="95"/>
      <c r="B4" s="96">
        <f>Assumptions!B8</f>
        <v>5</v>
      </c>
      <c r="C4" s="97" t="s">
        <v>3</v>
      </c>
      <c r="E4" s="94" t="s">
        <v>4</v>
      </c>
    </row>
    <row r="5" spans="1:8" x14ac:dyDescent="0.35">
      <c r="A5" s="85" t="s">
        <v>5</v>
      </c>
      <c r="B5" s="2">
        <f>Assumptions!B8</f>
        <v>5</v>
      </c>
      <c r="C5" s="86" t="s">
        <v>579</v>
      </c>
      <c r="E5" s="4" t="s">
        <v>6</v>
      </c>
    </row>
    <row r="6" spans="1:8" ht="15" customHeight="1" thickBot="1" x14ac:dyDescent="0.4">
      <c r="A6" s="5" t="s">
        <v>8</v>
      </c>
      <c r="B6" s="6">
        <f>Assumptions!C21</f>
        <v>300</v>
      </c>
      <c r="C6" s="7" t="s">
        <v>144</v>
      </c>
      <c r="E6" s="8" t="s">
        <v>7</v>
      </c>
    </row>
    <row r="7" spans="1:8" ht="15" customHeight="1" x14ac:dyDescent="0.35"/>
    <row r="8" spans="1:8" s="88" customFormat="1" ht="15" customHeight="1" thickBot="1" x14ac:dyDescent="0.4"/>
    <row r="9" spans="1:8" ht="19" customHeight="1" thickBot="1" x14ac:dyDescent="0.5">
      <c r="A9" s="150" t="s">
        <v>9</v>
      </c>
      <c r="B9" s="151"/>
      <c r="C9" s="151"/>
      <c r="D9" s="151"/>
      <c r="E9" s="151"/>
      <c r="F9" s="151"/>
      <c r="G9" s="152"/>
    </row>
    <row r="10" spans="1:8" ht="15" customHeight="1" thickBot="1" x14ac:dyDescent="0.4">
      <c r="A10" s="47"/>
    </row>
    <row r="11" spans="1:8" ht="15" customHeight="1" x14ac:dyDescent="0.35">
      <c r="A11" s="376" t="s">
        <v>135</v>
      </c>
      <c r="B11" s="377"/>
      <c r="C11" s="378"/>
    </row>
    <row r="12" spans="1:8" x14ac:dyDescent="0.35">
      <c r="A12" s="379" t="s">
        <v>11</v>
      </c>
      <c r="B12" s="380"/>
      <c r="C12" s="381"/>
      <c r="D12" s="9"/>
    </row>
    <row r="13" spans="1:8" ht="16.5" customHeight="1" thickBot="1" x14ac:dyDescent="0.4">
      <c r="A13" s="153"/>
      <c r="B13" s="147" t="s">
        <v>2</v>
      </c>
      <c r="C13" s="148" t="s">
        <v>3</v>
      </c>
      <c r="D13" s="9"/>
    </row>
    <row r="14" spans="1:8" x14ac:dyDescent="0.35">
      <c r="A14" s="12" t="s">
        <v>12</v>
      </c>
      <c r="B14" s="15">
        <v>5</v>
      </c>
      <c r="C14" s="11" t="s">
        <v>13</v>
      </c>
      <c r="D14" s="9"/>
    </row>
    <row r="15" spans="1:8" ht="16.5" x14ac:dyDescent="0.35">
      <c r="A15" s="12" t="s">
        <v>136</v>
      </c>
      <c r="B15" s="13">
        <f>(320/16)*(1/0.0929)*(9830000/982000)*(1/1000)</f>
        <v>2.1550448437866532</v>
      </c>
      <c r="C15" s="11" t="s">
        <v>508</v>
      </c>
      <c r="D15" s="9"/>
    </row>
    <row r="16" spans="1:8" x14ac:dyDescent="0.35">
      <c r="A16" s="12" t="s">
        <v>16</v>
      </c>
      <c r="B16" s="13">
        <f>(9830000/982000)*(1/1000)</f>
        <v>1.0010183299389002E-2</v>
      </c>
      <c r="C16" s="11" t="s">
        <v>17</v>
      </c>
      <c r="D16" s="9"/>
    </row>
    <row r="17" spans="1:8" ht="17" customHeight="1" x14ac:dyDescent="0.35">
      <c r="A17" s="12" t="s">
        <v>18</v>
      </c>
      <c r="B17" s="13">
        <f>B5*(1/B6)</f>
        <v>1.6666666666666666E-2</v>
      </c>
      <c r="C17" s="11" t="s">
        <v>19</v>
      </c>
      <c r="D17" s="9"/>
    </row>
    <row r="18" spans="1:8" ht="15" customHeight="1" x14ac:dyDescent="0.35">
      <c r="A18" s="12" t="s">
        <v>20</v>
      </c>
      <c r="B18" s="15">
        <f>ROUNDUP(B17/B16,0)</f>
        <v>2</v>
      </c>
      <c r="C18" s="11" t="s">
        <v>21</v>
      </c>
      <c r="D18" s="9"/>
    </row>
    <row r="19" spans="1:8" ht="15" customHeight="1" thickBot="1" x14ac:dyDescent="0.4">
      <c r="A19" s="12" t="s">
        <v>23</v>
      </c>
      <c r="B19" s="13">
        <f>B17/B15</f>
        <v>7.7337911156324162E-3</v>
      </c>
      <c r="C19" s="11" t="s">
        <v>510</v>
      </c>
      <c r="D19" s="19"/>
      <c r="E19" s="20"/>
      <c r="F19" s="20"/>
    </row>
    <row r="20" spans="1:8" x14ac:dyDescent="0.35">
      <c r="A20" s="382" t="s">
        <v>137</v>
      </c>
      <c r="B20" s="383"/>
      <c r="C20" s="384"/>
      <c r="D20" s="9"/>
    </row>
    <row r="21" spans="1:8" ht="15" customHeight="1" thickBot="1" x14ac:dyDescent="0.4">
      <c r="A21" s="171"/>
      <c r="B21" s="147" t="s">
        <v>2</v>
      </c>
      <c r="C21" s="148" t="s">
        <v>3</v>
      </c>
      <c r="D21" s="9"/>
      <c r="G21" s="20"/>
      <c r="H21" s="20"/>
    </row>
    <row r="22" spans="1:8" ht="17" customHeight="1" x14ac:dyDescent="0.35">
      <c r="A22" s="12" t="s">
        <v>25</v>
      </c>
      <c r="B22" s="21">
        <f>B18*B14</f>
        <v>10</v>
      </c>
      <c r="C22" s="11" t="s">
        <v>26</v>
      </c>
      <c r="D22" s="9"/>
      <c r="G22" s="20"/>
      <c r="H22" s="20"/>
    </row>
    <row r="23" spans="1:8" x14ac:dyDescent="0.35">
      <c r="A23" s="12" t="s">
        <v>27</v>
      </c>
      <c r="B23" s="22">
        <f>B16*B22</f>
        <v>0.10010183299389003</v>
      </c>
      <c r="C23" s="11" t="s">
        <v>28</v>
      </c>
      <c r="D23" s="9"/>
      <c r="G23" s="20"/>
      <c r="H23" s="20"/>
    </row>
    <row r="24" spans="1:8" ht="15" customHeight="1" thickBot="1" x14ac:dyDescent="0.4">
      <c r="A24" s="5" t="s">
        <v>23</v>
      </c>
      <c r="B24" s="23">
        <f>B23/B15</f>
        <v>4.6449999999999991E-2</v>
      </c>
      <c r="C24" s="24" t="s">
        <v>510</v>
      </c>
      <c r="D24" s="9"/>
      <c r="G24" s="20"/>
      <c r="H24" s="20"/>
    </row>
    <row r="25" spans="1:8" ht="17" customHeight="1" thickBot="1" x14ac:dyDescent="0.4">
      <c r="B25" s="15"/>
      <c r="C25" s="15"/>
    </row>
    <row r="26" spans="1:8" x14ac:dyDescent="0.35">
      <c r="A26" s="155" t="s">
        <v>29</v>
      </c>
      <c r="B26" s="156"/>
      <c r="C26" s="156"/>
      <c r="D26" s="156"/>
      <c r="E26" s="156"/>
      <c r="F26" s="156"/>
      <c r="G26" s="157"/>
    </row>
    <row r="27" spans="1:8" ht="17" customHeight="1" thickBot="1" x14ac:dyDescent="0.4">
      <c r="A27" s="154" t="s">
        <v>30</v>
      </c>
      <c r="B27" s="147" t="s">
        <v>31</v>
      </c>
      <c r="C27" s="147" t="s">
        <v>32</v>
      </c>
      <c r="D27" s="147" t="s">
        <v>33</v>
      </c>
      <c r="E27" s="228" t="s">
        <v>498</v>
      </c>
      <c r="F27" s="228" t="s">
        <v>499</v>
      </c>
      <c r="G27" s="148" t="s">
        <v>34</v>
      </c>
    </row>
    <row r="28" spans="1:8" x14ac:dyDescent="0.35">
      <c r="A28" s="391" t="s">
        <v>35</v>
      </c>
      <c r="B28" t="s">
        <v>36</v>
      </c>
      <c r="C28" s="15">
        <v>1</v>
      </c>
      <c r="D28" s="25">
        <f>(101.5-22.9-8.4)*B24</f>
        <v>3.2607899999999987</v>
      </c>
      <c r="E28" s="25">
        <f>(1.03-0.25)*B24</f>
        <v>3.6230999999999992E-2</v>
      </c>
      <c r="F28" s="26">
        <f>(2.6-2.1-0.075)*B24</f>
        <v>1.9741249999999995E-2</v>
      </c>
      <c r="G28" s="27"/>
      <c r="H28" s="393"/>
    </row>
    <row r="29" spans="1:8" x14ac:dyDescent="0.35">
      <c r="A29" s="374"/>
      <c r="B29" s="28" t="s">
        <v>37</v>
      </c>
      <c r="C29" s="29">
        <f>ROUNDUP(B24*9,0)</f>
        <v>1</v>
      </c>
      <c r="D29" s="30">
        <f>0.243*C29</f>
        <v>0.24299999999999999</v>
      </c>
      <c r="E29" s="31">
        <f>(0.3*0.3*0.001)*C29</f>
        <v>8.9999999999999992E-5</v>
      </c>
      <c r="F29" s="31">
        <f>50.7*C29*(1/1000)</f>
        <v>5.0700000000000002E-2</v>
      </c>
      <c r="G29" s="32"/>
      <c r="H29" s="386"/>
    </row>
    <row r="30" spans="1:8" ht="15" customHeight="1" thickBot="1" x14ac:dyDescent="0.4">
      <c r="A30" s="385" t="s">
        <v>38</v>
      </c>
      <c r="B30" s="38" t="s">
        <v>546</v>
      </c>
      <c r="C30" s="34">
        <f>IF((0.003785*C32*2) &lt;= 0.0187, 1, CEILING((0.003785*C32*2)/0.0187, 1))</f>
        <v>1</v>
      </c>
      <c r="D30" s="35">
        <f>0.75*B17*C30</f>
        <v>1.2500000000000001E-2</v>
      </c>
      <c r="E30" s="36">
        <f>0.00393*B17*C30</f>
        <v>6.5500000000000006E-5</v>
      </c>
      <c r="F30" s="35">
        <f>0.00033*B17*C30</f>
        <v>5.4999999999999999E-6</v>
      </c>
      <c r="G30" s="37"/>
      <c r="H30" s="78"/>
    </row>
    <row r="31" spans="1:8" x14ac:dyDescent="0.35">
      <c r="A31" s="364"/>
      <c r="B31" s="38" t="s">
        <v>39</v>
      </c>
      <c r="C31" s="39">
        <f>IF(F44 &lt;= 2, 1, CEILING(F44 / 2, 1))</f>
        <v>1</v>
      </c>
      <c r="D31" s="26">
        <f>0.20411*C31/Assumptions!$B$5</f>
        <v>3.4018333333333338E-2</v>
      </c>
      <c r="E31" s="26">
        <f>0.00064416*C31/Assumptions!$B$5</f>
        <v>1.0735999999999999E-4</v>
      </c>
      <c r="F31" s="40"/>
      <c r="G31" s="41"/>
      <c r="H31" t="s">
        <v>525</v>
      </c>
    </row>
    <row r="32" spans="1:8" ht="15" customHeight="1" thickBot="1" x14ac:dyDescent="0.4">
      <c r="A32" s="365"/>
      <c r="B32" s="42" t="s">
        <v>40</v>
      </c>
      <c r="C32" s="43">
        <f>ROUNDUP(B17/(85*0.003785),0)</f>
        <v>1</v>
      </c>
      <c r="D32" s="44">
        <f>(7.62/250)*(0.45359/1)*C32</f>
        <v>1.3825423199999999E-2</v>
      </c>
      <c r="E32" s="44">
        <f>(10.5*11*0.00394)*0.00001639*C32</f>
        <v>7.4585973E-6</v>
      </c>
      <c r="F32" s="45"/>
      <c r="G32" s="46"/>
      <c r="H32" s="79"/>
    </row>
    <row r="33" spans="1:6" ht="17" customHeight="1" thickBot="1" x14ac:dyDescent="0.4"/>
    <row r="34" spans="1:6" x14ac:dyDescent="0.35">
      <c r="A34" s="387" t="s">
        <v>41</v>
      </c>
      <c r="B34" s="383"/>
      <c r="C34" s="159"/>
      <c r="D34" s="159"/>
      <c r="E34" s="158"/>
      <c r="F34" s="160"/>
    </row>
    <row r="35" spans="1:6" ht="17" customHeight="1" thickBot="1" x14ac:dyDescent="0.4">
      <c r="A35" s="166" t="s">
        <v>30</v>
      </c>
      <c r="B35" s="167" t="s">
        <v>42</v>
      </c>
      <c r="C35" s="167" t="s">
        <v>33</v>
      </c>
      <c r="D35" s="228" t="s">
        <v>498</v>
      </c>
      <c r="E35" s="228" t="s">
        <v>499</v>
      </c>
      <c r="F35" s="168" t="s">
        <v>34</v>
      </c>
    </row>
    <row r="36" spans="1:6" ht="15" customHeight="1" thickBot="1" x14ac:dyDescent="0.4">
      <c r="A36" s="392" t="s">
        <v>35</v>
      </c>
      <c r="B36" t="s">
        <v>236</v>
      </c>
      <c r="C36" s="25">
        <f>0.0004288*B18*2</f>
        <v>1.7152000000000001E-3</v>
      </c>
      <c r="D36" s="25">
        <f>(4/3)*PI()*((0.45/2)^3)*(1/1000^3)</f>
        <v>4.771293842639499E-11</v>
      </c>
      <c r="E36" s="49"/>
      <c r="F36" s="63">
        <f>((1/10)*(B18*2)*(1/60)*1.5)+(4.6*(1/(215*2))*1.5)</f>
        <v>2.6046511627906978E-2</v>
      </c>
    </row>
    <row r="37" spans="1:6" x14ac:dyDescent="0.35">
      <c r="A37" s="364"/>
      <c r="B37" t="s">
        <v>44</v>
      </c>
      <c r="C37" s="26">
        <f>D37*1000</f>
        <v>0.67183443421498812</v>
      </c>
      <c r="D37" s="26">
        <f>(7.3*B19*35)*0.34*0.001</f>
        <v>6.7183443421498814E-4</v>
      </c>
      <c r="E37" s="49"/>
      <c r="F37" s="50">
        <f>90*4*(1/60)*(1/12.5)*(1/365)*35*B19*1.5</f>
        <v>5.3394941401078597E-4</v>
      </c>
    </row>
    <row r="38" spans="1:6" ht="16.5" customHeight="1" x14ac:dyDescent="0.35">
      <c r="A38" s="364"/>
      <c r="B38" t="s">
        <v>45</v>
      </c>
      <c r="C38" s="26">
        <f>((1.166+(12.406*3))*(D37*1000))/1000</f>
        <v>2.5787692922908105E-2</v>
      </c>
      <c r="D38" s="52"/>
      <c r="E38" s="49"/>
      <c r="F38" s="50">
        <f>(20.17/10)*(1/60)*(1/12.5)*B19*35*1.5</f>
        <v>1.0919339676161409E-3</v>
      </c>
    </row>
    <row r="39" spans="1:6" x14ac:dyDescent="0.35">
      <c r="A39" s="364"/>
      <c r="B39" t="s">
        <v>46</v>
      </c>
      <c r="C39" s="26">
        <f>(10.7*B19*35)/1000</f>
        <v>2.8963047728043398E-3</v>
      </c>
      <c r="D39" s="26">
        <f>C39/1.82</f>
        <v>1.5913762487935932E-3</v>
      </c>
      <c r="E39" s="49"/>
      <c r="F39" s="53">
        <f>2.13*365*(1/60)*(1/365)*35*1.5</f>
        <v>1.86375</v>
      </c>
    </row>
    <row r="40" spans="1:6" ht="15" customHeight="1" x14ac:dyDescent="0.35">
      <c r="A40" s="364"/>
      <c r="B40" s="161" t="s">
        <v>47</v>
      </c>
      <c r="C40" s="162" t="s">
        <v>33</v>
      </c>
      <c r="D40" s="227" t="s">
        <v>498</v>
      </c>
      <c r="E40" s="227" t="s">
        <v>499</v>
      </c>
      <c r="F40" s="163" t="s">
        <v>34</v>
      </c>
    </row>
    <row r="41" spans="1:6" ht="17" customHeight="1" x14ac:dyDescent="0.35">
      <c r="A41" s="364"/>
      <c r="B41" s="38" t="s">
        <v>48</v>
      </c>
      <c r="C41" s="26">
        <f>(7.78*B19*35)/1000</f>
        <v>2.1059113207867073E-3</v>
      </c>
      <c r="D41" s="26">
        <f>C41/1.3</f>
        <v>1.619931785220544E-3</v>
      </c>
      <c r="E41" s="49"/>
      <c r="F41" s="54"/>
    </row>
    <row r="42" spans="1:6" ht="15" thickBot="1" x14ac:dyDescent="0.4">
      <c r="A42" s="365"/>
      <c r="B42" s="38" t="s">
        <v>49</v>
      </c>
      <c r="C42" s="26">
        <f>2.1*B19*35</f>
        <v>0.56843364699898258</v>
      </c>
      <c r="D42" s="26">
        <f>C42/1000</f>
        <v>5.6843364699898263E-4</v>
      </c>
      <c r="E42" s="49"/>
      <c r="F42" s="54"/>
    </row>
    <row r="43" spans="1:6" ht="16.5" customHeight="1" x14ac:dyDescent="0.35">
      <c r="A43" s="149" t="s">
        <v>30</v>
      </c>
      <c r="B43" s="162" t="s">
        <v>47</v>
      </c>
      <c r="C43" s="162" t="s">
        <v>33</v>
      </c>
      <c r="D43" s="227" t="s">
        <v>498</v>
      </c>
      <c r="E43" s="227" t="s">
        <v>499</v>
      </c>
      <c r="F43" s="163" t="s">
        <v>34</v>
      </c>
    </row>
    <row r="44" spans="1:6" ht="15" customHeight="1" thickBot="1" x14ac:dyDescent="0.4">
      <c r="A44" s="371" t="s">
        <v>38</v>
      </c>
      <c r="B44" s="38" t="s">
        <v>50</v>
      </c>
      <c r="C44" s="26">
        <f>B5/1000000</f>
        <v>5.0000000000000004E-6</v>
      </c>
      <c r="D44" s="49"/>
      <c r="E44" s="49"/>
      <c r="F44" s="390">
        <f>(3.97*B19)/60*1.5</f>
        <v>7.6757876822651733E-4</v>
      </c>
    </row>
    <row r="45" spans="1:6" x14ac:dyDescent="0.35">
      <c r="A45" s="364"/>
      <c r="B45" s="38" t="s">
        <v>139</v>
      </c>
      <c r="C45" s="26">
        <f>B15*B19</f>
        <v>1.6666666666666666E-2</v>
      </c>
      <c r="D45" s="26">
        <f>C45*(1/60)</f>
        <v>2.7777777777777778E-4</v>
      </c>
      <c r="E45" s="49"/>
      <c r="F45" s="369"/>
    </row>
    <row r="46" spans="1:6" ht="16.5" customHeight="1" x14ac:dyDescent="0.35">
      <c r="A46" s="364"/>
      <c r="B46" s="161" t="s">
        <v>56</v>
      </c>
      <c r="C46" s="162" t="s">
        <v>33</v>
      </c>
      <c r="D46" s="227" t="s">
        <v>498</v>
      </c>
      <c r="E46" s="227" t="s">
        <v>499</v>
      </c>
      <c r="F46" s="163" t="s">
        <v>34</v>
      </c>
    </row>
    <row r="47" spans="1:6" ht="15" customHeight="1" thickBot="1" x14ac:dyDescent="0.4">
      <c r="A47" s="365"/>
      <c r="B47" s="42" t="s">
        <v>57</v>
      </c>
      <c r="C47" s="44">
        <f>(7.3/1000)*B19*35</f>
        <v>1.9759836300440826E-3</v>
      </c>
      <c r="D47" s="44">
        <f>C47*(1/60)</f>
        <v>3.293306050073471E-5</v>
      </c>
      <c r="E47" s="55"/>
      <c r="F47" s="57"/>
    </row>
    <row r="48" spans="1:6" ht="15" customHeight="1" thickBot="1" x14ac:dyDescent="0.4"/>
    <row r="49" spans="1:8" x14ac:dyDescent="0.35">
      <c r="A49" s="170" t="s">
        <v>58</v>
      </c>
      <c r="B49" s="158"/>
      <c r="C49" s="158"/>
      <c r="D49" s="158"/>
      <c r="E49" s="158"/>
      <c r="F49" s="229"/>
    </row>
    <row r="50" spans="1:8" ht="15" customHeight="1" thickBot="1" x14ac:dyDescent="0.4">
      <c r="A50" s="154" t="s">
        <v>59</v>
      </c>
      <c r="B50" s="147" t="s">
        <v>60</v>
      </c>
      <c r="C50" s="147" t="s">
        <v>61</v>
      </c>
      <c r="D50" s="147" t="s">
        <v>62</v>
      </c>
      <c r="E50" s="147" t="s">
        <v>63</v>
      </c>
      <c r="F50" s="163" t="s">
        <v>515</v>
      </c>
    </row>
    <row r="51" spans="1:8" x14ac:dyDescent="0.35">
      <c r="A51" s="58" t="s">
        <v>33</v>
      </c>
      <c r="B51" s="26">
        <f>SUM(D28:D32)</f>
        <v>3.5641337565333324</v>
      </c>
      <c r="C51" s="26">
        <f>C36+(C38/5*5)+(C39/5*5)</f>
        <v>3.0399197695712445E-2</v>
      </c>
      <c r="D51" s="59"/>
      <c r="E51" s="26">
        <f>SUM((C41/5*5),C44,C45)</f>
        <v>1.8777577987453373E-2</v>
      </c>
      <c r="F51" s="61"/>
      <c r="H51" s="15"/>
    </row>
    <row r="52" spans="1:8" ht="16.5" x14ac:dyDescent="0.35">
      <c r="A52" s="58" t="s">
        <v>498</v>
      </c>
      <c r="B52" s="26">
        <f>SUM(E28:E32)</f>
        <v>3.6501318597299999E-2</v>
      </c>
      <c r="C52" s="26">
        <f>D36+(D39/5*5)</f>
        <v>1.5913762965065316E-3</v>
      </c>
      <c r="D52" s="52"/>
      <c r="E52" s="26">
        <f>SUM((D41/4*4),(D42/4*4),D45)</f>
        <v>2.4661432099973043E-3</v>
      </c>
      <c r="F52" s="61"/>
      <c r="H52" s="15"/>
    </row>
    <row r="53" spans="1:8" ht="16.5" x14ac:dyDescent="0.45">
      <c r="A53" s="58" t="s">
        <v>499</v>
      </c>
      <c r="B53" s="26">
        <f>SUM(F28:F30)</f>
        <v>7.0446750000000002E-2</v>
      </c>
      <c r="C53" s="60"/>
      <c r="D53" s="49"/>
      <c r="E53" s="213">
        <v>0</v>
      </c>
      <c r="F53" s="54"/>
      <c r="H53" s="15"/>
    </row>
    <row r="54" spans="1:8" ht="16.5" x14ac:dyDescent="0.45">
      <c r="A54" s="58" t="s">
        <v>500</v>
      </c>
      <c r="B54" s="26">
        <f>SUM(F28:F30)</f>
        <v>7.0446750000000002E-2</v>
      </c>
      <c r="C54" s="49"/>
      <c r="D54" s="59"/>
      <c r="E54" s="49"/>
      <c r="F54" s="54"/>
      <c r="H54" s="39"/>
    </row>
    <row r="55" spans="1:8" x14ac:dyDescent="0.35">
      <c r="A55" s="58" t="s">
        <v>511</v>
      </c>
      <c r="B55" s="213">
        <f>SUM(G28:G32)</f>
        <v>0</v>
      </c>
      <c r="C55" s="62"/>
      <c r="D55" s="62"/>
      <c r="E55" s="62"/>
      <c r="F55" s="230">
        <f>SUM(F36,(F37/5*5),(F38/5*5),(F39/5))+F44</f>
        <v>0.40118997377776044</v>
      </c>
      <c r="H55" s="39"/>
    </row>
    <row r="56" spans="1:8" ht="15" customHeight="1" x14ac:dyDescent="0.35">
      <c r="A56" s="64" t="s">
        <v>65</v>
      </c>
      <c r="B56" s="65"/>
      <c r="C56" s="224">
        <v>0</v>
      </c>
      <c r="D56" s="49"/>
      <c r="E56" s="26">
        <f>B17</f>
        <v>1.6666666666666666E-2</v>
      </c>
      <c r="F56" s="54"/>
      <c r="H56" s="15"/>
    </row>
    <row r="57" spans="1:8" x14ac:dyDescent="0.35">
      <c r="A57" s="58" t="s">
        <v>66</v>
      </c>
      <c r="B57" s="26">
        <f>C57-C42</f>
        <v>0.10340078721600554</v>
      </c>
      <c r="C57" s="26">
        <f>(C37/4*4)</f>
        <v>0.67183443421498812</v>
      </c>
      <c r="D57" s="49"/>
      <c r="E57" s="26">
        <f>C42/4*4</f>
        <v>0.56843364699898258</v>
      </c>
      <c r="F57" s="54"/>
      <c r="H57" s="15"/>
    </row>
    <row r="58" spans="1:8" ht="15" customHeight="1" thickBot="1" x14ac:dyDescent="0.4">
      <c r="A58" s="66" t="s">
        <v>67</v>
      </c>
      <c r="B58" s="67"/>
      <c r="C58" s="67"/>
      <c r="D58" s="44">
        <f>C47</f>
        <v>1.9759836300440826E-3</v>
      </c>
      <c r="E58" s="67"/>
      <c r="F58" s="212"/>
      <c r="H58" s="15"/>
    </row>
    <row r="59" spans="1:8" ht="15" customHeight="1" thickBot="1" x14ac:dyDescent="0.4"/>
    <row r="60" spans="1:8" ht="15" customHeight="1" x14ac:dyDescent="0.35">
      <c r="A60" s="170" t="s">
        <v>68</v>
      </c>
      <c r="B60" s="159"/>
      <c r="C60" s="159"/>
      <c r="D60" s="159"/>
      <c r="E60" s="159"/>
      <c r="F60" s="159"/>
      <c r="G60" s="158"/>
      <c r="H60" s="160"/>
    </row>
    <row r="61" spans="1:8" ht="17" customHeight="1" thickBot="1" x14ac:dyDescent="0.5">
      <c r="A61" s="154" t="s">
        <v>69</v>
      </c>
      <c r="B61" s="147" t="s">
        <v>502</v>
      </c>
      <c r="C61" s="147" t="s">
        <v>503</v>
      </c>
      <c r="D61" s="147" t="s">
        <v>504</v>
      </c>
      <c r="E61" s="147" t="s">
        <v>505</v>
      </c>
      <c r="F61" s="147" t="s">
        <v>506</v>
      </c>
      <c r="G61" s="147" t="s">
        <v>507</v>
      </c>
      <c r="H61" s="148" t="s">
        <v>76</v>
      </c>
    </row>
    <row r="62" spans="1:8" ht="15" customHeight="1" thickBot="1" x14ac:dyDescent="0.4">
      <c r="A62" s="207" t="s">
        <v>484</v>
      </c>
      <c r="B62" s="69">
        <f>Assumptions!B13</f>
        <v>79.3</v>
      </c>
      <c r="C62" s="69">
        <f>Assumptions!C13</f>
        <v>162</v>
      </c>
      <c r="D62" s="69">
        <f>Assumptions!D13</f>
        <v>96</v>
      </c>
      <c r="E62" s="69">
        <f>Assumptions!E13</f>
        <v>0.21</v>
      </c>
      <c r="F62" s="69">
        <f>Assumptions!F13</f>
        <v>0.93</v>
      </c>
      <c r="G62" s="69">
        <f>Assumptions!G13</f>
        <v>0.3</v>
      </c>
      <c r="H62" s="73">
        <f>Assumptions!H13</f>
        <v>0.94</v>
      </c>
    </row>
    <row r="63" spans="1:8" ht="15" customHeight="1" thickBot="1" x14ac:dyDescent="0.4">
      <c r="B63" s="15"/>
      <c r="C63" s="15"/>
      <c r="D63" s="15"/>
      <c r="E63" s="15"/>
      <c r="F63" s="15"/>
    </row>
    <row r="64" spans="1:8" ht="15" customHeight="1" x14ac:dyDescent="0.35">
      <c r="A64" s="187" t="s">
        <v>78</v>
      </c>
      <c r="B64" s="71">
        <v>1</v>
      </c>
      <c r="C64" s="15"/>
      <c r="D64" s="26"/>
      <c r="E64" s="26"/>
      <c r="F64" s="26"/>
    </row>
    <row r="65" spans="1:8" ht="17" customHeight="1" thickBot="1" x14ac:dyDescent="0.4">
      <c r="A65" s="72" t="s">
        <v>582</v>
      </c>
      <c r="B65" s="73">
        <f>B64*Assumptions!B7</f>
        <v>86</v>
      </c>
      <c r="C65" s="15"/>
      <c r="D65" s="15"/>
      <c r="E65" s="15"/>
      <c r="F65" s="15"/>
    </row>
    <row r="66" spans="1:8" ht="15" customHeight="1" thickBot="1" x14ac:dyDescent="0.4">
      <c r="B66" s="15"/>
      <c r="C66" s="15"/>
      <c r="D66" s="15"/>
      <c r="E66" s="15"/>
      <c r="F66" s="15"/>
    </row>
    <row r="67" spans="1:8" ht="17" customHeight="1" thickBot="1" x14ac:dyDescent="0.5">
      <c r="A67" s="164" t="s">
        <v>79</v>
      </c>
      <c r="B67" s="145" t="s">
        <v>501</v>
      </c>
    </row>
    <row r="68" spans="1:8" x14ac:dyDescent="0.35">
      <c r="A68" s="82" t="s">
        <v>60</v>
      </c>
      <c r="B68" s="231">
        <f>B51+(B52*B62)+(B53*C62)+(B54*D62)+(B55*H62)+(B57*G62)</f>
        <v>24.664970057464025</v>
      </c>
    </row>
    <row r="69" spans="1:8" x14ac:dyDescent="0.35">
      <c r="A69" s="82" t="s">
        <v>515</v>
      </c>
      <c r="B69" s="231">
        <f>+B65*F55*H62</f>
        <v>32.432197480194155</v>
      </c>
    </row>
    <row r="70" spans="1:8" x14ac:dyDescent="0.35">
      <c r="A70" s="82" t="s">
        <v>81</v>
      </c>
      <c r="B70" s="232">
        <f>B65*(C51+(C52*B62)+(C56*E62)+(C57*G62))</f>
        <v>30.800527471493208</v>
      </c>
    </row>
    <row r="71" spans="1:8" ht="17" customHeight="1" x14ac:dyDescent="0.35">
      <c r="A71" s="82" t="s">
        <v>82</v>
      </c>
      <c r="B71" s="232">
        <f>B65*((D58*F62))</f>
        <v>0.15803917073092574</v>
      </c>
    </row>
    <row r="72" spans="1:8" x14ac:dyDescent="0.35">
      <c r="A72" s="83" t="s">
        <v>83</v>
      </c>
      <c r="B72" s="233">
        <f>B65*(E51+(E52*B62)+(E53*C62)-(E56*E62)+(E57*G62))</f>
        <v>32.798063263034358</v>
      </c>
    </row>
    <row r="73" spans="1:8" ht="15" customHeight="1" thickBot="1" x14ac:dyDescent="0.5">
      <c r="A73" s="84" t="s">
        <v>530</v>
      </c>
      <c r="B73" s="234">
        <f>B68+B69+B70+B71-B72</f>
        <v>55.257670916847964</v>
      </c>
    </row>
    <row r="75" spans="1:8" s="88" customFormat="1" ht="15" customHeight="1" thickBot="1" x14ac:dyDescent="0.4">
      <c r="A75" s="185"/>
      <c r="B75" s="186"/>
    </row>
    <row r="76" spans="1:8" ht="19" customHeight="1" thickBot="1" x14ac:dyDescent="0.5">
      <c r="A76" s="394" t="s">
        <v>428</v>
      </c>
      <c r="B76" s="395"/>
      <c r="C76" s="395"/>
      <c r="D76" s="257"/>
      <c r="E76" s="257"/>
      <c r="F76" s="257"/>
      <c r="G76" s="257"/>
      <c r="H76" s="258"/>
    </row>
    <row r="77" spans="1:8" ht="15" customHeight="1" thickBot="1" x14ac:dyDescent="0.4">
      <c r="A77" s="9"/>
      <c r="B77" s="9"/>
      <c r="C77" s="9"/>
    </row>
    <row r="78" spans="1:8" x14ac:dyDescent="0.35">
      <c r="A78" s="259" t="s">
        <v>429</v>
      </c>
      <c r="B78" s="260"/>
      <c r="C78" s="260"/>
      <c r="D78" s="263"/>
      <c r="E78" s="264"/>
    </row>
    <row r="79" spans="1:8" ht="15" customHeight="1" thickBot="1" x14ac:dyDescent="0.4">
      <c r="A79" s="273" t="s">
        <v>142</v>
      </c>
      <c r="B79" s="274" t="s">
        <v>86</v>
      </c>
      <c r="C79" s="274" t="s">
        <v>3</v>
      </c>
      <c r="D79" s="274" t="s">
        <v>113</v>
      </c>
      <c r="E79" s="275" t="s">
        <v>239</v>
      </c>
    </row>
    <row r="80" spans="1:8" x14ac:dyDescent="0.35">
      <c r="A80" s="114" t="s">
        <v>430</v>
      </c>
      <c r="B80" s="104">
        <f>Assumptions!B7</f>
        <v>86</v>
      </c>
      <c r="C80" s="115" t="s">
        <v>241</v>
      </c>
      <c r="D80" s="115"/>
      <c r="E80" s="86"/>
    </row>
    <row r="81" spans="1:5" x14ac:dyDescent="0.35">
      <c r="A81" s="172" t="s">
        <v>431</v>
      </c>
      <c r="B81" s="39">
        <v>2</v>
      </c>
      <c r="C81" s="122" t="s">
        <v>432</v>
      </c>
      <c r="E81" s="3"/>
    </row>
    <row r="82" spans="1:5" x14ac:dyDescent="0.35">
      <c r="A82" s="172" t="s">
        <v>433</v>
      </c>
      <c r="B82" s="39">
        <v>1</v>
      </c>
      <c r="C82" s="122" t="s">
        <v>434</v>
      </c>
      <c r="E82" s="3"/>
    </row>
    <row r="83" spans="1:5" x14ac:dyDescent="0.35">
      <c r="A83" s="172" t="s">
        <v>435</v>
      </c>
      <c r="B83" s="39">
        <v>0.04</v>
      </c>
      <c r="C83" s="122" t="s">
        <v>436</v>
      </c>
      <c r="D83" t="s">
        <v>437</v>
      </c>
      <c r="E83" s="3"/>
    </row>
    <row r="84" spans="1:5" x14ac:dyDescent="0.35">
      <c r="A84" s="172" t="s">
        <v>438</v>
      </c>
      <c r="B84" s="15">
        <v>0.5</v>
      </c>
      <c r="C84" s="122" t="s">
        <v>434</v>
      </c>
      <c r="E84" s="3"/>
    </row>
    <row r="85" spans="1:5" x14ac:dyDescent="0.35">
      <c r="A85" s="172" t="s">
        <v>439</v>
      </c>
      <c r="B85" s="15">
        <f>B84*B83</f>
        <v>0.02</v>
      </c>
      <c r="C85" s="122" t="s">
        <v>440</v>
      </c>
      <c r="E85" s="3"/>
    </row>
    <row r="86" spans="1:5" x14ac:dyDescent="0.35">
      <c r="A86" s="172" t="s">
        <v>441</v>
      </c>
      <c r="B86" s="15">
        <f>B84/5</f>
        <v>0.1</v>
      </c>
      <c r="C86" s="122" t="s">
        <v>434</v>
      </c>
      <c r="E86" s="3"/>
    </row>
    <row r="87" spans="1:5" x14ac:dyDescent="0.35">
      <c r="A87" s="172" t="s">
        <v>442</v>
      </c>
      <c r="B87" s="15">
        <f>B86*B83</f>
        <v>4.0000000000000001E-3</v>
      </c>
      <c r="C87" s="122" t="s">
        <v>440</v>
      </c>
      <c r="E87" s="3"/>
    </row>
    <row r="88" spans="1:5" x14ac:dyDescent="0.35">
      <c r="A88" s="172" t="s">
        <v>443</v>
      </c>
      <c r="B88" s="15">
        <f>(B86*B83)/B82</f>
        <v>4.0000000000000001E-3</v>
      </c>
      <c r="C88" s="122" t="s">
        <v>436</v>
      </c>
      <c r="E88" s="3"/>
    </row>
    <row r="89" spans="1:5" x14ac:dyDescent="0.35">
      <c r="A89" s="172" t="s">
        <v>444</v>
      </c>
      <c r="B89" s="15">
        <f>B83-B88</f>
        <v>3.6000000000000004E-2</v>
      </c>
      <c r="C89" s="122" t="s">
        <v>445</v>
      </c>
      <c r="E89" s="3"/>
    </row>
    <row r="90" spans="1:5" x14ac:dyDescent="0.35">
      <c r="A90" s="172" t="s">
        <v>446</v>
      </c>
      <c r="B90" s="15">
        <f>(B82*B81)/B87</f>
        <v>500</v>
      </c>
      <c r="C90" t="s">
        <v>447</v>
      </c>
      <c r="E90" s="3"/>
    </row>
    <row r="91" spans="1:5" x14ac:dyDescent="0.35">
      <c r="A91" s="172" t="s">
        <v>448</v>
      </c>
      <c r="B91" s="15">
        <v>1</v>
      </c>
      <c r="C91" s="122" t="s">
        <v>449</v>
      </c>
      <c r="E91" s="3"/>
    </row>
    <row r="92" spans="1:5" ht="16.5" x14ac:dyDescent="0.35">
      <c r="A92" s="172" t="s">
        <v>450</v>
      </c>
      <c r="B92" s="39">
        <v>1000</v>
      </c>
      <c r="C92" s="122" t="s">
        <v>531</v>
      </c>
      <c r="E92" s="3"/>
    </row>
    <row r="93" spans="1:5" ht="16.5" x14ac:dyDescent="0.35">
      <c r="A93" s="172" t="s">
        <v>245</v>
      </c>
      <c r="B93" s="15">
        <v>1000</v>
      </c>
      <c r="C93" s="122" t="s">
        <v>532</v>
      </c>
      <c r="E93" s="3"/>
    </row>
    <row r="94" spans="1:5" x14ac:dyDescent="0.35">
      <c r="A94" s="172" t="s">
        <v>451</v>
      </c>
      <c r="B94" s="15">
        <f>F121</f>
        <v>0.1605</v>
      </c>
      <c r="C94" t="s">
        <v>162</v>
      </c>
      <c r="E94" s="3"/>
    </row>
    <row r="95" spans="1:5" x14ac:dyDescent="0.35">
      <c r="A95" s="82" t="s">
        <v>279</v>
      </c>
      <c r="B95" s="15">
        <v>1.5</v>
      </c>
      <c r="E95" s="3" t="s">
        <v>280</v>
      </c>
    </row>
    <row r="96" spans="1:5" x14ac:dyDescent="0.35">
      <c r="A96" s="172" t="s">
        <v>452</v>
      </c>
      <c r="B96" s="15">
        <v>3</v>
      </c>
      <c r="C96" s="122" t="s">
        <v>154</v>
      </c>
      <c r="E96" s="3"/>
    </row>
    <row r="97" spans="1:7" x14ac:dyDescent="0.35">
      <c r="A97" s="172" t="s">
        <v>453</v>
      </c>
      <c r="B97" s="15">
        <f>B96/60</f>
        <v>0.05</v>
      </c>
      <c r="C97" s="122" t="s">
        <v>155</v>
      </c>
      <c r="E97" s="3"/>
    </row>
    <row r="98" spans="1:7" x14ac:dyDescent="0.35">
      <c r="A98" s="172" t="s">
        <v>454</v>
      </c>
      <c r="B98" s="15">
        <v>30</v>
      </c>
      <c r="C98" s="122" t="s">
        <v>455</v>
      </c>
      <c r="E98" s="3"/>
    </row>
    <row r="99" spans="1:7" x14ac:dyDescent="0.35">
      <c r="A99" s="172" t="s">
        <v>454</v>
      </c>
      <c r="B99" s="15">
        <f>B98/60/60</f>
        <v>8.3333333333333332E-3</v>
      </c>
      <c r="C99" s="122" t="s">
        <v>295</v>
      </c>
      <c r="E99" s="3"/>
    </row>
    <row r="100" spans="1:7" x14ac:dyDescent="0.35">
      <c r="A100" s="172" t="s">
        <v>547</v>
      </c>
      <c r="B100" s="25">
        <f>321+91</f>
        <v>412</v>
      </c>
      <c r="C100" s="122" t="s">
        <v>162</v>
      </c>
      <c r="D100" s="122"/>
      <c r="E100" s="189"/>
    </row>
    <row r="101" spans="1:7" ht="16.5" x14ac:dyDescent="0.35">
      <c r="A101" s="172" t="s">
        <v>548</v>
      </c>
      <c r="B101" s="25">
        <v>2</v>
      </c>
      <c r="C101" s="122" t="s">
        <v>517</v>
      </c>
      <c r="D101" s="122"/>
      <c r="E101" s="189"/>
    </row>
    <row r="102" spans="1:7" ht="16.5" x14ac:dyDescent="0.35">
      <c r="A102" s="172" t="s">
        <v>549</v>
      </c>
      <c r="B102" s="25">
        <v>0.61399999999999999</v>
      </c>
      <c r="C102" s="122" t="s">
        <v>517</v>
      </c>
      <c r="D102" s="122"/>
      <c r="E102" s="189"/>
    </row>
    <row r="103" spans="1:7" x14ac:dyDescent="0.35">
      <c r="A103" s="172" t="s">
        <v>550</v>
      </c>
      <c r="B103" s="25">
        <v>0.20499999999999999</v>
      </c>
      <c r="C103" s="122" t="s">
        <v>163</v>
      </c>
      <c r="D103" s="122"/>
      <c r="E103" s="189"/>
    </row>
    <row r="104" spans="1:7" x14ac:dyDescent="0.35">
      <c r="A104" s="172" t="s">
        <v>456</v>
      </c>
      <c r="B104" s="39">
        <v>2.2000000000000002</v>
      </c>
      <c r="C104" s="122" t="s">
        <v>301</v>
      </c>
      <c r="E104" s="189" t="s">
        <v>457</v>
      </c>
    </row>
    <row r="105" spans="1:7" x14ac:dyDescent="0.35">
      <c r="A105" s="172" t="s">
        <v>458</v>
      </c>
      <c r="B105" s="39">
        <v>7.5</v>
      </c>
      <c r="C105" s="122" t="s">
        <v>162</v>
      </c>
      <c r="E105" s="189" t="s">
        <v>457</v>
      </c>
    </row>
    <row r="106" spans="1:7" ht="16.5" x14ac:dyDescent="0.35">
      <c r="A106" s="172" t="s">
        <v>459</v>
      </c>
      <c r="B106" s="15">
        <f>Q124</f>
        <v>2.9700714E-2</v>
      </c>
      <c r="C106" s="122" t="s">
        <v>517</v>
      </c>
      <c r="E106" s="189" t="s">
        <v>457</v>
      </c>
      <c r="G106" s="140"/>
    </row>
    <row r="107" spans="1:7" x14ac:dyDescent="0.35">
      <c r="A107" s="172" t="s">
        <v>460</v>
      </c>
      <c r="B107" s="15">
        <f>B88*B18</f>
        <v>8.0000000000000002E-3</v>
      </c>
      <c r="C107" s="122" t="s">
        <v>260</v>
      </c>
      <c r="E107" s="189"/>
      <c r="G107" s="140"/>
    </row>
    <row r="108" spans="1:7" x14ac:dyDescent="0.35">
      <c r="A108" s="172" t="s">
        <v>461</v>
      </c>
      <c r="B108" s="15">
        <f>B80*B107</f>
        <v>0.68800000000000006</v>
      </c>
      <c r="C108" s="122" t="s">
        <v>260</v>
      </c>
      <c r="E108" s="189"/>
      <c r="G108" s="140"/>
    </row>
    <row r="109" spans="1:7" x14ac:dyDescent="0.35">
      <c r="A109" s="172" t="s">
        <v>462</v>
      </c>
      <c r="B109" s="15">
        <f>ROUNDUP((B108/B81),)</f>
        <v>1</v>
      </c>
      <c r="C109" s="122" t="s">
        <v>116</v>
      </c>
      <c r="E109" s="189"/>
      <c r="G109" s="140"/>
    </row>
    <row r="110" spans="1:7" x14ac:dyDescent="0.35">
      <c r="A110" s="38" t="s">
        <v>552</v>
      </c>
      <c r="B110" s="15">
        <f>ROUNDUP(((B109*D130)/B102),)</f>
        <v>1</v>
      </c>
      <c r="C110" s="122" t="s">
        <v>116</v>
      </c>
      <c r="E110" s="189"/>
      <c r="G110" s="140"/>
    </row>
    <row r="111" spans="1:7" x14ac:dyDescent="0.35">
      <c r="A111" s="172" t="s">
        <v>463</v>
      </c>
      <c r="B111" s="15">
        <f>(B18*B85)/1000</f>
        <v>4.0000000000000003E-5</v>
      </c>
      <c r="C111" s="122" t="s">
        <v>162</v>
      </c>
      <c r="E111" s="189"/>
      <c r="G111" s="140"/>
    </row>
    <row r="112" spans="1:7" x14ac:dyDescent="0.35">
      <c r="A112" s="172" t="s">
        <v>464</v>
      </c>
      <c r="B112" s="15">
        <f>B111*B80</f>
        <v>3.4400000000000003E-3</v>
      </c>
      <c r="C112" s="122" t="s">
        <v>162</v>
      </c>
      <c r="E112" s="189"/>
      <c r="G112" s="140"/>
    </row>
    <row r="113" spans="1:22" x14ac:dyDescent="0.35">
      <c r="A113" s="172" t="s">
        <v>465</v>
      </c>
      <c r="B113" s="15">
        <f>ROUNDUP((B112/B94),)</f>
        <v>1</v>
      </c>
      <c r="C113" s="122" t="s">
        <v>116</v>
      </c>
      <c r="E113" s="189"/>
      <c r="G113" s="140"/>
    </row>
    <row r="114" spans="1:22" x14ac:dyDescent="0.35">
      <c r="A114" s="172" t="s">
        <v>466</v>
      </c>
      <c r="B114" s="15">
        <f>B18*B89</f>
        <v>7.2000000000000008E-2</v>
      </c>
      <c r="C114" s="122" t="s">
        <v>260</v>
      </c>
      <c r="E114" s="189"/>
      <c r="G114" s="140"/>
    </row>
    <row r="115" spans="1:22" ht="15" customHeight="1" thickBot="1" x14ac:dyDescent="0.4">
      <c r="A115" s="190" t="s">
        <v>467</v>
      </c>
      <c r="B115" s="69">
        <f>(B114*B80)/1000</f>
        <v>6.1920000000000013E-3</v>
      </c>
      <c r="C115" s="182" t="s">
        <v>248</v>
      </c>
      <c r="D115" s="48"/>
      <c r="E115" s="192"/>
      <c r="G115" s="140"/>
    </row>
    <row r="116" spans="1:22" ht="15" customHeight="1" thickBot="1" x14ac:dyDescent="0.4">
      <c r="A116" s="122"/>
      <c r="B116" s="15"/>
      <c r="C116" s="122"/>
      <c r="E116" s="122"/>
      <c r="G116" s="140"/>
    </row>
    <row r="117" spans="1:22" x14ac:dyDescent="0.35">
      <c r="A117" s="259" t="s">
        <v>167</v>
      </c>
      <c r="B117" s="262"/>
      <c r="C117" s="262"/>
      <c r="D117" s="263"/>
      <c r="E117" s="263"/>
      <c r="F117" s="263"/>
      <c r="G117" s="263"/>
      <c r="H117" s="263"/>
      <c r="I117" s="263"/>
      <c r="J117" s="263"/>
      <c r="K117" s="263"/>
      <c r="L117" s="263"/>
      <c r="M117" s="263"/>
      <c r="N117" s="263"/>
      <c r="O117" s="263"/>
      <c r="P117" s="266"/>
      <c r="Q117" s="263"/>
      <c r="R117" s="263"/>
      <c r="S117" s="263"/>
      <c r="T117" s="263"/>
      <c r="U117" s="263"/>
      <c r="V117" s="264"/>
    </row>
    <row r="118" spans="1:22" s="15" customFormat="1" ht="15" customHeight="1" thickBot="1" x14ac:dyDescent="0.4">
      <c r="A118" s="273" t="s">
        <v>211</v>
      </c>
      <c r="B118" s="274" t="s">
        <v>342</v>
      </c>
      <c r="C118" s="274" t="s">
        <v>116</v>
      </c>
      <c r="D118" s="274" t="s">
        <v>343</v>
      </c>
      <c r="E118" s="274" t="s">
        <v>116</v>
      </c>
      <c r="F118" s="274" t="s">
        <v>468</v>
      </c>
      <c r="G118" s="274"/>
      <c r="H118" s="274" t="s">
        <v>170</v>
      </c>
      <c r="I118" s="274" t="s">
        <v>248</v>
      </c>
      <c r="J118" s="274" t="s">
        <v>344</v>
      </c>
      <c r="K118" s="274" t="s">
        <v>345</v>
      </c>
      <c r="L118" s="274" t="s">
        <v>116</v>
      </c>
      <c r="M118" s="274" t="s">
        <v>534</v>
      </c>
      <c r="N118" s="274" t="s">
        <v>174</v>
      </c>
      <c r="O118" s="274" t="s">
        <v>175</v>
      </c>
      <c r="P118" s="274" t="s">
        <v>176</v>
      </c>
      <c r="Q118" s="274" t="s">
        <v>519</v>
      </c>
      <c r="R118" s="274"/>
      <c r="S118" s="274" t="s">
        <v>113</v>
      </c>
      <c r="T118" s="303"/>
      <c r="U118" s="274" t="s">
        <v>177</v>
      </c>
      <c r="V118" s="275" t="s">
        <v>347</v>
      </c>
    </row>
    <row r="119" spans="1:22" x14ac:dyDescent="0.35">
      <c r="A119" s="114" t="s">
        <v>348</v>
      </c>
      <c r="B119" s="104"/>
      <c r="C119" s="104"/>
      <c r="D119" s="104">
        <v>1.121</v>
      </c>
      <c r="E119" s="104" t="s">
        <v>277</v>
      </c>
      <c r="F119" s="104">
        <f>D119/1000</f>
        <v>1.121E-3</v>
      </c>
      <c r="G119" s="104"/>
      <c r="H119" s="104" t="s">
        <v>349</v>
      </c>
      <c r="I119" s="104"/>
      <c r="J119" s="104">
        <v>1.2</v>
      </c>
      <c r="K119" s="104">
        <v>4.2</v>
      </c>
      <c r="L119" s="104" t="s">
        <v>350</v>
      </c>
      <c r="M119" s="104">
        <f>PI()*((J119/2)^2)*K119</f>
        <v>4.7500880922277675</v>
      </c>
      <c r="N119" s="104"/>
      <c r="O119" s="104">
        <f>J119/100</f>
        <v>1.2E-2</v>
      </c>
      <c r="P119" s="104">
        <f>K119/100</f>
        <v>4.2000000000000003E-2</v>
      </c>
      <c r="Q119" s="104">
        <f>PI()*((O119/2)^2)*P119</f>
        <v>4.7500880922277672E-6</v>
      </c>
      <c r="R119" s="104"/>
      <c r="S119" s="115"/>
      <c r="T119" s="115"/>
      <c r="U119" s="115">
        <v>2.54</v>
      </c>
      <c r="V119" s="86">
        <v>2.2050000000000001</v>
      </c>
    </row>
    <row r="120" spans="1:22" ht="16.5" x14ac:dyDescent="0.35">
      <c r="A120" s="82" t="s">
        <v>469</v>
      </c>
      <c r="B120" s="15">
        <v>1.0009999999999999</v>
      </c>
      <c r="C120" s="15" t="s">
        <v>533</v>
      </c>
      <c r="D120" s="15">
        <f>B120*2</f>
        <v>2.0019999999999998</v>
      </c>
      <c r="E120" s="15" t="s">
        <v>277</v>
      </c>
      <c r="F120" s="15">
        <f>D120/1000</f>
        <v>2.0019999999999999E-3</v>
      </c>
      <c r="G120" s="15"/>
      <c r="H120" s="191" t="s">
        <v>359</v>
      </c>
      <c r="I120" s="15"/>
      <c r="J120" s="15"/>
      <c r="K120" s="15"/>
      <c r="L120" s="15"/>
      <c r="M120" s="15"/>
      <c r="N120" s="15"/>
      <c r="O120" s="15"/>
      <c r="P120" s="15"/>
      <c r="Q120" s="15"/>
      <c r="R120" s="15"/>
      <c r="V120" s="193"/>
    </row>
    <row r="121" spans="1:22" ht="16.5" x14ac:dyDescent="0.35">
      <c r="A121" s="82" t="s">
        <v>470</v>
      </c>
      <c r="B121" s="15">
        <v>3.21</v>
      </c>
      <c r="C121" s="15" t="s">
        <v>533</v>
      </c>
      <c r="D121" s="15">
        <f>B121*50</f>
        <v>160.5</v>
      </c>
      <c r="E121" s="15" t="s">
        <v>277</v>
      </c>
      <c r="F121" s="15">
        <f>D121/1000</f>
        <v>0.1605</v>
      </c>
      <c r="G121" s="15"/>
      <c r="H121" s="191" t="s">
        <v>359</v>
      </c>
      <c r="I121" s="15"/>
      <c r="J121" s="15"/>
      <c r="K121" s="15"/>
      <c r="L121" s="15"/>
      <c r="M121" s="15"/>
      <c r="N121" s="15"/>
      <c r="O121" s="15"/>
      <c r="P121" s="15"/>
      <c r="Q121" s="15"/>
      <c r="R121" s="15"/>
      <c r="V121" s="193"/>
    </row>
    <row r="122" spans="1:22" x14ac:dyDescent="0.35">
      <c r="A122" s="82" t="s">
        <v>354</v>
      </c>
      <c r="B122" s="15"/>
      <c r="C122" s="15"/>
      <c r="D122" s="15">
        <v>13.041</v>
      </c>
      <c r="E122" s="15" t="s">
        <v>277</v>
      </c>
      <c r="F122" s="15">
        <f>D122/1000</f>
        <v>1.3041000000000001E-2</v>
      </c>
      <c r="G122" s="15"/>
      <c r="H122" s="15" t="s">
        <v>349</v>
      </c>
      <c r="I122" s="15"/>
      <c r="J122" s="15">
        <v>3.4</v>
      </c>
      <c r="K122" s="15">
        <v>11.6</v>
      </c>
      <c r="L122" s="15" t="s">
        <v>350</v>
      </c>
      <c r="M122" s="15">
        <f>PI()*((J122/2)^2)*K122</f>
        <v>105.3187521189442</v>
      </c>
      <c r="N122" s="15"/>
      <c r="O122" s="15">
        <f t="shared" ref="O122:P124" si="0">J122/100</f>
        <v>3.4000000000000002E-2</v>
      </c>
      <c r="P122" s="15">
        <f t="shared" si="0"/>
        <v>0.11599999999999999</v>
      </c>
      <c r="Q122" s="15">
        <f>PI()*((O122/2)^2)*P122</f>
        <v>1.0531875211894423E-4</v>
      </c>
      <c r="R122" s="15"/>
      <c r="V122" s="193"/>
    </row>
    <row r="123" spans="1:22" x14ac:dyDescent="0.35">
      <c r="A123" s="82" t="s">
        <v>351</v>
      </c>
      <c r="B123" s="15"/>
      <c r="C123" s="15"/>
      <c r="D123" s="15">
        <v>6.1769999999999996</v>
      </c>
      <c r="E123" s="15" t="s">
        <v>277</v>
      </c>
      <c r="F123" s="15">
        <f>D123/1000</f>
        <v>6.1769999999999993E-3</v>
      </c>
      <c r="G123" s="15"/>
      <c r="H123" s="15" t="s">
        <v>349</v>
      </c>
      <c r="I123" s="15"/>
      <c r="J123" s="15">
        <v>2.1</v>
      </c>
      <c r="K123" s="15">
        <v>12</v>
      </c>
      <c r="L123" s="15" t="s">
        <v>350</v>
      </c>
      <c r="M123" s="15">
        <f>PI()*((J123/2)^2)*K123</f>
        <v>41.563270806992961</v>
      </c>
      <c r="N123" s="15"/>
      <c r="O123" s="15">
        <f t="shared" si="0"/>
        <v>2.1000000000000001E-2</v>
      </c>
      <c r="P123" s="15">
        <f t="shared" si="0"/>
        <v>0.12</v>
      </c>
      <c r="Q123" s="15">
        <f>PI()*((O123/2)^2)*P123</f>
        <v>4.1563270806992968E-5</v>
      </c>
      <c r="R123" s="15"/>
      <c r="V123" s="193"/>
    </row>
    <row r="124" spans="1:22" ht="15" customHeight="1" thickBot="1" x14ac:dyDescent="0.4">
      <c r="A124" s="107" t="s">
        <v>471</v>
      </c>
      <c r="B124" s="69"/>
      <c r="C124" s="69"/>
      <c r="D124" s="69"/>
      <c r="E124" s="69"/>
      <c r="F124" s="69">
        <v>7.5</v>
      </c>
      <c r="G124" s="69"/>
      <c r="H124" s="69" t="s">
        <v>353</v>
      </c>
      <c r="I124" s="69">
        <v>37.9</v>
      </c>
      <c r="J124" s="69">
        <v>35.299999999999997</v>
      </c>
      <c r="K124" s="69">
        <v>22.2</v>
      </c>
      <c r="L124" s="69" t="s">
        <v>350</v>
      </c>
      <c r="M124" s="69"/>
      <c r="N124" s="69">
        <f>I124/100</f>
        <v>0.379</v>
      </c>
      <c r="O124" s="69">
        <f t="shared" si="0"/>
        <v>0.35299999999999998</v>
      </c>
      <c r="P124" s="69">
        <f t="shared" si="0"/>
        <v>0.222</v>
      </c>
      <c r="Q124" s="69">
        <f>N124*O124*P124</f>
        <v>2.9700714E-2</v>
      </c>
      <c r="R124" s="69"/>
      <c r="S124" s="48" t="s">
        <v>472</v>
      </c>
      <c r="T124" s="48"/>
      <c r="U124" s="48"/>
      <c r="V124" s="141"/>
    </row>
    <row r="125" spans="1:22" ht="15" customHeight="1" thickBot="1" x14ac:dyDescent="0.4">
      <c r="B125" s="15"/>
      <c r="C125" s="15"/>
      <c r="D125" s="15"/>
      <c r="E125" s="15"/>
      <c r="F125" s="15"/>
      <c r="G125" s="15"/>
      <c r="H125" s="15"/>
      <c r="I125" s="15"/>
      <c r="J125" s="15"/>
      <c r="K125" s="15"/>
      <c r="L125" s="15"/>
      <c r="M125" s="15"/>
      <c r="N125" s="15"/>
      <c r="O125" s="15"/>
      <c r="P125" s="15"/>
      <c r="Q125" s="15"/>
      <c r="R125" s="15"/>
    </row>
    <row r="126" spans="1:22" x14ac:dyDescent="0.35">
      <c r="A126" s="259" t="s">
        <v>210</v>
      </c>
      <c r="B126" s="263"/>
      <c r="C126" s="263"/>
      <c r="D126" s="263"/>
      <c r="E126" s="263"/>
      <c r="F126" s="263"/>
      <c r="G126" s="263"/>
      <c r="H126" s="263"/>
      <c r="I126" s="131"/>
    </row>
    <row r="127" spans="1:22" ht="15" customHeight="1" thickBot="1" x14ac:dyDescent="0.5">
      <c r="A127" s="273" t="s">
        <v>211</v>
      </c>
      <c r="B127" s="274" t="s">
        <v>473</v>
      </c>
      <c r="C127" s="274" t="s">
        <v>33</v>
      </c>
      <c r="D127" s="286" t="s">
        <v>498</v>
      </c>
      <c r="E127" s="274" t="s">
        <v>499</v>
      </c>
      <c r="F127" s="274" t="s">
        <v>34</v>
      </c>
      <c r="G127" s="274" t="s">
        <v>212</v>
      </c>
      <c r="H127" s="274"/>
      <c r="I127" s="275" t="s">
        <v>391</v>
      </c>
      <c r="J127" s="47"/>
      <c r="K127" s="47"/>
    </row>
    <row r="128" spans="1:22" x14ac:dyDescent="0.35">
      <c r="A128" s="82" t="s">
        <v>546</v>
      </c>
      <c r="B128" s="104" t="s">
        <v>60</v>
      </c>
      <c r="C128" s="351">
        <f>B100</f>
        <v>412</v>
      </c>
      <c r="D128" s="104">
        <f>B101</f>
        <v>2</v>
      </c>
      <c r="E128" s="104">
        <f>B103</f>
        <v>0.20499999999999999</v>
      </c>
      <c r="F128" s="104"/>
      <c r="G128" s="104"/>
      <c r="H128" s="104"/>
      <c r="I128" s="86" t="s">
        <v>392</v>
      </c>
    </row>
    <row r="129" spans="1:9" x14ac:dyDescent="0.35">
      <c r="A129" s="82" t="s">
        <v>471</v>
      </c>
      <c r="B129" s="15" t="s">
        <v>60</v>
      </c>
      <c r="C129" s="15">
        <f>B105</f>
        <v>7.5</v>
      </c>
      <c r="D129" s="15">
        <f>Q124</f>
        <v>2.9700714E-2</v>
      </c>
      <c r="E129" s="15">
        <f>B104/1000</f>
        <v>2.2000000000000001E-3</v>
      </c>
      <c r="F129" s="15"/>
      <c r="G129" s="15"/>
      <c r="H129" s="15"/>
      <c r="I129" s="189" t="s">
        <v>457</v>
      </c>
    </row>
    <row r="130" spans="1:9" x14ac:dyDescent="0.35">
      <c r="A130" s="82" t="s">
        <v>474</v>
      </c>
      <c r="B130" s="15" t="s">
        <v>42</v>
      </c>
      <c r="C130" s="15">
        <f>F119</f>
        <v>1.121E-3</v>
      </c>
      <c r="D130" s="15">
        <f>Q119</f>
        <v>4.7500880922277672E-6</v>
      </c>
      <c r="E130" s="15"/>
      <c r="F130" s="15"/>
      <c r="G130" s="15"/>
      <c r="H130" s="15"/>
      <c r="I130" s="3"/>
    </row>
    <row r="131" spans="1:9" x14ac:dyDescent="0.35">
      <c r="A131" s="82" t="s">
        <v>475</v>
      </c>
      <c r="B131" s="15" t="s">
        <v>42</v>
      </c>
      <c r="C131" s="15">
        <f>F122</f>
        <v>1.3041000000000001E-2</v>
      </c>
      <c r="D131" s="15">
        <f>Q122</f>
        <v>1.0531875211894423E-4</v>
      </c>
      <c r="E131" s="15"/>
      <c r="F131" s="15"/>
      <c r="G131" s="15"/>
      <c r="H131" s="15"/>
      <c r="I131" s="3"/>
    </row>
    <row r="132" spans="1:9" x14ac:dyDescent="0.35">
      <c r="A132" s="82" t="s">
        <v>476</v>
      </c>
      <c r="B132" s="15" t="s">
        <v>42</v>
      </c>
      <c r="C132" s="15">
        <f>F119</f>
        <v>1.121E-3</v>
      </c>
      <c r="D132" s="15">
        <f>Q119</f>
        <v>4.7500880922277672E-6</v>
      </c>
      <c r="E132" s="15"/>
      <c r="F132" s="15"/>
      <c r="G132" s="15"/>
      <c r="H132" s="15"/>
      <c r="I132" s="3"/>
    </row>
    <row r="133" spans="1:9" ht="15" customHeight="1" thickBot="1" x14ac:dyDescent="0.4">
      <c r="A133" s="107" t="s">
        <v>477</v>
      </c>
      <c r="B133" s="69" t="s">
        <v>56</v>
      </c>
      <c r="C133" s="69">
        <f>C132</f>
        <v>1.121E-3</v>
      </c>
      <c r="D133" s="69">
        <f>D132</f>
        <v>4.7500880922277672E-6</v>
      </c>
      <c r="E133" s="69"/>
      <c r="F133" s="69"/>
      <c r="G133" s="69"/>
      <c r="H133" s="69"/>
      <c r="I133" s="7"/>
    </row>
    <row r="134" spans="1:9" ht="15" customHeight="1" thickBot="1" x14ac:dyDescent="0.4">
      <c r="A134" s="15"/>
      <c r="B134" s="15"/>
      <c r="C134" s="15"/>
      <c r="D134" s="15"/>
      <c r="E134" s="15"/>
      <c r="F134" s="15"/>
      <c r="G134" s="15"/>
      <c r="H134" s="15"/>
    </row>
    <row r="135" spans="1:9" x14ac:dyDescent="0.35">
      <c r="A135" s="268" t="s">
        <v>228</v>
      </c>
      <c r="B135" s="263"/>
      <c r="C135" s="263"/>
      <c r="D135" s="263"/>
      <c r="E135" s="263"/>
      <c r="F135" s="263"/>
      <c r="G135" s="264"/>
      <c r="H135" s="15"/>
    </row>
    <row r="136" spans="1:9" ht="15" customHeight="1" thickBot="1" x14ac:dyDescent="0.5">
      <c r="A136" s="329" t="s">
        <v>211</v>
      </c>
      <c r="B136" s="304" t="s">
        <v>79</v>
      </c>
      <c r="C136" s="304" t="s">
        <v>32</v>
      </c>
      <c r="D136" s="305" t="s">
        <v>33</v>
      </c>
      <c r="E136" s="306" t="s">
        <v>498</v>
      </c>
      <c r="F136" s="305" t="s">
        <v>499</v>
      </c>
      <c r="G136" s="307" t="s">
        <v>34</v>
      </c>
      <c r="H136" s="15"/>
    </row>
    <row r="137" spans="1:9" x14ac:dyDescent="0.35">
      <c r="A137" s="82" t="s">
        <v>546</v>
      </c>
      <c r="B137" s="104" t="s">
        <v>60</v>
      </c>
      <c r="C137" s="104">
        <f>B110</f>
        <v>1</v>
      </c>
      <c r="D137" s="351">
        <f>$C$137*C128</f>
        <v>412</v>
      </c>
      <c r="E137" s="104">
        <f>$C$137*D128</f>
        <v>2</v>
      </c>
      <c r="F137" s="104">
        <f>$C$137*E128</f>
        <v>0.20499999999999999</v>
      </c>
      <c r="G137" s="86"/>
      <c r="H137" s="15"/>
    </row>
    <row r="138" spans="1:9" x14ac:dyDescent="0.35">
      <c r="A138" s="172" t="s">
        <v>422</v>
      </c>
      <c r="B138" s="15" t="s">
        <v>60</v>
      </c>
      <c r="C138" s="15">
        <v>1</v>
      </c>
      <c r="D138" s="15">
        <f>C129/Assumptions!$B$5</f>
        <v>1.25</v>
      </c>
      <c r="E138" s="15">
        <f>D129/Assumptions!$B$5</f>
        <v>4.9501190000000002E-3</v>
      </c>
      <c r="F138" s="15">
        <f>E129/Assumptions!$B$5</f>
        <v>3.6666666666666667E-4</v>
      </c>
      <c r="G138" s="105"/>
      <c r="H138" t="s">
        <v>525</v>
      </c>
    </row>
    <row r="139" spans="1:9" x14ac:dyDescent="0.35">
      <c r="A139" s="169" t="s">
        <v>478</v>
      </c>
      <c r="B139" s="15" t="s">
        <v>42</v>
      </c>
      <c r="C139" s="15">
        <f>B109</f>
        <v>1</v>
      </c>
      <c r="D139" s="15">
        <f>($C$139*C130)+((B108*B120)/1000)</f>
        <v>1.8096880000000001E-3</v>
      </c>
      <c r="E139" s="15">
        <f>$C$139*D130</f>
        <v>4.7500880922277672E-6</v>
      </c>
      <c r="F139" s="15"/>
      <c r="G139" s="105">
        <f>((B97+(B18*B99))*B95)*B80</f>
        <v>8.6</v>
      </c>
      <c r="H139" s="15"/>
    </row>
    <row r="140" spans="1:9" x14ac:dyDescent="0.35">
      <c r="A140" s="169" t="s">
        <v>479</v>
      </c>
      <c r="B140" s="15" t="s">
        <v>42</v>
      </c>
      <c r="C140" s="15">
        <f>B113</f>
        <v>1</v>
      </c>
      <c r="D140" s="15">
        <f>(C140*C131)+B112</f>
        <v>1.6481000000000003E-2</v>
      </c>
      <c r="E140" s="15">
        <f>C140*D131</f>
        <v>1.0531875211894423E-4</v>
      </c>
      <c r="F140" s="15"/>
      <c r="G140" s="105"/>
      <c r="H140" s="15"/>
    </row>
    <row r="141" spans="1:9" x14ac:dyDescent="0.35">
      <c r="A141" s="169" t="s">
        <v>44</v>
      </c>
      <c r="B141" s="15" t="s">
        <v>42</v>
      </c>
      <c r="C141" s="15"/>
      <c r="D141" s="15">
        <f>(B115/B93)*B92</f>
        <v>6.1920000000000013E-3</v>
      </c>
      <c r="E141" s="15">
        <f>D141/B92</f>
        <v>6.192000000000001E-6</v>
      </c>
      <c r="F141" s="15"/>
      <c r="G141" s="105"/>
      <c r="H141" s="15"/>
    </row>
    <row r="142" spans="1:9" x14ac:dyDescent="0.35">
      <c r="A142" s="169" t="s">
        <v>476</v>
      </c>
      <c r="B142" s="15" t="s">
        <v>42</v>
      </c>
      <c r="C142" s="15">
        <f>B91*B80</f>
        <v>86</v>
      </c>
      <c r="D142" s="15">
        <f>$C$142*C132</f>
        <v>9.6406000000000006E-2</v>
      </c>
      <c r="E142" s="15">
        <f>$C$142*D132</f>
        <v>4.0850757593158797E-4</v>
      </c>
      <c r="F142" s="15"/>
      <c r="G142" s="105"/>
      <c r="H142" s="15"/>
    </row>
    <row r="143" spans="1:9" ht="15" customHeight="1" thickBot="1" x14ac:dyDescent="0.4">
      <c r="A143" s="174" t="s">
        <v>476</v>
      </c>
      <c r="B143" s="69" t="s">
        <v>56</v>
      </c>
      <c r="C143" s="69">
        <f>B91*B80</f>
        <v>86</v>
      </c>
      <c r="D143" s="69">
        <f>$C$143*C133</f>
        <v>9.6406000000000006E-2</v>
      </c>
      <c r="E143" s="69">
        <f>$C$143*D133</f>
        <v>4.0850757593158797E-4</v>
      </c>
      <c r="F143" s="69"/>
      <c r="G143" s="73"/>
      <c r="H143" s="15"/>
    </row>
    <row r="144" spans="1:9" ht="15" customHeight="1" thickBot="1" x14ac:dyDescent="0.4">
      <c r="A144" s="15"/>
      <c r="B144" s="15"/>
      <c r="C144" s="15"/>
      <c r="D144" s="15"/>
      <c r="E144" s="15"/>
      <c r="F144" s="15"/>
      <c r="G144" s="15"/>
      <c r="H144" s="15"/>
    </row>
    <row r="145" spans="1:38" x14ac:dyDescent="0.35">
      <c r="A145" s="269" t="s">
        <v>537</v>
      </c>
      <c r="B145" s="270"/>
      <c r="C145" s="263"/>
      <c r="D145" s="263"/>
      <c r="E145" s="263"/>
      <c r="F145" s="298"/>
      <c r="G145" s="15"/>
      <c r="H145" s="15"/>
      <c r="I145" s="15"/>
      <c r="J145" s="15"/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15"/>
      <c r="W145" s="15"/>
      <c r="X145" s="15"/>
      <c r="Y145" s="15"/>
      <c r="Z145" s="15"/>
      <c r="AA145" s="15"/>
      <c r="AB145" s="15"/>
      <c r="AC145" s="15"/>
      <c r="AD145" s="15"/>
      <c r="AE145" s="15"/>
      <c r="AF145" s="15"/>
      <c r="AG145" s="15"/>
      <c r="AH145" s="15"/>
      <c r="AI145" s="15"/>
      <c r="AJ145" s="15"/>
      <c r="AK145" s="15"/>
      <c r="AL145" s="15"/>
    </row>
    <row r="146" spans="1:38" ht="15" customHeight="1" thickBot="1" x14ac:dyDescent="0.4">
      <c r="A146" s="280" t="s">
        <v>59</v>
      </c>
      <c r="B146" s="281" t="s">
        <v>60</v>
      </c>
      <c r="C146" s="281" t="s">
        <v>61</v>
      </c>
      <c r="D146" s="281" t="s">
        <v>62</v>
      </c>
      <c r="E146" s="281" t="s">
        <v>63</v>
      </c>
      <c r="F146" s="279" t="s">
        <v>515</v>
      </c>
      <c r="G146" s="15"/>
      <c r="H146" s="15"/>
      <c r="I146" s="15"/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15"/>
      <c r="W146" s="15"/>
      <c r="X146" s="15"/>
      <c r="Y146" s="15"/>
      <c r="Z146" s="15"/>
      <c r="AA146" s="15"/>
      <c r="AB146" s="15"/>
      <c r="AC146" s="15"/>
      <c r="AD146" s="15"/>
      <c r="AE146" s="15"/>
      <c r="AF146" s="15"/>
      <c r="AG146" s="15"/>
      <c r="AH146" s="15"/>
      <c r="AI146" s="15"/>
      <c r="AJ146" s="15"/>
      <c r="AK146" s="15"/>
      <c r="AL146" s="15"/>
    </row>
    <row r="147" spans="1:38" x14ac:dyDescent="0.35">
      <c r="A147" s="58" t="s">
        <v>33</v>
      </c>
      <c r="B147" s="26">
        <f>SUM(D137:D138)</f>
        <v>413.25</v>
      </c>
      <c r="C147" s="26">
        <f>SUM(D140,D142)</f>
        <v>0.11288700000000002</v>
      </c>
      <c r="D147" s="52"/>
      <c r="E147" s="213">
        <v>0</v>
      </c>
      <c r="F147" s="61"/>
      <c r="H147" s="15"/>
    </row>
    <row r="148" spans="1:38" ht="16.5" customHeight="1" x14ac:dyDescent="0.35">
      <c r="A148" s="58" t="s">
        <v>498</v>
      </c>
      <c r="B148" s="26">
        <f>SUM(E137:E138)</f>
        <v>2.0049501190000001</v>
      </c>
      <c r="C148" s="26">
        <f>SUM(E139:E142)</f>
        <v>5.247684161427599E-4</v>
      </c>
      <c r="D148" s="52"/>
      <c r="E148" s="213">
        <v>0</v>
      </c>
      <c r="F148" s="61"/>
      <c r="H148" s="15"/>
    </row>
    <row r="149" spans="1:38" ht="16.5" x14ac:dyDescent="0.45">
      <c r="A149" s="58" t="s">
        <v>499</v>
      </c>
      <c r="B149" s="26">
        <f>SUM(F137:F138)</f>
        <v>0.20536666666666664</v>
      </c>
      <c r="C149" s="52"/>
      <c r="D149" s="52"/>
      <c r="E149" s="213">
        <v>0</v>
      </c>
      <c r="F149" s="54"/>
      <c r="H149" s="15"/>
    </row>
    <row r="150" spans="1:38" ht="16.5" x14ac:dyDescent="0.45">
      <c r="A150" s="58" t="s">
        <v>500</v>
      </c>
      <c r="B150" s="213">
        <f>+B149</f>
        <v>0.20536666666666664</v>
      </c>
      <c r="C150" s="52"/>
      <c r="D150" s="52"/>
      <c r="E150" s="52"/>
      <c r="F150" s="54"/>
      <c r="H150" s="39"/>
    </row>
    <row r="151" spans="1:38" x14ac:dyDescent="0.35">
      <c r="A151" s="58" t="s">
        <v>511</v>
      </c>
      <c r="B151" s="52"/>
      <c r="C151" s="62"/>
      <c r="D151" s="62"/>
      <c r="E151" s="62"/>
      <c r="F151" s="230">
        <f>+G139</f>
        <v>8.6</v>
      </c>
      <c r="H151" s="39"/>
    </row>
    <row r="152" spans="1:38" x14ac:dyDescent="0.35">
      <c r="A152" s="64" t="s">
        <v>65</v>
      </c>
      <c r="B152" s="142"/>
      <c r="C152" s="36">
        <f>D139</f>
        <v>1.8096880000000001E-3</v>
      </c>
      <c r="D152" s="52"/>
      <c r="E152" s="213">
        <v>0</v>
      </c>
      <c r="F152" s="54"/>
      <c r="H152" s="15"/>
    </row>
    <row r="153" spans="1:38" x14ac:dyDescent="0.35">
      <c r="A153" s="58" t="s">
        <v>66</v>
      </c>
      <c r="B153" s="213">
        <v>0</v>
      </c>
      <c r="C153" s="25">
        <f>D141</f>
        <v>6.1920000000000013E-3</v>
      </c>
      <c r="D153" s="52"/>
      <c r="E153" s="236">
        <v>0</v>
      </c>
      <c r="F153" s="54"/>
      <c r="H153" s="15"/>
    </row>
    <row r="154" spans="1:38" ht="15" customHeight="1" thickBot="1" x14ac:dyDescent="0.4">
      <c r="A154" s="66" t="s">
        <v>67</v>
      </c>
      <c r="B154" s="143"/>
      <c r="C154" s="143"/>
      <c r="D154" s="44">
        <f>D143</f>
        <v>9.6406000000000006E-2</v>
      </c>
      <c r="E154" s="143"/>
      <c r="F154" s="212"/>
      <c r="H154" s="15"/>
    </row>
    <row r="155" spans="1:38" ht="15" customHeight="1" thickBot="1" x14ac:dyDescent="0.4">
      <c r="A155" s="15"/>
      <c r="B155" s="15"/>
      <c r="C155" s="15"/>
      <c r="D155" s="15"/>
      <c r="E155" s="15"/>
      <c r="F155" s="15"/>
      <c r="G155" s="15"/>
      <c r="H155" s="15"/>
    </row>
    <row r="156" spans="1:38" x14ac:dyDescent="0.35">
      <c r="A156" s="272" t="s">
        <v>68</v>
      </c>
      <c r="B156" s="263"/>
      <c r="C156" s="263"/>
      <c r="D156" s="263"/>
      <c r="E156" s="263"/>
      <c r="F156" s="263"/>
      <c r="G156" s="263"/>
      <c r="H156" s="264"/>
      <c r="I156" s="15"/>
      <c r="J156" s="15"/>
      <c r="K156" s="15"/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15"/>
      <c r="W156" s="15"/>
      <c r="X156" s="15"/>
      <c r="Y156" s="15"/>
      <c r="Z156" s="15"/>
      <c r="AA156" s="15"/>
      <c r="AB156" s="15"/>
      <c r="AC156" s="15"/>
      <c r="AD156" s="15"/>
      <c r="AE156" s="15"/>
      <c r="AF156" s="15"/>
      <c r="AG156" s="15"/>
      <c r="AH156" s="15"/>
      <c r="AI156" s="15"/>
      <c r="AJ156" s="15"/>
      <c r="AK156" s="15"/>
      <c r="AL156" s="15"/>
    </row>
    <row r="157" spans="1:38" ht="15.5" customHeight="1" thickBot="1" x14ac:dyDescent="0.4">
      <c r="A157" s="285" t="s">
        <v>69</v>
      </c>
      <c r="B157" s="286" t="s">
        <v>502</v>
      </c>
      <c r="C157" s="286" t="s">
        <v>503</v>
      </c>
      <c r="D157" s="286" t="s">
        <v>504</v>
      </c>
      <c r="E157" s="286" t="s">
        <v>505</v>
      </c>
      <c r="F157" s="286" t="s">
        <v>506</v>
      </c>
      <c r="G157" s="286" t="s">
        <v>507</v>
      </c>
      <c r="H157" s="287" t="s">
        <v>76</v>
      </c>
      <c r="I157" s="15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15"/>
      <c r="W157" s="15"/>
      <c r="X157" s="15"/>
      <c r="Y157" s="15"/>
      <c r="Z157" s="15"/>
      <c r="AA157" s="15"/>
      <c r="AB157" s="15"/>
      <c r="AC157" s="15"/>
      <c r="AD157" s="15"/>
      <c r="AE157" s="15"/>
      <c r="AF157" s="15"/>
      <c r="AG157" s="15"/>
      <c r="AH157" s="15"/>
      <c r="AI157" s="15"/>
      <c r="AJ157" s="15"/>
      <c r="AK157" s="15"/>
      <c r="AL157" s="15"/>
    </row>
    <row r="158" spans="1:38" ht="15" customHeight="1" thickBot="1" x14ac:dyDescent="0.4">
      <c r="A158" s="108" t="s">
        <v>77</v>
      </c>
      <c r="B158" s="69">
        <f>Assumptions!B13</f>
        <v>79.3</v>
      </c>
      <c r="C158" s="69">
        <f>Assumptions!C13</f>
        <v>162</v>
      </c>
      <c r="D158" s="69">
        <f>Assumptions!D13</f>
        <v>96</v>
      </c>
      <c r="E158" s="69">
        <f>Assumptions!E13</f>
        <v>0.21</v>
      </c>
      <c r="F158" s="69">
        <f>Assumptions!F13</f>
        <v>0.93</v>
      </c>
      <c r="G158" s="69">
        <f>Assumptions!G13</f>
        <v>0.3</v>
      </c>
      <c r="H158" s="206">
        <f>Assumptions!H13</f>
        <v>0.94</v>
      </c>
    </row>
    <row r="159" spans="1:38" ht="15" customHeight="1" thickBot="1" x14ac:dyDescent="0.4">
      <c r="A159" s="15"/>
      <c r="B159" s="15"/>
      <c r="C159" s="15"/>
      <c r="D159" s="15"/>
      <c r="E159" s="15"/>
      <c r="F159" s="15"/>
      <c r="G159" s="15"/>
      <c r="H159" s="15"/>
    </row>
    <row r="160" spans="1:38" x14ac:dyDescent="0.35">
      <c r="A160" s="80" t="s">
        <v>78</v>
      </c>
      <c r="B160" s="71">
        <v>1</v>
      </c>
      <c r="C160" s="15"/>
      <c r="D160" s="15"/>
      <c r="E160" s="15"/>
      <c r="F160" s="15"/>
      <c r="G160" s="15"/>
      <c r="H160" s="15"/>
    </row>
    <row r="161" spans="1:38" ht="15" customHeight="1" thickBot="1" x14ac:dyDescent="0.4">
      <c r="A161" s="81" t="s">
        <v>480</v>
      </c>
      <c r="B161" s="73">
        <f>B160*Assumptions!B7</f>
        <v>86</v>
      </c>
      <c r="C161" s="15"/>
      <c r="D161" s="15"/>
      <c r="E161" s="15"/>
      <c r="F161" s="15"/>
      <c r="G161" s="15"/>
      <c r="H161" s="15"/>
    </row>
    <row r="162" spans="1:38" ht="15" customHeight="1" thickBot="1" x14ac:dyDescent="0.4">
      <c r="B162" s="15"/>
      <c r="C162" s="15"/>
      <c r="D162" s="15"/>
      <c r="E162" s="15"/>
      <c r="F162" s="15"/>
      <c r="G162" s="15"/>
      <c r="H162" s="15"/>
    </row>
    <row r="163" spans="1:38" ht="17" customHeight="1" thickBot="1" x14ac:dyDescent="0.5">
      <c r="A163" s="288" t="s">
        <v>79</v>
      </c>
      <c r="B163" s="289" t="s">
        <v>501</v>
      </c>
      <c r="C163" s="15"/>
      <c r="D163" s="15"/>
      <c r="E163" s="15"/>
      <c r="F163" s="15"/>
      <c r="G163" s="15"/>
      <c r="H163" s="15"/>
      <c r="I163" s="15"/>
      <c r="J163" s="15"/>
      <c r="K163" s="15"/>
      <c r="L163" s="15"/>
      <c r="M163" s="15"/>
      <c r="N163" s="15"/>
      <c r="O163" s="15"/>
      <c r="P163" s="15"/>
      <c r="Q163" s="15"/>
      <c r="R163" s="15"/>
      <c r="S163" s="15"/>
      <c r="T163" s="15"/>
      <c r="U163" s="15"/>
      <c r="V163" s="15"/>
      <c r="W163" s="15"/>
      <c r="X163" s="15"/>
      <c r="Y163" s="15"/>
      <c r="Z163" s="15"/>
      <c r="AA163" s="15"/>
      <c r="AB163" s="15"/>
      <c r="AC163" s="15"/>
      <c r="AD163" s="15"/>
      <c r="AE163" s="15"/>
      <c r="AF163" s="15"/>
      <c r="AG163" s="15"/>
      <c r="AH163" s="15"/>
      <c r="AI163" s="15"/>
      <c r="AJ163" s="15"/>
      <c r="AK163" s="15"/>
      <c r="AL163" s="15"/>
    </row>
    <row r="164" spans="1:38" x14ac:dyDescent="0.35">
      <c r="A164" s="82" t="s">
        <v>60</v>
      </c>
      <c r="B164" s="231">
        <f>B147+(B148*B158)+(B149*C158)+(B150*D158)+(B153*G158)</f>
        <v>625.22714443669997</v>
      </c>
      <c r="C164" s="15"/>
      <c r="D164" s="15"/>
      <c r="E164" s="15"/>
      <c r="F164" s="15"/>
      <c r="G164" s="15"/>
      <c r="H164" s="15"/>
    </row>
    <row r="165" spans="1:38" x14ac:dyDescent="0.35">
      <c r="A165" s="82" t="s">
        <v>515</v>
      </c>
      <c r="B165" s="231">
        <f>+F151*H158</f>
        <v>8.0839999999999996</v>
      </c>
      <c r="C165" s="15"/>
      <c r="D165" s="15"/>
      <c r="E165" s="15"/>
      <c r="F165" s="15"/>
      <c r="G165" s="15"/>
      <c r="H165" s="15"/>
    </row>
    <row r="166" spans="1:38" x14ac:dyDescent="0.35">
      <c r="A166" s="82" t="s">
        <v>81</v>
      </c>
      <c r="B166" s="232">
        <f>C147+(C148*B158)+(C152*E158)+(C153*G158)</f>
        <v>0.15673876988012087</v>
      </c>
      <c r="C166" s="15"/>
      <c r="D166" s="15"/>
      <c r="E166" s="15"/>
      <c r="F166" s="15"/>
      <c r="G166" s="15"/>
      <c r="H166" s="15"/>
    </row>
    <row r="167" spans="1:38" x14ac:dyDescent="0.35">
      <c r="A167" s="82" t="s">
        <v>82</v>
      </c>
      <c r="B167" s="232">
        <f>(D154*F158)</f>
        <v>8.9657580000000014E-2</v>
      </c>
      <c r="C167" s="15"/>
      <c r="D167" s="15"/>
      <c r="E167" s="15"/>
      <c r="F167" s="15"/>
      <c r="G167" s="15"/>
      <c r="H167" s="15"/>
    </row>
    <row r="168" spans="1:38" x14ac:dyDescent="0.35">
      <c r="A168" s="83" t="s">
        <v>83</v>
      </c>
      <c r="B168" s="233">
        <f>+E147+E148*B158+E149*C158-E152*E158+E153*G158</f>
        <v>0</v>
      </c>
      <c r="C168" s="15"/>
      <c r="D168" s="15"/>
      <c r="E168" s="15"/>
      <c r="F168" s="15"/>
      <c r="G168" s="15"/>
      <c r="H168" s="15"/>
    </row>
    <row r="169" spans="1:38" ht="17" customHeight="1" thickBot="1" x14ac:dyDescent="0.5">
      <c r="A169" s="84" t="s">
        <v>536</v>
      </c>
      <c r="B169" s="234">
        <f>B164+B165+B166+B167-B168</f>
        <v>633.55754078658003</v>
      </c>
      <c r="C169" s="15"/>
      <c r="D169" s="15"/>
      <c r="E169" s="15"/>
      <c r="F169" s="15"/>
      <c r="G169" s="15"/>
      <c r="H169" s="15"/>
    </row>
    <row r="170" spans="1:38" x14ac:dyDescent="0.35">
      <c r="A170" s="15"/>
      <c r="B170" s="15"/>
      <c r="C170" s="15"/>
      <c r="D170" s="15"/>
      <c r="E170" s="15"/>
      <c r="F170" s="15"/>
      <c r="G170" s="15"/>
      <c r="H170" s="15"/>
    </row>
    <row r="171" spans="1:38" x14ac:dyDescent="0.35">
      <c r="A171" s="366"/>
      <c r="B171" s="359"/>
      <c r="C171" s="359"/>
      <c r="D171" s="359"/>
      <c r="E171" s="359"/>
      <c r="F171" s="359"/>
      <c r="G171" s="359"/>
      <c r="H171" s="359"/>
    </row>
    <row r="172" spans="1:38" ht="15" customHeight="1" thickBot="1" x14ac:dyDescent="0.4"/>
    <row r="173" spans="1:38" x14ac:dyDescent="0.35">
      <c r="A173" s="290" t="s">
        <v>235</v>
      </c>
      <c r="B173" s="291"/>
      <c r="I173" s="15"/>
      <c r="J173" s="15"/>
      <c r="K173" s="15"/>
      <c r="L173" s="15"/>
      <c r="M173" s="15"/>
      <c r="N173" s="15"/>
      <c r="O173" s="15"/>
      <c r="P173" s="15"/>
      <c r="Q173" s="15"/>
      <c r="R173" s="15"/>
      <c r="S173" s="15"/>
      <c r="T173" s="15"/>
      <c r="U173" s="15"/>
      <c r="V173" s="15"/>
      <c r="W173" s="15"/>
      <c r="X173" s="15"/>
      <c r="Y173" s="15"/>
      <c r="Z173" s="15"/>
      <c r="AA173" s="15"/>
      <c r="AB173" s="15"/>
      <c r="AC173" s="15"/>
      <c r="AD173" s="15"/>
      <c r="AE173" s="15"/>
      <c r="AF173" s="15"/>
      <c r="AG173" s="15"/>
      <c r="AH173" s="15"/>
      <c r="AI173" s="15"/>
      <c r="AJ173" s="15"/>
      <c r="AK173" s="15"/>
      <c r="AL173" s="15"/>
    </row>
    <row r="174" spans="1:38" ht="17" customHeight="1" thickBot="1" x14ac:dyDescent="0.4">
      <c r="A174" s="292" t="s">
        <v>79</v>
      </c>
      <c r="B174" s="240" t="s">
        <v>80</v>
      </c>
      <c r="I174" s="15"/>
      <c r="J174" s="15"/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15"/>
      <c r="W174" s="15"/>
      <c r="X174" s="15"/>
      <c r="Y174" s="15"/>
      <c r="Z174" s="15"/>
      <c r="AA174" s="15"/>
      <c r="AB174" s="15"/>
      <c r="AC174" s="15"/>
      <c r="AD174" s="15"/>
      <c r="AE174" s="15"/>
      <c r="AF174" s="15"/>
      <c r="AG174" s="15"/>
      <c r="AH174" s="15"/>
      <c r="AI174" s="15"/>
      <c r="AJ174" s="15"/>
      <c r="AK174" s="15"/>
      <c r="AL174" s="15"/>
    </row>
    <row r="175" spans="1:38" x14ac:dyDescent="0.35">
      <c r="A175" s="82" t="s">
        <v>60</v>
      </c>
      <c r="B175" s="231">
        <f>B68+B164</f>
        <v>649.89211449416405</v>
      </c>
    </row>
    <row r="176" spans="1:38" x14ac:dyDescent="0.35">
      <c r="A176" s="82" t="s">
        <v>515</v>
      </c>
      <c r="B176" s="231">
        <f>B69+B165</f>
        <v>40.516197480194151</v>
      </c>
    </row>
    <row r="177" spans="1:18" x14ac:dyDescent="0.35">
      <c r="A177" s="82" t="s">
        <v>81</v>
      </c>
      <c r="B177" s="231">
        <f>B70+B166</f>
        <v>30.957266241373329</v>
      </c>
    </row>
    <row r="178" spans="1:18" x14ac:dyDescent="0.35">
      <c r="A178" s="82" t="s">
        <v>82</v>
      </c>
      <c r="B178" s="231">
        <f>B71+B167</f>
        <v>0.24769675073092576</v>
      </c>
    </row>
    <row r="179" spans="1:18" x14ac:dyDescent="0.35">
      <c r="A179" s="83" t="s">
        <v>83</v>
      </c>
      <c r="B179" s="235">
        <f>B72+B168</f>
        <v>32.798063263034358</v>
      </c>
    </row>
    <row r="180" spans="1:18" ht="17" customHeight="1" thickBot="1" x14ac:dyDescent="0.5">
      <c r="A180" s="84" t="s">
        <v>535</v>
      </c>
      <c r="B180" s="234">
        <f>B175+B176+B177+B178-B179</f>
        <v>688.81521170342808</v>
      </c>
    </row>
    <row r="181" spans="1:18" x14ac:dyDescent="0.35">
      <c r="A181" s="15"/>
      <c r="B181" s="15"/>
      <c r="C181" s="15"/>
      <c r="D181" s="15"/>
      <c r="E181" s="15"/>
      <c r="F181" s="15"/>
      <c r="G181" s="15"/>
      <c r="H181" s="15"/>
    </row>
    <row r="182" spans="1:18" x14ac:dyDescent="0.35">
      <c r="A182" s="366"/>
      <c r="B182" s="359"/>
      <c r="C182" s="359"/>
      <c r="D182" s="359"/>
      <c r="E182" s="359"/>
      <c r="F182" s="359"/>
      <c r="G182" s="359"/>
      <c r="H182" s="359"/>
    </row>
    <row r="183" spans="1:18" ht="15" customHeight="1" thickBot="1" x14ac:dyDescent="0.4"/>
    <row r="184" spans="1:18" x14ac:dyDescent="0.35">
      <c r="A184" s="308" t="s">
        <v>545</v>
      </c>
      <c r="B184" s="309"/>
      <c r="C184" s="309"/>
      <c r="D184" s="309"/>
      <c r="E184" s="309"/>
      <c r="F184" s="309"/>
      <c r="G184" s="309"/>
      <c r="H184" s="309"/>
      <c r="I184" s="309"/>
      <c r="J184" s="309"/>
      <c r="K184" s="309"/>
      <c r="L184" s="309"/>
      <c r="M184" s="309"/>
      <c r="N184" s="309"/>
      <c r="O184" s="309"/>
      <c r="P184" s="309"/>
      <c r="Q184" s="309"/>
      <c r="R184" s="291"/>
    </row>
    <row r="185" spans="1:18" x14ac:dyDescent="0.35">
      <c r="A185" s="310"/>
      <c r="B185" s="361" t="s">
        <v>343</v>
      </c>
      <c r="C185" s="361"/>
      <c r="D185" s="361"/>
      <c r="E185" s="367"/>
      <c r="F185" s="360" t="s">
        <v>542</v>
      </c>
      <c r="G185" s="361"/>
      <c r="H185" s="361"/>
      <c r="I185" s="361"/>
      <c r="J185" s="360" t="s">
        <v>543</v>
      </c>
      <c r="K185" s="361"/>
      <c r="L185" s="361"/>
      <c r="M185" s="361"/>
      <c r="N185" s="360" t="s">
        <v>544</v>
      </c>
      <c r="O185" s="361"/>
      <c r="P185" s="361"/>
      <c r="Q185" s="361"/>
      <c r="R185" s="362"/>
    </row>
    <row r="186" spans="1:18" ht="15" thickBot="1" x14ac:dyDescent="0.4">
      <c r="A186" s="311"/>
      <c r="B186" s="242" t="s">
        <v>60</v>
      </c>
      <c r="C186" s="239" t="s">
        <v>42</v>
      </c>
      <c r="D186" s="239" t="s">
        <v>47</v>
      </c>
      <c r="E186" s="239" t="s">
        <v>56</v>
      </c>
      <c r="F186" s="238" t="s">
        <v>60</v>
      </c>
      <c r="G186" s="239" t="s">
        <v>42</v>
      </c>
      <c r="H186" s="239" t="s">
        <v>47</v>
      </c>
      <c r="I186" s="239" t="s">
        <v>56</v>
      </c>
      <c r="J186" s="238" t="s">
        <v>60</v>
      </c>
      <c r="K186" s="239" t="s">
        <v>42</v>
      </c>
      <c r="L186" s="239" t="s">
        <v>47</v>
      </c>
      <c r="M186" s="239" t="s">
        <v>56</v>
      </c>
      <c r="N186" s="238" t="s">
        <v>60</v>
      </c>
      <c r="O186" s="242" t="s">
        <v>515</v>
      </c>
      <c r="P186" s="239" t="s">
        <v>42</v>
      </c>
      <c r="Q186" s="239" t="s">
        <v>47</v>
      </c>
      <c r="R186" s="240" t="s">
        <v>56</v>
      </c>
    </row>
    <row r="187" spans="1:18" x14ac:dyDescent="0.35">
      <c r="A187" s="332" t="s">
        <v>553</v>
      </c>
      <c r="B187" s="26">
        <f>D32</f>
        <v>1.3825423199999999E-2</v>
      </c>
      <c r="C187" s="15"/>
      <c r="D187" s="15"/>
      <c r="E187" s="337"/>
      <c r="F187" s="344">
        <f>E32</f>
        <v>7.4585973E-6</v>
      </c>
      <c r="G187" s="104"/>
      <c r="H187" s="104"/>
      <c r="I187" s="334"/>
      <c r="J187" s="335"/>
      <c r="K187" s="115"/>
      <c r="L187" s="115"/>
      <c r="M187" s="334"/>
      <c r="N187" s="335"/>
      <c r="O187" s="115"/>
      <c r="P187" s="115"/>
      <c r="Q187" s="115"/>
      <c r="R187" s="86"/>
    </row>
    <row r="188" spans="1:18" x14ac:dyDescent="0.35">
      <c r="A188" s="332" t="s">
        <v>540</v>
      </c>
      <c r="B188" s="26">
        <f>D31</f>
        <v>3.4018333333333338E-2</v>
      </c>
      <c r="C188" s="15"/>
      <c r="D188" s="15"/>
      <c r="E188" s="339"/>
      <c r="F188" s="346">
        <f>E31</f>
        <v>1.0735999999999999E-4</v>
      </c>
      <c r="G188" s="15"/>
      <c r="H188" s="15"/>
      <c r="I188" s="223"/>
      <c r="J188" s="237"/>
      <c r="M188" s="223"/>
      <c r="N188" s="237"/>
      <c r="R188" s="3"/>
    </row>
    <row r="189" spans="1:18" x14ac:dyDescent="0.35">
      <c r="A189" s="332" t="s">
        <v>546</v>
      </c>
      <c r="B189" s="26">
        <f>D30+D137</f>
        <v>412.01249999999999</v>
      </c>
      <c r="C189" s="15"/>
      <c r="D189" s="15"/>
      <c r="E189" s="339"/>
      <c r="F189" s="346">
        <f>E30+E137</f>
        <v>2.0000654999999998</v>
      </c>
      <c r="G189" s="15"/>
      <c r="H189" s="15"/>
      <c r="I189" s="223"/>
      <c r="J189" s="241">
        <f>F30+F137</f>
        <v>0.20500549999999998</v>
      </c>
      <c r="M189" s="223"/>
      <c r="N189" s="237"/>
      <c r="R189" s="3"/>
    </row>
    <row r="190" spans="1:18" x14ac:dyDescent="0.35">
      <c r="A190" s="332" t="s">
        <v>37</v>
      </c>
      <c r="B190" s="26">
        <f>D29</f>
        <v>0.24299999999999999</v>
      </c>
      <c r="C190" s="15"/>
      <c r="D190" s="15"/>
      <c r="E190" s="339"/>
      <c r="F190" s="346">
        <f>E29</f>
        <v>8.9999999999999992E-5</v>
      </c>
      <c r="G190" s="15"/>
      <c r="H190" s="15"/>
      <c r="I190" s="223"/>
      <c r="J190" s="241">
        <f>F29</f>
        <v>5.0700000000000002E-2</v>
      </c>
      <c r="M190" s="223"/>
      <c r="N190" s="237"/>
      <c r="R190" s="3"/>
    </row>
    <row r="191" spans="1:18" x14ac:dyDescent="0.35">
      <c r="A191" s="332" t="s">
        <v>36</v>
      </c>
      <c r="B191" s="26">
        <f>D28</f>
        <v>3.2607899999999987</v>
      </c>
      <c r="C191" s="15"/>
      <c r="D191" s="15"/>
      <c r="E191" s="339"/>
      <c r="F191" s="346">
        <f>E28</f>
        <v>3.6230999999999992E-2</v>
      </c>
      <c r="G191" s="15"/>
      <c r="H191" s="15"/>
      <c r="I191" s="223"/>
      <c r="J191" s="241">
        <f>F28</f>
        <v>1.9741249999999995E-2</v>
      </c>
      <c r="M191" s="223"/>
      <c r="N191" s="237"/>
      <c r="R191" s="3"/>
    </row>
    <row r="192" spans="1:18" x14ac:dyDescent="0.35">
      <c r="A192" s="332" t="s">
        <v>570</v>
      </c>
      <c r="B192" s="15"/>
      <c r="C192" s="26">
        <f>C36*Assumptions!B7</f>
        <v>0.1475072</v>
      </c>
      <c r="D192" s="15"/>
      <c r="E192" s="339"/>
      <c r="F192" s="146"/>
      <c r="G192" s="26">
        <f>D36*Assumptions!B7</f>
        <v>4.1033127046699689E-9</v>
      </c>
      <c r="H192" s="15"/>
      <c r="I192" s="223"/>
      <c r="J192" s="237"/>
      <c r="M192" s="223"/>
      <c r="N192" s="237"/>
      <c r="O192" s="51">
        <f>F36*Assumptions!B7</f>
        <v>2.2400000000000002</v>
      </c>
      <c r="R192" s="3"/>
    </row>
    <row r="193" spans="1:18" x14ac:dyDescent="0.35">
      <c r="A193" s="332" t="s">
        <v>44</v>
      </c>
      <c r="B193" s="26"/>
      <c r="C193" s="26">
        <f>C37*Assumptions!B7</f>
        <v>57.777761342488979</v>
      </c>
      <c r="D193" s="26">
        <f>(C42*Assumptions!B7)+D141</f>
        <v>48.891485641912503</v>
      </c>
      <c r="E193" s="340"/>
      <c r="F193" s="346"/>
      <c r="G193" s="26">
        <f>(D37*Assumptions!B7)+E141</f>
        <v>5.7783953342488981E-2</v>
      </c>
      <c r="H193" s="26">
        <f>D42*Assumptions!B7</f>
        <v>4.8885293641912506E-2</v>
      </c>
      <c r="I193" s="217"/>
      <c r="J193" s="241"/>
      <c r="K193" s="51"/>
      <c r="L193" s="51"/>
      <c r="M193" s="217"/>
      <c r="N193" s="241"/>
      <c r="O193" s="51">
        <f>F37*Assumptions!B7</f>
        <v>4.5919649604927594E-2</v>
      </c>
      <c r="P193" s="51"/>
      <c r="Q193" s="51"/>
      <c r="R193" s="230"/>
    </row>
    <row r="194" spans="1:18" x14ac:dyDescent="0.35">
      <c r="A194" s="332" t="s">
        <v>556</v>
      </c>
      <c r="B194" s="26"/>
      <c r="C194" s="26">
        <f>C38*Assumptions!B7</f>
        <v>2.2177415913700971</v>
      </c>
      <c r="D194" s="26"/>
      <c r="E194" s="340"/>
      <c r="F194" s="346"/>
      <c r="G194" s="26"/>
      <c r="H194" s="26"/>
      <c r="I194" s="217"/>
      <c r="J194" s="241"/>
      <c r="K194" s="51"/>
      <c r="L194" s="51"/>
      <c r="M194" s="217"/>
      <c r="N194" s="241"/>
      <c r="O194" s="51">
        <f>F38*Assumptions!B7</f>
        <v>9.3906321214988112E-2</v>
      </c>
      <c r="P194" s="51"/>
      <c r="Q194" s="51"/>
      <c r="R194" s="230"/>
    </row>
    <row r="195" spans="1:18" x14ac:dyDescent="0.35">
      <c r="A195" s="332" t="s">
        <v>46</v>
      </c>
      <c r="B195" s="26"/>
      <c r="C195" s="26">
        <f>C39*Assumptions!B7</f>
        <v>0.24908221046117321</v>
      </c>
      <c r="D195" s="26"/>
      <c r="E195" s="340"/>
      <c r="F195" s="346"/>
      <c r="G195" s="26">
        <f>D39*Assumptions!B7</f>
        <v>0.13685835739624902</v>
      </c>
      <c r="H195" s="26"/>
      <c r="I195" s="217"/>
      <c r="J195" s="241"/>
      <c r="K195" s="51"/>
      <c r="L195" s="51"/>
      <c r="M195" s="217"/>
      <c r="N195" s="241"/>
      <c r="O195" s="51">
        <f>(F39/5)*Assumptions!B7</f>
        <v>32.0565</v>
      </c>
      <c r="P195" s="51"/>
      <c r="Q195" s="51"/>
      <c r="R195" s="230"/>
    </row>
    <row r="196" spans="1:18" x14ac:dyDescent="0.35">
      <c r="A196" s="332" t="s">
        <v>48</v>
      </c>
      <c r="B196" s="26"/>
      <c r="C196" s="26"/>
      <c r="D196" s="26">
        <f>C41*Assumptions!B7</f>
        <v>0.18110837358765683</v>
      </c>
      <c r="E196" s="340"/>
      <c r="F196" s="346"/>
      <c r="G196" s="26"/>
      <c r="H196" s="26">
        <f>D41*Assumptions!B7</f>
        <v>0.13931413352896679</v>
      </c>
      <c r="I196" s="217"/>
      <c r="J196" s="241"/>
      <c r="K196" s="51"/>
      <c r="L196" s="51"/>
      <c r="M196" s="217"/>
      <c r="N196" s="241"/>
      <c r="O196" s="51"/>
      <c r="P196" s="51"/>
      <c r="Q196" s="51"/>
      <c r="R196" s="230"/>
    </row>
    <row r="197" spans="1:18" x14ac:dyDescent="0.35">
      <c r="A197" s="332" t="s">
        <v>50</v>
      </c>
      <c r="B197" s="26"/>
      <c r="C197" s="26"/>
      <c r="D197" s="26">
        <f>C44*Assumptions!B7</f>
        <v>4.3000000000000004E-4</v>
      </c>
      <c r="E197" s="340"/>
      <c r="F197" s="346"/>
      <c r="G197" s="26"/>
      <c r="H197" s="26"/>
      <c r="I197" s="217"/>
      <c r="J197" s="241"/>
      <c r="K197" s="51"/>
      <c r="L197" s="51"/>
      <c r="M197" s="217"/>
      <c r="N197" s="241"/>
      <c r="O197" s="51"/>
      <c r="P197" s="51"/>
      <c r="Q197" s="51"/>
      <c r="R197" s="230"/>
    </row>
    <row r="198" spans="1:18" x14ac:dyDescent="0.35">
      <c r="A198" s="332" t="s">
        <v>139</v>
      </c>
      <c r="B198" s="26"/>
      <c r="C198" s="26"/>
      <c r="D198" s="26">
        <f>C45*Assumptions!B7</f>
        <v>1.4333333333333333</v>
      </c>
      <c r="E198" s="340"/>
      <c r="F198" s="346"/>
      <c r="G198" s="26"/>
      <c r="H198" s="26">
        <f>D45*Assumptions!B7</f>
        <v>2.388888888888889E-2</v>
      </c>
      <c r="I198" s="217"/>
      <c r="J198" s="241"/>
      <c r="K198" s="51"/>
      <c r="L198" s="51"/>
      <c r="M198" s="217"/>
      <c r="N198" s="241"/>
      <c r="O198" s="51">
        <f>F44*Assumptions!B7</f>
        <v>6.6011774067480489E-2</v>
      </c>
      <c r="P198" s="51"/>
      <c r="Q198" s="51"/>
      <c r="R198" s="230"/>
    </row>
    <row r="199" spans="1:18" x14ac:dyDescent="0.35">
      <c r="A199" s="332" t="s">
        <v>57</v>
      </c>
      <c r="B199" s="26"/>
      <c r="C199" s="26"/>
      <c r="D199" s="26"/>
      <c r="E199" s="340">
        <f>(C47+C45)*Assumptions!B7</f>
        <v>1.6032679255171245</v>
      </c>
      <c r="F199" s="346"/>
      <c r="G199" s="26"/>
      <c r="H199" s="26"/>
      <c r="I199" s="217">
        <f>(D47+D45)*Assumptions!B7</f>
        <v>2.6721132091952073E-2</v>
      </c>
      <c r="J199" s="241"/>
      <c r="K199" s="51"/>
      <c r="L199" s="51"/>
      <c r="M199" s="217"/>
      <c r="N199" s="241"/>
      <c r="O199" s="51"/>
      <c r="P199" s="51"/>
      <c r="Q199" s="51"/>
      <c r="R199" s="230"/>
    </row>
    <row r="200" spans="1:18" x14ac:dyDescent="0.35">
      <c r="A200" s="332" t="s">
        <v>422</v>
      </c>
      <c r="B200" s="26">
        <f>D138</f>
        <v>1.25</v>
      </c>
      <c r="C200" s="26"/>
      <c r="D200" s="26"/>
      <c r="E200" s="340"/>
      <c r="F200" s="346">
        <f>E138</f>
        <v>4.9501190000000002E-3</v>
      </c>
      <c r="G200" s="26"/>
      <c r="H200" s="26"/>
      <c r="I200" s="217"/>
      <c r="J200" s="241">
        <f>F138</f>
        <v>3.6666666666666667E-4</v>
      </c>
      <c r="K200" s="51"/>
      <c r="L200" s="51"/>
      <c r="M200" s="217"/>
      <c r="N200" s="241"/>
      <c r="O200" s="51"/>
      <c r="P200" s="51"/>
      <c r="Q200" s="51"/>
      <c r="R200" s="230"/>
    </row>
    <row r="201" spans="1:18" x14ac:dyDescent="0.35">
      <c r="A201" s="332" t="s">
        <v>478</v>
      </c>
      <c r="B201" s="26"/>
      <c r="C201" s="26">
        <f>D139</f>
        <v>1.8096880000000001E-3</v>
      </c>
      <c r="D201" s="26"/>
      <c r="E201" s="340"/>
      <c r="F201" s="346"/>
      <c r="G201" s="26">
        <f>E139</f>
        <v>4.7500880922277672E-6</v>
      </c>
      <c r="H201" s="26"/>
      <c r="I201" s="217"/>
      <c r="J201" s="241"/>
      <c r="K201" s="51"/>
      <c r="L201" s="51"/>
      <c r="M201" s="217"/>
      <c r="N201" s="241"/>
      <c r="O201" s="51">
        <f>G139</f>
        <v>8.6</v>
      </c>
      <c r="P201" s="51"/>
      <c r="Q201" s="51"/>
      <c r="R201" s="230"/>
    </row>
    <row r="202" spans="1:18" x14ac:dyDescent="0.35">
      <c r="A202" s="332" t="s">
        <v>479</v>
      </c>
      <c r="B202" s="26"/>
      <c r="C202" s="26">
        <f>D140</f>
        <v>1.6481000000000003E-2</v>
      </c>
      <c r="D202" s="26"/>
      <c r="E202" s="340"/>
      <c r="F202" s="346"/>
      <c r="G202" s="26">
        <f t="shared" ref="G202" si="1">E140</f>
        <v>1.0531875211894423E-4</v>
      </c>
      <c r="H202" s="26"/>
      <c r="I202" s="217"/>
      <c r="J202" s="241"/>
      <c r="K202" s="51"/>
      <c r="L202" s="51"/>
      <c r="M202" s="217"/>
      <c r="N202" s="241"/>
      <c r="O202" s="51"/>
      <c r="P202" s="51"/>
      <c r="Q202" s="51"/>
      <c r="R202" s="230"/>
    </row>
    <row r="203" spans="1:18" ht="15" thickBot="1" x14ac:dyDescent="0.4">
      <c r="A203" s="333" t="s">
        <v>476</v>
      </c>
      <c r="B203" s="44"/>
      <c r="C203" s="44">
        <f>D142</f>
        <v>9.6406000000000006E-2</v>
      </c>
      <c r="D203" s="44"/>
      <c r="E203" s="348">
        <f>D143</f>
        <v>9.6406000000000006E-2</v>
      </c>
      <c r="F203" s="350"/>
      <c r="G203" s="44">
        <f>E142</f>
        <v>4.0850757593158797E-4</v>
      </c>
      <c r="H203" s="244"/>
      <c r="I203" s="44">
        <f>E143</f>
        <v>4.0850757593158797E-4</v>
      </c>
      <c r="J203" s="352"/>
      <c r="K203" s="244"/>
      <c r="L203" s="244"/>
      <c r="M203" s="353"/>
      <c r="N203" s="352"/>
      <c r="O203" s="244"/>
      <c r="P203" s="244"/>
      <c r="Q203" s="244"/>
      <c r="R203" s="354"/>
    </row>
    <row r="204" spans="1:18" x14ac:dyDescent="0.35">
      <c r="A204" s="15"/>
      <c r="B204" s="15"/>
      <c r="C204" s="15"/>
      <c r="D204" s="15"/>
      <c r="E204" s="15"/>
      <c r="F204" s="15"/>
      <c r="G204" s="15"/>
      <c r="H204" s="15"/>
    </row>
    <row r="205" spans="1:18" x14ac:dyDescent="0.35">
      <c r="A205" s="15"/>
      <c r="B205" s="15"/>
      <c r="C205" s="15"/>
      <c r="D205" s="15"/>
      <c r="E205" s="15"/>
      <c r="F205" s="15"/>
      <c r="G205" s="15"/>
      <c r="H205" s="15"/>
    </row>
    <row r="206" spans="1:18" x14ac:dyDescent="0.35">
      <c r="A206" s="15"/>
      <c r="B206" s="15"/>
      <c r="C206" s="15"/>
      <c r="D206" s="15"/>
      <c r="E206" s="15"/>
      <c r="F206" s="15"/>
      <c r="G206" s="15"/>
      <c r="H206" s="15"/>
    </row>
    <row r="207" spans="1:18" x14ac:dyDescent="0.35">
      <c r="A207" s="15"/>
      <c r="B207" s="15"/>
      <c r="C207" s="15"/>
      <c r="D207" s="15"/>
      <c r="E207" s="15"/>
      <c r="F207" s="15"/>
      <c r="G207" s="15"/>
      <c r="H207" s="15"/>
    </row>
    <row r="208" spans="1:18" x14ac:dyDescent="0.35">
      <c r="A208" s="15"/>
      <c r="B208" s="15"/>
      <c r="C208" s="15"/>
      <c r="D208" s="15"/>
      <c r="E208" s="15"/>
      <c r="F208" s="15"/>
      <c r="G208" s="15"/>
      <c r="H208" s="15"/>
    </row>
    <row r="209" spans="1:8" x14ac:dyDescent="0.35">
      <c r="A209" s="15"/>
      <c r="B209" s="15"/>
      <c r="C209" s="15"/>
      <c r="D209" s="15"/>
      <c r="E209" s="15"/>
      <c r="F209" s="15"/>
      <c r="G209" s="15"/>
      <c r="H209" s="15"/>
    </row>
    <row r="210" spans="1:8" x14ac:dyDescent="0.35">
      <c r="A210" s="15"/>
      <c r="B210" s="15"/>
      <c r="C210" s="15"/>
      <c r="D210" s="15"/>
      <c r="E210" s="15"/>
      <c r="F210" s="15"/>
      <c r="G210" s="15"/>
      <c r="H210" s="15"/>
    </row>
    <row r="211" spans="1:8" x14ac:dyDescent="0.35">
      <c r="A211" s="15"/>
      <c r="B211" s="15"/>
      <c r="C211" s="15"/>
      <c r="D211" s="15"/>
      <c r="E211" s="15"/>
      <c r="F211" s="15"/>
      <c r="G211" s="15"/>
      <c r="H211" s="15"/>
    </row>
    <row r="212" spans="1:8" x14ac:dyDescent="0.35">
      <c r="A212" s="15"/>
      <c r="B212" s="15"/>
      <c r="C212" s="15"/>
      <c r="D212" s="15"/>
      <c r="E212" s="15"/>
      <c r="F212" s="15"/>
      <c r="G212" s="15"/>
      <c r="H212" s="15"/>
    </row>
    <row r="213" spans="1:8" x14ac:dyDescent="0.35">
      <c r="A213" s="15"/>
      <c r="B213" s="15"/>
      <c r="C213" s="15"/>
      <c r="D213" s="15"/>
      <c r="E213" s="15"/>
      <c r="F213" s="15"/>
      <c r="G213" s="15"/>
      <c r="H213" s="15"/>
    </row>
  </sheetData>
  <mergeCells count="19">
    <mergeCell ref="A171:H171"/>
    <mergeCell ref="A20:C20"/>
    <mergeCell ref="A44:A47"/>
    <mergeCell ref="A1:H1"/>
    <mergeCell ref="A30:A32"/>
    <mergeCell ref="A3:C3"/>
    <mergeCell ref="A34:B34"/>
    <mergeCell ref="F44:F45"/>
    <mergeCell ref="A76:C76"/>
    <mergeCell ref="A12:C12"/>
    <mergeCell ref="H28:H29"/>
    <mergeCell ref="A11:C11"/>
    <mergeCell ref="A28:A29"/>
    <mergeCell ref="A36:A42"/>
    <mergeCell ref="A182:H182"/>
    <mergeCell ref="B185:E185"/>
    <mergeCell ref="F185:I185"/>
    <mergeCell ref="J185:M185"/>
    <mergeCell ref="N185:R185"/>
  </mergeCells>
  <pageMargins left="0.7" right="0.7" top="0.75" bottom="0.75" header="0.3" footer="0.3"/>
  <pageSetup orientation="portrait" horizontalDpi="1200" verticalDpi="1200" r:id="rId1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Assumptions</vt:lpstr>
      <vt:lpstr>FLOWN</vt:lpstr>
      <vt:lpstr>TRANSGENIC-LETTUCE</vt:lpstr>
      <vt:lpstr>TRANSGENIC-TOBACCO</vt:lpstr>
      <vt:lpstr>GENE GUN</vt:lpstr>
      <vt:lpstr>AGRO</vt:lpstr>
      <vt:lpstr>VIRAL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Shanice Imani Taylor</cp:lastModifiedBy>
  <dcterms:created xsi:type="dcterms:W3CDTF">2015-06-05T18:17:20Z</dcterms:created>
  <dcterms:modified xsi:type="dcterms:W3CDTF">2026-09-28T05:46:31Z</dcterms:modified>
</cp:coreProperties>
</file>